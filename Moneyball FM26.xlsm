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llan\Documents\Save\PLANILHA\"/>
    </mc:Choice>
  </mc:AlternateContent>
  <xr:revisionPtr revIDLastSave="0" documentId="13_ncr:1_{EF305963-1747-425A-9696-A99BC72C331A}" xr6:coauthVersionLast="47" xr6:coauthVersionMax="47" xr10:uidLastSave="{00000000-0000-0000-0000-000000000000}"/>
  <bookViews>
    <workbookView xWindow="-120" yWindow="-120" windowWidth="29040" windowHeight="15720" tabRatio="615" xr2:uid="{00000000-000D-0000-FFFF-FFFF00000000}"/>
  </bookViews>
  <sheets>
    <sheet name="🧤Goleiros" sheetId="17" r:id="rId1"/>
    <sheet name="🧱Zagueiros" sheetId="16" r:id="rId2"/>
    <sheet name="🛡️Laterais" sheetId="6" r:id="rId3"/>
    <sheet name="🛡️Volantes" sheetId="11" r:id="rId4"/>
    <sheet name="⚙️Box-To-Box" sheetId="14" r:id="rId5"/>
    <sheet name="⚙️Armadores" sheetId="2" r:id="rId6"/>
    <sheet name="🎯Avançados" sheetId="10" r:id="rId7"/>
    <sheet name="📊Time Estatísticas" sheetId="18" r:id="rId8"/>
    <sheet name="💪Placar de Esforço" sheetId="19" r:id="rId9"/>
    <sheet name="🌎Overall Análise" sheetId="15" r:id="rId10"/>
  </sheets>
  <definedNames>
    <definedName name="_xlnm._FilterDatabase" localSheetId="5" hidden="1">'⚙️Armadores'!$B$1:$EU$871</definedName>
    <definedName name="_xlnm._FilterDatabase" localSheetId="4" hidden="1">'⚙️Box-To-Box'!$B$1:$FC$939</definedName>
    <definedName name="_xlnm._FilterDatabase" localSheetId="9" hidden="1">'🌎Overall Análise'!$B$1:$GH$1</definedName>
    <definedName name="_xlnm._FilterDatabase" localSheetId="6" hidden="1">'🎯Avançados'!$B$1:$GH$1</definedName>
    <definedName name="_xlnm._FilterDatabase" localSheetId="8" hidden="1">'💪Placar de Esforço'!$C$1:$AS$1</definedName>
    <definedName name="_xlnm._FilterDatabase" localSheetId="7" hidden="1">'📊Time Estatísticas'!$E$1:$CV$28</definedName>
    <definedName name="_xlnm._FilterDatabase" localSheetId="2" hidden="1">'🛡️Laterais'!$B$1:$FD$11</definedName>
    <definedName name="_xlnm._FilterDatabase" localSheetId="3" hidden="1">'🛡️Volantes'!$B$1:$EU$724</definedName>
    <definedName name="_xlnm._FilterDatabase" localSheetId="0" hidden="1">'🧤Goleiros'!$E$1:$DV$1</definedName>
    <definedName name="_xlnm._FilterDatabase" localSheetId="1" hidden="1">'🧱Zagueiros'!$B$1:$GC$1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" i="18" l="1"/>
  <c r="R4" i="18"/>
  <c r="R5" i="18"/>
  <c r="R6" i="18"/>
  <c r="R7" i="18"/>
  <c r="R8" i="18"/>
  <c r="R9" i="18"/>
  <c r="R10" i="18"/>
  <c r="R11" i="18"/>
  <c r="R12" i="18"/>
  <c r="DC11" i="16"/>
  <c r="DE11" i="16"/>
  <c r="DC2" i="16"/>
  <c r="DE2" i="16"/>
  <c r="DC9" i="16"/>
  <c r="DE9" i="16"/>
  <c r="DC8" i="16"/>
  <c r="DE8" i="16"/>
  <c r="DC6" i="16"/>
  <c r="DE6" i="16"/>
  <c r="DC3" i="16"/>
  <c r="DE3" i="16"/>
  <c r="DC7" i="16"/>
  <c r="DE7" i="16"/>
  <c r="DC5" i="16"/>
  <c r="DE5" i="16"/>
  <c r="DC10" i="16"/>
  <c r="DE10" i="16"/>
  <c r="CK11" i="16"/>
  <c r="CK2" i="16"/>
  <c r="CK9" i="16"/>
  <c r="CK8" i="16"/>
  <c r="CM8" i="16" s="1"/>
  <c r="CK6" i="16"/>
  <c r="CK3" i="16"/>
  <c r="CK7" i="16"/>
  <c r="CK5" i="16"/>
  <c r="CK10" i="16"/>
  <c r="AF11" i="16"/>
  <c r="AG11" i="16"/>
  <c r="AF2" i="16"/>
  <c r="AG2" i="16"/>
  <c r="AF9" i="16"/>
  <c r="AG9" i="16"/>
  <c r="AF8" i="16"/>
  <c r="AG8" i="16"/>
  <c r="AF6" i="16"/>
  <c r="AG6" i="16"/>
  <c r="AI6" i="16" s="1"/>
  <c r="AF3" i="16"/>
  <c r="AG3" i="16"/>
  <c r="AI3" i="16" s="1"/>
  <c r="AF7" i="16"/>
  <c r="AG7" i="16"/>
  <c r="AF5" i="16"/>
  <c r="AG5" i="16"/>
  <c r="AF10" i="16"/>
  <c r="AG10" i="16"/>
  <c r="CE2" i="10"/>
  <c r="Y4" i="16"/>
  <c r="Y8" i="16"/>
  <c r="Y5" i="16"/>
  <c r="Y6" i="16"/>
  <c r="Y7" i="16"/>
  <c r="Y11" i="16"/>
  <c r="Y3" i="16"/>
  <c r="Y9" i="16"/>
  <c r="Y10" i="16"/>
  <c r="Y2" i="16"/>
  <c r="U4" i="16"/>
  <c r="W4" i="16" s="1"/>
  <c r="U8" i="16"/>
  <c r="BD8" i="16" s="1"/>
  <c r="U5" i="16"/>
  <c r="BD5" i="16" s="1"/>
  <c r="U6" i="16"/>
  <c r="BD6" i="16" s="1"/>
  <c r="U7" i="16"/>
  <c r="BD7" i="16" s="1"/>
  <c r="U11" i="16"/>
  <c r="BD11" i="16" s="1"/>
  <c r="U3" i="16"/>
  <c r="W3" i="16" s="1"/>
  <c r="BC3" i="16" s="1"/>
  <c r="U9" i="16"/>
  <c r="W9" i="16" s="1"/>
  <c r="BC9" i="16" s="1"/>
  <c r="U10" i="16"/>
  <c r="BD10" i="16" s="1"/>
  <c r="U2" i="16"/>
  <c r="B4" i="16"/>
  <c r="C4" i="16"/>
  <c r="D4" i="16"/>
  <c r="E4" i="16"/>
  <c r="F4" i="16"/>
  <c r="G4" i="16"/>
  <c r="H4" i="16"/>
  <c r="I4" i="16"/>
  <c r="J4" i="16"/>
  <c r="L4" i="16"/>
  <c r="CG4" i="16" s="1"/>
  <c r="M4" i="16"/>
  <c r="N4" i="16" s="1"/>
  <c r="O4" i="16"/>
  <c r="P4" i="16"/>
  <c r="Q4" i="16"/>
  <c r="R4" i="16"/>
  <c r="AC4" i="16"/>
  <c r="AD4" i="16"/>
  <c r="AF4" i="16"/>
  <c r="AG4" i="16"/>
  <c r="AH4" i="16"/>
  <c r="AJ4" i="16"/>
  <c r="AL4" i="16"/>
  <c r="AN4" i="16"/>
  <c r="AU4" i="16"/>
  <c r="AV4" i="16"/>
  <c r="AW4" i="16"/>
  <c r="AY4" i="16"/>
  <c r="BF4" i="16"/>
  <c r="BH4" i="16"/>
  <c r="BK4" i="16"/>
  <c r="BM4" i="16"/>
  <c r="BO4" i="16"/>
  <c r="BQ4" i="16"/>
  <c r="BT4" i="16"/>
  <c r="BV4" i="16"/>
  <c r="BX4" i="16"/>
  <c r="CA4" i="16"/>
  <c r="CC4" i="16"/>
  <c r="CF4" i="16"/>
  <c r="CH4" i="16"/>
  <c r="CK4" i="16"/>
  <c r="DV4" i="16" s="1"/>
  <c r="CN4" i="16"/>
  <c r="CP4" i="16"/>
  <c r="CQ4" i="16"/>
  <c r="CS4" i="16"/>
  <c r="CU4" i="16"/>
  <c r="CW4" i="16"/>
  <c r="CY4" i="16"/>
  <c r="DA4" i="16"/>
  <c r="DC4" i="16"/>
  <c r="DE4" i="16"/>
  <c r="DH4" i="16"/>
  <c r="DJ4" i="16"/>
  <c r="DM4" i="16"/>
  <c r="DN4" i="16"/>
  <c r="DR4" i="16"/>
  <c r="DY4" i="16"/>
  <c r="EA4" i="16"/>
  <c r="EB4" i="16"/>
  <c r="ED4" i="16"/>
  <c r="EG4" i="16"/>
  <c r="EH4" i="16"/>
  <c r="B8" i="16"/>
  <c r="C8" i="16"/>
  <c r="D8" i="16"/>
  <c r="E8" i="16"/>
  <c r="F8" i="16"/>
  <c r="G8" i="16"/>
  <c r="H8" i="16"/>
  <c r="I8" i="16"/>
  <c r="J8" i="16"/>
  <c r="L8" i="16"/>
  <c r="DF8" i="16" s="1"/>
  <c r="M8" i="16"/>
  <c r="N8" i="16" s="1"/>
  <c r="O8" i="16"/>
  <c r="P8" i="16"/>
  <c r="Q8" i="16"/>
  <c r="R8" i="16"/>
  <c r="AC8" i="16"/>
  <c r="AD8" i="16"/>
  <c r="AH8" i="16"/>
  <c r="AJ8" i="16"/>
  <c r="AL8" i="16"/>
  <c r="AN8" i="16"/>
  <c r="AU8" i="16"/>
  <c r="AV8" i="16"/>
  <c r="AW8" i="16"/>
  <c r="AY8" i="16"/>
  <c r="BF8" i="16"/>
  <c r="BH8" i="16"/>
  <c r="BK8" i="16"/>
  <c r="BM8" i="16"/>
  <c r="BO8" i="16"/>
  <c r="BQ8" i="16"/>
  <c r="BT8" i="16"/>
  <c r="BV8" i="16"/>
  <c r="BX8" i="16"/>
  <c r="CA8" i="16"/>
  <c r="CC8" i="16"/>
  <c r="CF8" i="16"/>
  <c r="CH8" i="16"/>
  <c r="CN8" i="16"/>
  <c r="CP8" i="16"/>
  <c r="CQ8" i="16"/>
  <c r="CS8" i="16"/>
  <c r="CU8" i="16"/>
  <c r="CW8" i="16"/>
  <c r="CY8" i="16"/>
  <c r="DA8" i="16"/>
  <c r="DH8" i="16"/>
  <c r="DJ8" i="16"/>
  <c r="DM8" i="16"/>
  <c r="DN8" i="16"/>
  <c r="DR8" i="16"/>
  <c r="DY8" i="16"/>
  <c r="EA8" i="16"/>
  <c r="EB8" i="16"/>
  <c r="ED8" i="16"/>
  <c r="EG8" i="16"/>
  <c r="EH8" i="16"/>
  <c r="B5" i="16"/>
  <c r="C5" i="16"/>
  <c r="D5" i="16"/>
  <c r="E5" i="16"/>
  <c r="F5" i="16"/>
  <c r="G5" i="16"/>
  <c r="H5" i="16"/>
  <c r="I5" i="16"/>
  <c r="J5" i="16"/>
  <c r="L5" i="16"/>
  <c r="M5" i="16"/>
  <c r="N5" i="16" s="1"/>
  <c r="O5" i="16"/>
  <c r="P5" i="16"/>
  <c r="Q5" i="16"/>
  <c r="R5" i="16"/>
  <c r="AC5" i="16"/>
  <c r="AD5" i="16"/>
  <c r="AH5" i="16"/>
  <c r="AJ5" i="16"/>
  <c r="AL5" i="16"/>
  <c r="AN5" i="16"/>
  <c r="AU5" i="16"/>
  <c r="AV5" i="16"/>
  <c r="AW5" i="16"/>
  <c r="AY5" i="16"/>
  <c r="BF5" i="16"/>
  <c r="BH5" i="16"/>
  <c r="BK5" i="16"/>
  <c r="BM5" i="16"/>
  <c r="BO5" i="16"/>
  <c r="BQ5" i="16"/>
  <c r="BT5" i="16"/>
  <c r="BV5" i="16"/>
  <c r="BX5" i="16"/>
  <c r="CA5" i="16"/>
  <c r="CC5" i="16"/>
  <c r="CF5" i="16"/>
  <c r="CH5" i="16"/>
  <c r="CN5" i="16"/>
  <c r="CP5" i="16"/>
  <c r="CQ5" i="16"/>
  <c r="CS5" i="16"/>
  <c r="CU5" i="16"/>
  <c r="CW5" i="16"/>
  <c r="CY5" i="16"/>
  <c r="DA5" i="16"/>
  <c r="DH5" i="16"/>
  <c r="DJ5" i="16"/>
  <c r="DM5" i="16"/>
  <c r="DN5" i="16"/>
  <c r="DR5" i="16"/>
  <c r="DY5" i="16"/>
  <c r="EA5" i="16"/>
  <c r="EB5" i="16"/>
  <c r="ED5" i="16"/>
  <c r="EG5" i="16"/>
  <c r="EH5" i="16"/>
  <c r="B6" i="16"/>
  <c r="C6" i="16"/>
  <c r="D6" i="16"/>
  <c r="E6" i="16"/>
  <c r="F6" i="16"/>
  <c r="G6" i="16"/>
  <c r="H6" i="16"/>
  <c r="I6" i="16"/>
  <c r="J6" i="16"/>
  <c r="L6" i="16"/>
  <c r="CG6" i="16" s="1"/>
  <c r="M6" i="16"/>
  <c r="N6" i="16" s="1"/>
  <c r="O6" i="16"/>
  <c r="P6" i="16"/>
  <c r="Q6" i="16"/>
  <c r="R6" i="16"/>
  <c r="AC6" i="16"/>
  <c r="AD6" i="16"/>
  <c r="AH6" i="16"/>
  <c r="AJ6" i="16"/>
  <c r="AL6" i="16"/>
  <c r="AN6" i="16"/>
  <c r="AU6" i="16"/>
  <c r="AV6" i="16"/>
  <c r="AW6" i="16"/>
  <c r="AY6" i="16"/>
  <c r="BF6" i="16"/>
  <c r="BH6" i="16"/>
  <c r="BK6" i="16"/>
  <c r="BM6" i="16"/>
  <c r="BO6" i="16"/>
  <c r="BQ6" i="16"/>
  <c r="BT6" i="16"/>
  <c r="BV6" i="16"/>
  <c r="BX6" i="16"/>
  <c r="CA6" i="16"/>
  <c r="CC6" i="16"/>
  <c r="CF6" i="16"/>
  <c r="CH6" i="16"/>
  <c r="CM6" i="16"/>
  <c r="CN6" i="16"/>
  <c r="CP6" i="16"/>
  <c r="CQ6" i="16"/>
  <c r="CS6" i="16"/>
  <c r="CU6" i="16"/>
  <c r="CW6" i="16"/>
  <c r="CY6" i="16"/>
  <c r="DA6" i="16"/>
  <c r="DH6" i="16"/>
  <c r="DJ6" i="16"/>
  <c r="DM6" i="16"/>
  <c r="DN6" i="16"/>
  <c r="DR6" i="16"/>
  <c r="DY6" i="16"/>
  <c r="EA6" i="16"/>
  <c r="EB6" i="16"/>
  <c r="ED6" i="16"/>
  <c r="EG6" i="16"/>
  <c r="EH6" i="16"/>
  <c r="B7" i="16"/>
  <c r="C7" i="16"/>
  <c r="D7" i="16"/>
  <c r="E7" i="16"/>
  <c r="F7" i="16"/>
  <c r="G7" i="16"/>
  <c r="H7" i="16"/>
  <c r="I7" i="16"/>
  <c r="J7" i="16"/>
  <c r="L7" i="16"/>
  <c r="BY7" i="16" s="1"/>
  <c r="M7" i="16"/>
  <c r="N7" i="16" s="1"/>
  <c r="O7" i="16"/>
  <c r="P7" i="16"/>
  <c r="Q7" i="16"/>
  <c r="R7" i="16"/>
  <c r="AC7" i="16"/>
  <c r="AD7" i="16"/>
  <c r="AH7" i="16"/>
  <c r="AJ7" i="16"/>
  <c r="AL7" i="16"/>
  <c r="AN7" i="16"/>
  <c r="AU7" i="16"/>
  <c r="AV7" i="16"/>
  <c r="AW7" i="16"/>
  <c r="AX7" i="16" s="1"/>
  <c r="AY7" i="16"/>
  <c r="BF7" i="16"/>
  <c r="BH7" i="16"/>
  <c r="BK7" i="16"/>
  <c r="BM7" i="16"/>
  <c r="BO7" i="16"/>
  <c r="BQ7" i="16"/>
  <c r="BT7" i="16"/>
  <c r="BV7" i="16"/>
  <c r="BX7" i="16"/>
  <c r="CA7" i="16"/>
  <c r="CC7" i="16"/>
  <c r="CF7" i="16"/>
  <c r="CH7" i="16"/>
  <c r="CN7" i="16"/>
  <c r="CP7" i="16"/>
  <c r="CQ7" i="16"/>
  <c r="CS7" i="16"/>
  <c r="CU7" i="16"/>
  <c r="CW7" i="16"/>
  <c r="CY7" i="16"/>
  <c r="DA7" i="16"/>
  <c r="DH7" i="16"/>
  <c r="DJ7" i="16"/>
  <c r="DM7" i="16"/>
  <c r="DN7" i="16"/>
  <c r="DR7" i="16"/>
  <c r="DY7" i="16"/>
  <c r="EA7" i="16"/>
  <c r="EB7" i="16"/>
  <c r="ED7" i="16"/>
  <c r="EG7" i="16"/>
  <c r="EH7" i="16"/>
  <c r="B11" i="16"/>
  <c r="C11" i="16"/>
  <c r="D11" i="16"/>
  <c r="E11" i="16"/>
  <c r="F11" i="16"/>
  <c r="G11" i="16"/>
  <c r="H11" i="16"/>
  <c r="I11" i="16"/>
  <c r="J11" i="16"/>
  <c r="L11" i="16"/>
  <c r="DF11" i="16" s="1"/>
  <c r="M11" i="16"/>
  <c r="N11" i="16" s="1"/>
  <c r="O11" i="16"/>
  <c r="P11" i="16"/>
  <c r="Q11" i="16"/>
  <c r="R11" i="16"/>
  <c r="AC11" i="16"/>
  <c r="AD11" i="16"/>
  <c r="AH11" i="16"/>
  <c r="AJ11" i="16"/>
  <c r="AL11" i="16"/>
  <c r="AN11" i="16"/>
  <c r="AU11" i="16"/>
  <c r="AV11" i="16"/>
  <c r="AW11" i="16"/>
  <c r="AY11" i="16"/>
  <c r="BF11" i="16"/>
  <c r="BH11" i="16"/>
  <c r="BK11" i="16"/>
  <c r="BM11" i="16"/>
  <c r="BO11" i="16"/>
  <c r="BQ11" i="16"/>
  <c r="BT11" i="16"/>
  <c r="BV11" i="16"/>
  <c r="BX11" i="16"/>
  <c r="CA11" i="16"/>
  <c r="CC11" i="16"/>
  <c r="CF11" i="16"/>
  <c r="CH11" i="16"/>
  <c r="CN11" i="16"/>
  <c r="CP11" i="16"/>
  <c r="CQ11" i="16"/>
  <c r="CS11" i="16"/>
  <c r="CU11" i="16"/>
  <c r="CW11" i="16"/>
  <c r="CY11" i="16"/>
  <c r="DA11" i="16"/>
  <c r="DH11" i="16"/>
  <c r="DJ11" i="16"/>
  <c r="DM11" i="16"/>
  <c r="DN11" i="16"/>
  <c r="DR11" i="16"/>
  <c r="DY11" i="16"/>
  <c r="EA11" i="16"/>
  <c r="EB11" i="16"/>
  <c r="ED11" i="16"/>
  <c r="EG11" i="16"/>
  <c r="EH11" i="16"/>
  <c r="B3" i="16"/>
  <c r="C3" i="16"/>
  <c r="D3" i="16"/>
  <c r="E3" i="16"/>
  <c r="F3" i="16"/>
  <c r="G3" i="16"/>
  <c r="H3" i="16"/>
  <c r="I3" i="16"/>
  <c r="J3" i="16"/>
  <c r="L3" i="16"/>
  <c r="BJ3" i="16" s="1"/>
  <c r="M3" i="16"/>
  <c r="N3" i="16" s="1"/>
  <c r="O3" i="16"/>
  <c r="P3" i="16"/>
  <c r="Q3" i="16"/>
  <c r="R3" i="16"/>
  <c r="AC3" i="16"/>
  <c r="AD3" i="16"/>
  <c r="AH3" i="16"/>
  <c r="AJ3" i="16"/>
  <c r="AL3" i="16"/>
  <c r="AN3" i="16"/>
  <c r="AU3" i="16"/>
  <c r="AV3" i="16"/>
  <c r="AW3" i="16"/>
  <c r="AY3" i="16"/>
  <c r="BF3" i="16"/>
  <c r="BH3" i="16"/>
  <c r="BK3" i="16"/>
  <c r="BM3" i="16"/>
  <c r="BO3" i="16"/>
  <c r="BQ3" i="16"/>
  <c r="BT3" i="16"/>
  <c r="BV3" i="16"/>
  <c r="BX3" i="16"/>
  <c r="CA3" i="16"/>
  <c r="CC3" i="16"/>
  <c r="CF3" i="16"/>
  <c r="CH3" i="16"/>
  <c r="CN3" i="16"/>
  <c r="CP3" i="16"/>
  <c r="CQ3" i="16"/>
  <c r="CS3" i="16"/>
  <c r="CU3" i="16"/>
  <c r="CW3" i="16"/>
  <c r="CY3" i="16"/>
  <c r="DA3" i="16"/>
  <c r="DH3" i="16"/>
  <c r="DJ3" i="16"/>
  <c r="DM3" i="16"/>
  <c r="DN3" i="16"/>
  <c r="DR3" i="16"/>
  <c r="DY3" i="16"/>
  <c r="EA3" i="16"/>
  <c r="EB3" i="16"/>
  <c r="ED3" i="16"/>
  <c r="EG3" i="16"/>
  <c r="EH3" i="16"/>
  <c r="A2" i="16"/>
  <c r="A3" i="16"/>
  <c r="A4" i="16"/>
  <c r="A5" i="16"/>
  <c r="A6" i="16"/>
  <c r="A7" i="16"/>
  <c r="A8" i="16"/>
  <c r="A9" i="16"/>
  <c r="A10" i="16"/>
  <c r="A11" i="16"/>
  <c r="B9" i="16"/>
  <c r="C9" i="16"/>
  <c r="D9" i="16"/>
  <c r="E9" i="16"/>
  <c r="F9" i="16"/>
  <c r="G9" i="16"/>
  <c r="H9" i="16"/>
  <c r="I9" i="16"/>
  <c r="J9" i="16"/>
  <c r="L9" i="16"/>
  <c r="DD9" i="16" s="1"/>
  <c r="M9" i="16"/>
  <c r="N9" i="16" s="1"/>
  <c r="O9" i="16"/>
  <c r="P9" i="16"/>
  <c r="Q9" i="16"/>
  <c r="R9" i="16"/>
  <c r="AC9" i="16"/>
  <c r="AD9" i="16"/>
  <c r="AH9" i="16"/>
  <c r="AJ9" i="16"/>
  <c r="AL9" i="16"/>
  <c r="AN9" i="16"/>
  <c r="AU9" i="16"/>
  <c r="AV9" i="16"/>
  <c r="AW9" i="16"/>
  <c r="AY9" i="16"/>
  <c r="BF9" i="16"/>
  <c r="BH9" i="16"/>
  <c r="BK9" i="16"/>
  <c r="BM9" i="16"/>
  <c r="BO9" i="16"/>
  <c r="BQ9" i="16"/>
  <c r="BT9" i="16"/>
  <c r="BV9" i="16"/>
  <c r="BX9" i="16"/>
  <c r="CA9" i="16"/>
  <c r="CC9" i="16"/>
  <c r="CF9" i="16"/>
  <c r="CH9" i="16"/>
  <c r="CN9" i="16"/>
  <c r="CP9" i="16"/>
  <c r="CQ9" i="16"/>
  <c r="CS9" i="16"/>
  <c r="CU9" i="16"/>
  <c r="CW9" i="16"/>
  <c r="CY9" i="16"/>
  <c r="DA9" i="16"/>
  <c r="DH9" i="16"/>
  <c r="DJ9" i="16"/>
  <c r="DM9" i="16"/>
  <c r="DN9" i="16"/>
  <c r="DR9" i="16"/>
  <c r="DY9" i="16"/>
  <c r="EA9" i="16"/>
  <c r="EB9" i="16"/>
  <c r="ED9" i="16"/>
  <c r="EG9" i="16"/>
  <c r="EH9" i="16"/>
  <c r="B10" i="16"/>
  <c r="C10" i="16"/>
  <c r="D10" i="16"/>
  <c r="E10" i="16"/>
  <c r="F10" i="16"/>
  <c r="G10" i="16"/>
  <c r="H10" i="16"/>
  <c r="I10" i="16"/>
  <c r="J10" i="16"/>
  <c r="L10" i="16"/>
  <c r="CG10" i="16" s="1"/>
  <c r="M10" i="16"/>
  <c r="N10" i="16" s="1"/>
  <c r="O10" i="16"/>
  <c r="P10" i="16"/>
  <c r="Q10" i="16"/>
  <c r="R10" i="16"/>
  <c r="AC10" i="16"/>
  <c r="AD10" i="16"/>
  <c r="AH10" i="16"/>
  <c r="AJ10" i="16"/>
  <c r="AL10" i="16"/>
  <c r="AN10" i="16"/>
  <c r="AU10" i="16"/>
  <c r="AV10" i="16"/>
  <c r="AW10" i="16"/>
  <c r="AY10" i="16"/>
  <c r="BF10" i="16"/>
  <c r="BH10" i="16"/>
  <c r="BK10" i="16"/>
  <c r="BM10" i="16"/>
  <c r="BO10" i="16"/>
  <c r="BQ10" i="16"/>
  <c r="BT10" i="16"/>
  <c r="BV10" i="16"/>
  <c r="BX10" i="16"/>
  <c r="CA10" i="16"/>
  <c r="CC10" i="16"/>
  <c r="CF10" i="16"/>
  <c r="CH10" i="16"/>
  <c r="CN10" i="16"/>
  <c r="CP10" i="16"/>
  <c r="CQ10" i="16"/>
  <c r="CS10" i="16"/>
  <c r="CU10" i="16"/>
  <c r="CW10" i="16"/>
  <c r="CY10" i="16"/>
  <c r="DA10" i="16"/>
  <c r="DH10" i="16"/>
  <c r="DJ10" i="16"/>
  <c r="DM10" i="16"/>
  <c r="DN10" i="16"/>
  <c r="DR10" i="16"/>
  <c r="DY10" i="16"/>
  <c r="EA10" i="16"/>
  <c r="EB10" i="16"/>
  <c r="ED10" i="16"/>
  <c r="EG10" i="16"/>
  <c r="EH10" i="16"/>
  <c r="B2" i="16"/>
  <c r="C2" i="16"/>
  <c r="D2" i="16"/>
  <c r="E2" i="16"/>
  <c r="F2" i="16"/>
  <c r="G2" i="16"/>
  <c r="H2" i="16"/>
  <c r="I2" i="16"/>
  <c r="J2" i="16"/>
  <c r="L2" i="16"/>
  <c r="CG2" i="16" s="1"/>
  <c r="M2" i="16"/>
  <c r="N2" i="16" s="1"/>
  <c r="O2" i="16"/>
  <c r="P2" i="16"/>
  <c r="Q2" i="16"/>
  <c r="R2" i="16"/>
  <c r="AC2" i="16"/>
  <c r="AD2" i="16"/>
  <c r="AH2" i="16"/>
  <c r="AJ2" i="16"/>
  <c r="AL2" i="16"/>
  <c r="AN2" i="16"/>
  <c r="AU2" i="16"/>
  <c r="AV2" i="16"/>
  <c r="AW2" i="16"/>
  <c r="AY2" i="16"/>
  <c r="BF2" i="16"/>
  <c r="BH2" i="16"/>
  <c r="BK2" i="16"/>
  <c r="BM2" i="16"/>
  <c r="BO2" i="16"/>
  <c r="BQ2" i="16"/>
  <c r="BT2" i="16"/>
  <c r="BV2" i="16"/>
  <c r="BX2" i="16"/>
  <c r="CA2" i="16"/>
  <c r="CC2" i="16"/>
  <c r="CF2" i="16"/>
  <c r="CH2" i="16"/>
  <c r="CN2" i="16"/>
  <c r="CP2" i="16"/>
  <c r="CQ2" i="16"/>
  <c r="CS2" i="16"/>
  <c r="CU2" i="16"/>
  <c r="CW2" i="16"/>
  <c r="CY2" i="16"/>
  <c r="DA2" i="16"/>
  <c r="DH2" i="16"/>
  <c r="DJ2" i="16"/>
  <c r="DM2" i="16"/>
  <c r="DN2" i="16"/>
  <c r="DR2" i="16"/>
  <c r="DY2" i="16"/>
  <c r="EA2" i="16"/>
  <c r="EB2" i="16"/>
  <c r="ED2" i="16"/>
  <c r="EG2" i="16"/>
  <c r="EH2" i="16"/>
  <c r="B15" i="15"/>
  <c r="C15" i="15"/>
  <c r="D15" i="15"/>
  <c r="E15" i="15"/>
  <c r="F15" i="15"/>
  <c r="H15" i="15"/>
  <c r="AC15" i="15" s="1"/>
  <c r="I15" i="15"/>
  <c r="J15" i="15" s="1"/>
  <c r="K15" i="15"/>
  <c r="L15" i="15"/>
  <c r="M15" i="15"/>
  <c r="O15" i="15"/>
  <c r="P15" i="15"/>
  <c r="U15" i="15"/>
  <c r="AN15" i="15" s="1"/>
  <c r="X15" i="15"/>
  <c r="DK15" i="15" s="1"/>
  <c r="AB15" i="15"/>
  <c r="AD15" i="15"/>
  <c r="AG15" i="15"/>
  <c r="AH15" i="15"/>
  <c r="AI15" i="15"/>
  <c r="AJ15" i="15"/>
  <c r="AK15" i="15"/>
  <c r="AL15" i="15"/>
  <c r="AP15" i="15"/>
  <c r="AR15" i="15"/>
  <c r="AS15" i="15"/>
  <c r="AW15" i="15"/>
  <c r="AX15" i="15"/>
  <c r="AY15" i="15"/>
  <c r="BA15" i="15" s="1"/>
  <c r="BC15" i="15"/>
  <c r="BD15" i="15" s="1"/>
  <c r="BE15" i="15"/>
  <c r="BG15" i="15"/>
  <c r="BK15" i="15"/>
  <c r="BL15" i="15"/>
  <c r="BM15" i="15"/>
  <c r="BN15" i="15" s="1"/>
  <c r="BO15" i="15"/>
  <c r="BQ15" i="15"/>
  <c r="BT15" i="15"/>
  <c r="BV15" i="15"/>
  <c r="BX15" i="15"/>
  <c r="BZ15" i="15"/>
  <c r="CA15" i="15" s="1"/>
  <c r="CC15" i="15"/>
  <c r="CD15" i="15"/>
  <c r="CI15" i="15"/>
  <c r="CL15" i="15"/>
  <c r="CN15" i="15"/>
  <c r="CT15" i="15"/>
  <c r="CV15" i="15"/>
  <c r="CX15" i="15"/>
  <c r="DA15" i="15"/>
  <c r="DB15" i="15"/>
  <c r="DD15" i="15"/>
  <c r="DG15" i="15"/>
  <c r="DI15" i="15"/>
  <c r="DJ15" i="15"/>
  <c r="DM15" i="15"/>
  <c r="DN15" i="15" s="1"/>
  <c r="DO15" i="15"/>
  <c r="DP15" i="15"/>
  <c r="DS15" i="15"/>
  <c r="DT15" i="15"/>
  <c r="DX15" i="15"/>
  <c r="DY15" i="15"/>
  <c r="EA15" i="15"/>
  <c r="EC15" i="15"/>
  <c r="B5" i="15"/>
  <c r="C5" i="15"/>
  <c r="D5" i="15"/>
  <c r="E5" i="15"/>
  <c r="F5" i="15"/>
  <c r="H5" i="15"/>
  <c r="AZ5" i="15" s="1"/>
  <c r="I5" i="15"/>
  <c r="J5" i="15" s="1"/>
  <c r="K5" i="15"/>
  <c r="L5" i="15"/>
  <c r="N5" i="15" s="1"/>
  <c r="M5" i="15"/>
  <c r="O5" i="15"/>
  <c r="P5" i="15"/>
  <c r="U5" i="15"/>
  <c r="V5" i="15" s="1"/>
  <c r="X5" i="15"/>
  <c r="DK5" i="15" s="1"/>
  <c r="AB5" i="15"/>
  <c r="AC5" i="15"/>
  <c r="AD5" i="15"/>
  <c r="AG5" i="15"/>
  <c r="AH5" i="15"/>
  <c r="AI5" i="15"/>
  <c r="AJ5" i="15"/>
  <c r="AK5" i="15"/>
  <c r="AL5" i="15"/>
  <c r="AP5" i="15"/>
  <c r="AQ5" i="15" s="1"/>
  <c r="AR5" i="15"/>
  <c r="AS5" i="15"/>
  <c r="AU5" i="15" s="1"/>
  <c r="AW5" i="15"/>
  <c r="AX5" i="15"/>
  <c r="AY5" i="15"/>
  <c r="BA5" i="15" s="1"/>
  <c r="BC5" i="15"/>
  <c r="BE5" i="15"/>
  <c r="BF5" i="15" s="1"/>
  <c r="BG5" i="15"/>
  <c r="BK5" i="15"/>
  <c r="BL5" i="15"/>
  <c r="BM5" i="15"/>
  <c r="BO5" i="15"/>
  <c r="BQ5" i="15"/>
  <c r="BR5" i="15" s="1"/>
  <c r="BT5" i="15"/>
  <c r="BU5" i="15" s="1"/>
  <c r="BV5" i="15"/>
  <c r="BW5" i="15" s="1"/>
  <c r="BX5" i="15"/>
  <c r="BY5" i="15" s="1"/>
  <c r="BZ5" i="15"/>
  <c r="CC5" i="15"/>
  <c r="CD5" i="15"/>
  <c r="CG5" i="15"/>
  <c r="CH5" i="15" s="1"/>
  <c r="CI5" i="15"/>
  <c r="CJ5" i="15" s="1"/>
  <c r="CL5" i="15"/>
  <c r="CM5" i="15" s="1"/>
  <c r="CN5" i="15"/>
  <c r="CT5" i="15"/>
  <c r="CU5" i="15" s="1"/>
  <c r="CV5" i="15"/>
  <c r="CX5" i="15"/>
  <c r="DA5" i="15"/>
  <c r="DB5" i="15"/>
  <c r="DD5" i="15"/>
  <c r="DE5" i="15"/>
  <c r="DF5" i="15" s="1"/>
  <c r="DG5" i="15"/>
  <c r="DH5" i="15" s="1"/>
  <c r="DI5" i="15"/>
  <c r="DJ5" i="15"/>
  <c r="DM5" i="15"/>
  <c r="DN5" i="15" s="1"/>
  <c r="DO5" i="15"/>
  <c r="DP5" i="15"/>
  <c r="DS5" i="15"/>
  <c r="DT5" i="15"/>
  <c r="DV5" i="15" s="1"/>
  <c r="DX5" i="15"/>
  <c r="DW5" i="15" s="1"/>
  <c r="DY5" i="15"/>
  <c r="DZ5" i="15" s="1"/>
  <c r="EA5" i="15"/>
  <c r="EC5" i="15"/>
  <c r="EB5" i="15" s="1"/>
  <c r="B11" i="15"/>
  <c r="C11" i="15"/>
  <c r="D11" i="15"/>
  <c r="E11" i="15"/>
  <c r="F11" i="15"/>
  <c r="H11" i="15"/>
  <c r="AC11" i="15" s="1"/>
  <c r="I11" i="15"/>
  <c r="J11" i="15" s="1"/>
  <c r="K11" i="15"/>
  <c r="L11" i="15"/>
  <c r="M11" i="15"/>
  <c r="O11" i="15"/>
  <c r="P11" i="15"/>
  <c r="U11" i="15"/>
  <c r="X11" i="15"/>
  <c r="DK11" i="15" s="1"/>
  <c r="AB11" i="15"/>
  <c r="AD11" i="15"/>
  <c r="AG11" i="15"/>
  <c r="AH11" i="15"/>
  <c r="AI11" i="15"/>
  <c r="AJ11" i="15"/>
  <c r="AK11" i="15"/>
  <c r="AL11" i="15"/>
  <c r="AP11" i="15"/>
  <c r="AR11" i="15"/>
  <c r="AS11" i="15"/>
  <c r="AW11" i="15"/>
  <c r="AX11" i="15"/>
  <c r="AY11" i="15"/>
  <c r="BC11" i="15"/>
  <c r="BE11" i="15"/>
  <c r="BG11" i="15"/>
  <c r="BK11" i="15"/>
  <c r="BL11" i="15"/>
  <c r="BM11" i="15"/>
  <c r="BO11" i="15"/>
  <c r="BQ11" i="15"/>
  <c r="BT11" i="15"/>
  <c r="BV11" i="15"/>
  <c r="BX11" i="15"/>
  <c r="BZ11" i="15"/>
  <c r="CC11" i="15"/>
  <c r="CD11" i="15"/>
  <c r="CI11" i="15"/>
  <c r="CL11" i="15"/>
  <c r="CN11" i="15"/>
  <c r="CR11" i="15" s="1"/>
  <c r="CT11" i="15"/>
  <c r="CV11" i="15"/>
  <c r="CX11" i="15"/>
  <c r="DA11" i="15"/>
  <c r="DB11" i="15"/>
  <c r="DD11" i="15"/>
  <c r="DG11" i="15"/>
  <c r="DI11" i="15"/>
  <c r="DJ11" i="15"/>
  <c r="DM11" i="15"/>
  <c r="DO11" i="15"/>
  <c r="DP11" i="15"/>
  <c r="DS11" i="15"/>
  <c r="DT11" i="15"/>
  <c r="DV11" i="15" s="1"/>
  <c r="DX11" i="15"/>
  <c r="DY11" i="15"/>
  <c r="EA11" i="15"/>
  <c r="EC11" i="15"/>
  <c r="B14" i="15"/>
  <c r="C14" i="15"/>
  <c r="D14" i="15"/>
  <c r="E14" i="15"/>
  <c r="F14" i="15"/>
  <c r="H14" i="15"/>
  <c r="I14" i="15"/>
  <c r="J14" i="15" s="1"/>
  <c r="K14" i="15"/>
  <c r="L14" i="15"/>
  <c r="M14" i="15"/>
  <c r="O14" i="15"/>
  <c r="P14" i="15"/>
  <c r="U14" i="15"/>
  <c r="AN14" i="15" s="1"/>
  <c r="X14" i="15"/>
  <c r="DL14" i="15" s="1"/>
  <c r="AB14" i="15"/>
  <c r="AD14" i="15"/>
  <c r="AG14" i="15"/>
  <c r="AH14" i="15"/>
  <c r="AI14" i="15"/>
  <c r="AJ14" i="15"/>
  <c r="AK14" i="15"/>
  <c r="AL14" i="15"/>
  <c r="AP14" i="15"/>
  <c r="AR14" i="15"/>
  <c r="AS14" i="15"/>
  <c r="AW14" i="15"/>
  <c r="AX14" i="15"/>
  <c r="BB14" i="15" s="1"/>
  <c r="AY14" i="15"/>
  <c r="BC14" i="15"/>
  <c r="BE14" i="15"/>
  <c r="BG14" i="15"/>
  <c r="BK14" i="15"/>
  <c r="BL14" i="15"/>
  <c r="BM14" i="15"/>
  <c r="BO14" i="15"/>
  <c r="BQ14" i="15"/>
  <c r="BT14" i="15"/>
  <c r="BV14" i="15"/>
  <c r="BX14" i="15"/>
  <c r="BY14" i="15" s="1"/>
  <c r="BZ14" i="15"/>
  <c r="CC14" i="15"/>
  <c r="CD14" i="15"/>
  <c r="CI14" i="15"/>
  <c r="CL14" i="15"/>
  <c r="CN14" i="15"/>
  <c r="CR14" i="15" s="1"/>
  <c r="CT14" i="15"/>
  <c r="CV14" i="15"/>
  <c r="CX14" i="15"/>
  <c r="DA14" i="15"/>
  <c r="DB14" i="15"/>
  <c r="DD14" i="15"/>
  <c r="DE14" i="15"/>
  <c r="DF14" i="15" s="1"/>
  <c r="DG14" i="15"/>
  <c r="DI14" i="15"/>
  <c r="DJ14" i="15"/>
  <c r="DM14" i="15"/>
  <c r="DN14" i="15" s="1"/>
  <c r="DO14" i="15"/>
  <c r="DP14" i="15"/>
  <c r="DS14" i="15"/>
  <c r="DT14" i="15"/>
  <c r="DX14" i="15"/>
  <c r="DY14" i="15"/>
  <c r="EA14" i="15"/>
  <c r="EC14" i="15"/>
  <c r="B6" i="15"/>
  <c r="C6" i="15"/>
  <c r="D6" i="15"/>
  <c r="E6" i="15"/>
  <c r="F6" i="15"/>
  <c r="H6" i="15"/>
  <c r="AZ6" i="15" s="1"/>
  <c r="I6" i="15"/>
  <c r="J6" i="15" s="1"/>
  <c r="K6" i="15"/>
  <c r="L6" i="15"/>
  <c r="M6" i="15"/>
  <c r="O6" i="15"/>
  <c r="P6" i="15"/>
  <c r="S6" i="15" s="1"/>
  <c r="U6" i="15"/>
  <c r="V6" i="15" s="1"/>
  <c r="X6" i="15"/>
  <c r="DL6" i="15" s="1"/>
  <c r="AB6" i="15"/>
  <c r="AD6" i="15"/>
  <c r="AG6" i="15"/>
  <c r="AH6" i="15"/>
  <c r="AI6" i="15"/>
  <c r="AJ6" i="15"/>
  <c r="AK6" i="15"/>
  <c r="AL6" i="15"/>
  <c r="AP6" i="15"/>
  <c r="AR6" i="15"/>
  <c r="AT6" i="15" s="1"/>
  <c r="AS6" i="15"/>
  <c r="AW6" i="15"/>
  <c r="AX6" i="15"/>
  <c r="AY6" i="15"/>
  <c r="BC6" i="15"/>
  <c r="BE6" i="15"/>
  <c r="BG6" i="15"/>
  <c r="BK6" i="15"/>
  <c r="BL6" i="15"/>
  <c r="BM6" i="15"/>
  <c r="BO6" i="15"/>
  <c r="BQ6" i="15"/>
  <c r="BT6" i="15"/>
  <c r="BV6" i="15"/>
  <c r="BX6" i="15"/>
  <c r="BY6" i="15" s="1"/>
  <c r="BZ6" i="15"/>
  <c r="CC6" i="15"/>
  <c r="CD6" i="15"/>
  <c r="CI6" i="15"/>
  <c r="CL6" i="15"/>
  <c r="CM6" i="15" s="1"/>
  <c r="CN6" i="15"/>
  <c r="CT6" i="15"/>
  <c r="CV6" i="15"/>
  <c r="CX6" i="15"/>
  <c r="DA6" i="15"/>
  <c r="DB6" i="15"/>
  <c r="DD6" i="15"/>
  <c r="DG6" i="15"/>
  <c r="DI6" i="15"/>
  <c r="DJ6" i="15"/>
  <c r="DM6" i="15"/>
  <c r="DN6" i="15" s="1"/>
  <c r="DO6" i="15"/>
  <c r="DP6" i="15"/>
  <c r="DS6" i="15"/>
  <c r="DT6" i="15"/>
  <c r="DX6" i="15"/>
  <c r="DW6" i="15" s="1"/>
  <c r="DY6" i="15"/>
  <c r="DZ6" i="15" s="1"/>
  <c r="EA6" i="15"/>
  <c r="EC6" i="15"/>
  <c r="B12" i="15"/>
  <c r="C12" i="15"/>
  <c r="D12" i="15"/>
  <c r="E12" i="15"/>
  <c r="F12" i="15"/>
  <c r="H12" i="15"/>
  <c r="I12" i="15"/>
  <c r="J12" i="15" s="1"/>
  <c r="K12" i="15"/>
  <c r="L12" i="15"/>
  <c r="M12" i="15"/>
  <c r="O12" i="15"/>
  <c r="P12" i="15"/>
  <c r="U12" i="15"/>
  <c r="V12" i="15" s="1"/>
  <c r="AO12" i="15" s="1"/>
  <c r="X12" i="15"/>
  <c r="AB12" i="15"/>
  <c r="AD12" i="15"/>
  <c r="AG12" i="15"/>
  <c r="AH12" i="15"/>
  <c r="AI12" i="15"/>
  <c r="AJ12" i="15"/>
  <c r="AK12" i="15"/>
  <c r="AL12" i="15"/>
  <c r="AP12" i="15"/>
  <c r="AR12" i="15"/>
  <c r="AV12" i="15" s="1"/>
  <c r="AS12" i="15"/>
  <c r="AW12" i="15"/>
  <c r="AX12" i="15"/>
  <c r="AY12" i="15"/>
  <c r="BC12" i="15"/>
  <c r="BE12" i="15"/>
  <c r="BG12" i="15"/>
  <c r="BK12" i="15"/>
  <c r="BL12" i="15"/>
  <c r="BM12" i="15"/>
  <c r="BO12" i="15"/>
  <c r="BQ12" i="15"/>
  <c r="BT12" i="15"/>
  <c r="BU12" i="15" s="1"/>
  <c r="BV12" i="15"/>
  <c r="BW12" i="15" s="1"/>
  <c r="BX12" i="15"/>
  <c r="BZ12" i="15"/>
  <c r="CC12" i="15"/>
  <c r="CD12" i="15"/>
  <c r="CI12" i="15"/>
  <c r="CL12" i="15"/>
  <c r="CN12" i="15"/>
  <c r="CT12" i="15"/>
  <c r="CV12" i="15"/>
  <c r="CX12" i="15"/>
  <c r="DA12" i="15"/>
  <c r="DB12" i="15"/>
  <c r="DD12" i="15"/>
  <c r="DG12" i="15"/>
  <c r="DI12" i="15"/>
  <c r="DJ12" i="15"/>
  <c r="DM12" i="15"/>
  <c r="DO12" i="15"/>
  <c r="DP12" i="15"/>
  <c r="DR12" i="15"/>
  <c r="DS12" i="15"/>
  <c r="DT12" i="15"/>
  <c r="DV12" i="15" s="1"/>
  <c r="DX12" i="15"/>
  <c r="DY12" i="15"/>
  <c r="EA12" i="15"/>
  <c r="EC12" i="15"/>
  <c r="B10" i="15"/>
  <c r="C10" i="15"/>
  <c r="D10" i="15"/>
  <c r="E10" i="15"/>
  <c r="F10" i="15"/>
  <c r="H10" i="15"/>
  <c r="DQ10" i="15" s="1"/>
  <c r="I10" i="15"/>
  <c r="J10" i="15" s="1"/>
  <c r="K10" i="15"/>
  <c r="L10" i="15"/>
  <c r="M10" i="15"/>
  <c r="O10" i="15"/>
  <c r="P10" i="15"/>
  <c r="U10" i="15"/>
  <c r="AN10" i="15" s="1"/>
  <c r="X10" i="15"/>
  <c r="AB10" i="15"/>
  <c r="AD10" i="15"/>
  <c r="AG10" i="15"/>
  <c r="AH10" i="15"/>
  <c r="AI10" i="15"/>
  <c r="AJ10" i="15"/>
  <c r="AK10" i="15"/>
  <c r="AL10" i="15"/>
  <c r="AP10" i="15"/>
  <c r="AR10" i="15"/>
  <c r="AS10" i="15"/>
  <c r="AW10" i="15"/>
  <c r="AX10" i="15"/>
  <c r="AY10" i="15"/>
  <c r="BC10" i="15"/>
  <c r="BE10" i="15"/>
  <c r="BG10" i="15"/>
  <c r="BK10" i="15"/>
  <c r="BL10" i="15"/>
  <c r="BM10" i="15"/>
  <c r="BO10" i="15"/>
  <c r="BQ10" i="15"/>
  <c r="BT10" i="15"/>
  <c r="BV10" i="15"/>
  <c r="BX10" i="15"/>
  <c r="BZ10" i="15"/>
  <c r="CC10" i="15"/>
  <c r="CD10" i="15"/>
  <c r="CI10" i="15"/>
  <c r="CL10" i="15"/>
  <c r="CN10" i="15"/>
  <c r="CT10" i="15"/>
  <c r="CV10" i="15"/>
  <c r="CX10" i="15"/>
  <c r="DA10" i="15"/>
  <c r="DB10" i="15"/>
  <c r="DD10" i="15"/>
  <c r="DG10" i="15"/>
  <c r="DI10" i="15"/>
  <c r="DJ10" i="15"/>
  <c r="DM10" i="15"/>
  <c r="DO10" i="15"/>
  <c r="DP10" i="15"/>
  <c r="DS10" i="15"/>
  <c r="DT10" i="15"/>
  <c r="DX10" i="15"/>
  <c r="DY10" i="15"/>
  <c r="EA10" i="15"/>
  <c r="EC10" i="15"/>
  <c r="B4" i="15"/>
  <c r="C4" i="15"/>
  <c r="D4" i="15"/>
  <c r="E4" i="15"/>
  <c r="F4" i="15"/>
  <c r="H4" i="15"/>
  <c r="AC4" i="15" s="1"/>
  <c r="I4" i="15"/>
  <c r="J4" i="15" s="1"/>
  <c r="K4" i="15"/>
  <c r="L4" i="15"/>
  <c r="M4" i="15"/>
  <c r="O4" i="15"/>
  <c r="P4" i="15"/>
  <c r="U4" i="15"/>
  <c r="AN4" i="15" s="1"/>
  <c r="X4" i="15"/>
  <c r="DK4" i="15" s="1"/>
  <c r="AB4" i="15"/>
  <c r="AD4" i="15"/>
  <c r="AG4" i="15"/>
  <c r="AH4" i="15"/>
  <c r="AI4" i="15"/>
  <c r="AJ4" i="15"/>
  <c r="AK4" i="15"/>
  <c r="AL4" i="15"/>
  <c r="AP4" i="15"/>
  <c r="AR4" i="15"/>
  <c r="AS4" i="15"/>
  <c r="AU4" i="15" s="1"/>
  <c r="AW4" i="15"/>
  <c r="AX4" i="15"/>
  <c r="AY4" i="15"/>
  <c r="BC4" i="15"/>
  <c r="BE4" i="15"/>
  <c r="BG4" i="15"/>
  <c r="BH4" i="15" s="1"/>
  <c r="BK4" i="15"/>
  <c r="BL4" i="15"/>
  <c r="BM4" i="15"/>
  <c r="BO4" i="15"/>
  <c r="BQ4" i="15"/>
  <c r="BT4" i="15"/>
  <c r="BV4" i="15"/>
  <c r="BX4" i="15"/>
  <c r="BZ4" i="15"/>
  <c r="CC4" i="15"/>
  <c r="CD4" i="15"/>
  <c r="CI4" i="15"/>
  <c r="CL4" i="15"/>
  <c r="CN4" i="15"/>
  <c r="CO4" i="15" s="1"/>
  <c r="CT4" i="15"/>
  <c r="CU4" i="15" s="1"/>
  <c r="CV4" i="15"/>
  <c r="CW4" i="15" s="1"/>
  <c r="CX4" i="15"/>
  <c r="DA4" i="15"/>
  <c r="DB4" i="15"/>
  <c r="DD4" i="15"/>
  <c r="DG4" i="15"/>
  <c r="DI4" i="15"/>
  <c r="DJ4" i="15"/>
  <c r="DM4" i="15"/>
  <c r="DO4" i="15"/>
  <c r="DP4" i="15"/>
  <c r="DR4" i="15"/>
  <c r="DS4" i="15"/>
  <c r="DT4" i="15"/>
  <c r="DV4" i="15" s="1"/>
  <c r="DX4" i="15"/>
  <c r="DY4" i="15"/>
  <c r="EA4" i="15"/>
  <c r="EC4" i="15"/>
  <c r="B8" i="15"/>
  <c r="C8" i="15"/>
  <c r="D8" i="15"/>
  <c r="E8" i="15"/>
  <c r="F8" i="15"/>
  <c r="H8" i="15"/>
  <c r="AE8" i="15" s="1"/>
  <c r="I8" i="15"/>
  <c r="J8" i="15" s="1"/>
  <c r="K8" i="15"/>
  <c r="L8" i="15"/>
  <c r="M8" i="15"/>
  <c r="O8" i="15"/>
  <c r="P8" i="15"/>
  <c r="U8" i="15"/>
  <c r="AN8" i="15" s="1"/>
  <c r="X8" i="15"/>
  <c r="AB8" i="15"/>
  <c r="AD8" i="15"/>
  <c r="AG8" i="15"/>
  <c r="AH8" i="15"/>
  <c r="AI8" i="15"/>
  <c r="AJ8" i="15"/>
  <c r="AK8" i="15"/>
  <c r="AL8" i="15"/>
  <c r="AP8" i="15"/>
  <c r="AR8" i="15"/>
  <c r="AS8" i="15"/>
  <c r="AW8" i="15"/>
  <c r="AX8" i="15"/>
  <c r="AY8" i="15"/>
  <c r="BC8" i="15"/>
  <c r="BE8" i="15"/>
  <c r="BG8" i="15"/>
  <c r="BK8" i="15"/>
  <c r="BL8" i="15"/>
  <c r="BM8" i="15"/>
  <c r="BO8" i="15"/>
  <c r="BQ8" i="15"/>
  <c r="BT8" i="15"/>
  <c r="BV8" i="15"/>
  <c r="BX8" i="15"/>
  <c r="BZ8" i="15"/>
  <c r="CC8" i="15"/>
  <c r="CD8" i="15"/>
  <c r="CI8" i="15"/>
  <c r="CL8" i="15"/>
  <c r="CN8" i="15"/>
  <c r="CT8" i="15"/>
  <c r="CV8" i="15"/>
  <c r="CX8" i="15"/>
  <c r="DA8" i="15"/>
  <c r="DB8" i="15"/>
  <c r="DD8" i="15"/>
  <c r="DG8" i="15"/>
  <c r="DI8" i="15"/>
  <c r="DJ8" i="15"/>
  <c r="DM8" i="15"/>
  <c r="DO8" i="15"/>
  <c r="DP8" i="15"/>
  <c r="DS8" i="15"/>
  <c r="DT8" i="15"/>
  <c r="DX8" i="15"/>
  <c r="DY8" i="15"/>
  <c r="EA8" i="15"/>
  <c r="EC8" i="15"/>
  <c r="B7" i="15"/>
  <c r="C7" i="15"/>
  <c r="D7" i="15"/>
  <c r="E7" i="15"/>
  <c r="F7" i="15"/>
  <c r="H7" i="15"/>
  <c r="AE7" i="15" s="1"/>
  <c r="I7" i="15"/>
  <c r="J7" i="15" s="1"/>
  <c r="K7" i="15"/>
  <c r="L7" i="15"/>
  <c r="M7" i="15"/>
  <c r="O7" i="15"/>
  <c r="P7" i="15"/>
  <c r="U7" i="15"/>
  <c r="V7" i="15" s="1"/>
  <c r="AO7" i="15" s="1"/>
  <c r="X7" i="15"/>
  <c r="DK7" i="15" s="1"/>
  <c r="AB7" i="15"/>
  <c r="AD7" i="15"/>
  <c r="AG7" i="15"/>
  <c r="AH7" i="15"/>
  <c r="AI7" i="15"/>
  <c r="AJ7" i="15"/>
  <c r="AK7" i="15"/>
  <c r="AL7" i="15"/>
  <c r="AP7" i="15"/>
  <c r="AR7" i="15"/>
  <c r="AS7" i="15"/>
  <c r="AW7" i="15"/>
  <c r="AX7" i="15"/>
  <c r="AY7" i="15"/>
  <c r="BC7" i="15"/>
  <c r="BE7" i="15"/>
  <c r="BG7" i="15"/>
  <c r="BK7" i="15"/>
  <c r="BL7" i="15"/>
  <c r="BM7" i="15"/>
  <c r="BO7" i="15"/>
  <c r="BQ7" i="15"/>
  <c r="BT7" i="15"/>
  <c r="BV7" i="15"/>
  <c r="BX7" i="15"/>
  <c r="BZ7" i="15"/>
  <c r="CC7" i="15"/>
  <c r="CD7" i="15"/>
  <c r="CI7" i="15"/>
  <c r="CL7" i="15"/>
  <c r="CN7" i="15"/>
  <c r="CT7" i="15"/>
  <c r="CV7" i="15"/>
  <c r="CX7" i="15"/>
  <c r="DA7" i="15"/>
  <c r="DB7" i="15"/>
  <c r="DD7" i="15"/>
  <c r="DG7" i="15"/>
  <c r="DI7" i="15"/>
  <c r="DJ7" i="15"/>
  <c r="DM7" i="15"/>
  <c r="DO7" i="15"/>
  <c r="DP7" i="15"/>
  <c r="DS7" i="15"/>
  <c r="DT7" i="15"/>
  <c r="DV7" i="15" s="1"/>
  <c r="DX7" i="15"/>
  <c r="DY7" i="15"/>
  <c r="EA7" i="15"/>
  <c r="EC7" i="15"/>
  <c r="B2" i="15"/>
  <c r="C2" i="15"/>
  <c r="D2" i="15"/>
  <c r="E2" i="15"/>
  <c r="F2" i="15"/>
  <c r="H2" i="15"/>
  <c r="AC2" i="15" s="1"/>
  <c r="I2" i="15"/>
  <c r="J2" i="15" s="1"/>
  <c r="K2" i="15"/>
  <c r="L2" i="15"/>
  <c r="M2" i="15"/>
  <c r="O2" i="15"/>
  <c r="P2" i="15"/>
  <c r="U2" i="15"/>
  <c r="V2" i="15" s="1"/>
  <c r="AO2" i="15" s="1"/>
  <c r="X2" i="15"/>
  <c r="AB2" i="15"/>
  <c r="AD2" i="15"/>
  <c r="AG2" i="15"/>
  <c r="AH2" i="15"/>
  <c r="AI2" i="15"/>
  <c r="AJ2" i="15"/>
  <c r="AK2" i="15"/>
  <c r="AL2" i="15"/>
  <c r="AP2" i="15"/>
  <c r="AR2" i="15"/>
  <c r="AS2" i="15"/>
  <c r="AW2" i="15"/>
  <c r="AX2" i="15"/>
  <c r="AY2" i="15"/>
  <c r="BC2" i="15"/>
  <c r="BE2" i="15"/>
  <c r="BG2" i="15"/>
  <c r="BK2" i="15"/>
  <c r="BL2" i="15"/>
  <c r="BM2" i="15"/>
  <c r="BO2" i="15"/>
  <c r="BQ2" i="15"/>
  <c r="BT2" i="15"/>
  <c r="BV2" i="15"/>
  <c r="BW2" i="15" s="1"/>
  <c r="BX2" i="15"/>
  <c r="BZ2" i="15"/>
  <c r="CC2" i="15"/>
  <c r="CD2" i="15"/>
  <c r="CI2" i="15"/>
  <c r="CL2" i="15"/>
  <c r="CN2" i="15"/>
  <c r="CT2" i="15"/>
  <c r="CV2" i="15"/>
  <c r="CX2" i="15"/>
  <c r="DA2" i="15"/>
  <c r="DB2" i="15"/>
  <c r="DD2" i="15"/>
  <c r="DG2" i="15"/>
  <c r="DI2" i="15"/>
  <c r="DJ2" i="15"/>
  <c r="DM2" i="15"/>
  <c r="DO2" i="15"/>
  <c r="DP2" i="15"/>
  <c r="DS2" i="15"/>
  <c r="DT2" i="15"/>
  <c r="DX2" i="15"/>
  <c r="DY2" i="15"/>
  <c r="EA2" i="15"/>
  <c r="EC2" i="15"/>
  <c r="B3" i="15"/>
  <c r="C3" i="15"/>
  <c r="D3" i="15"/>
  <c r="E3" i="15"/>
  <c r="F3" i="15"/>
  <c r="H3" i="15"/>
  <c r="DE3" i="15" s="1"/>
  <c r="DF3" i="15" s="1"/>
  <c r="I3" i="15"/>
  <c r="J3" i="15" s="1"/>
  <c r="K3" i="15"/>
  <c r="L3" i="15"/>
  <c r="M3" i="15"/>
  <c r="O3" i="15"/>
  <c r="P3" i="15"/>
  <c r="U3" i="15"/>
  <c r="V3" i="15" s="1"/>
  <c r="X3" i="15"/>
  <c r="DK3" i="15" s="1"/>
  <c r="AB3" i="15"/>
  <c r="AD3" i="15"/>
  <c r="AG3" i="15"/>
  <c r="AH3" i="15"/>
  <c r="AI3" i="15"/>
  <c r="AJ3" i="15"/>
  <c r="AK3" i="15"/>
  <c r="AL3" i="15"/>
  <c r="AP3" i="15"/>
  <c r="AR3" i="15"/>
  <c r="AS3" i="15"/>
  <c r="AW3" i="15"/>
  <c r="AX3" i="15"/>
  <c r="AY3" i="15"/>
  <c r="BC3" i="15"/>
  <c r="BE3" i="15"/>
  <c r="BG3" i="15"/>
  <c r="BK3" i="15"/>
  <c r="BL3" i="15"/>
  <c r="BM3" i="15"/>
  <c r="BO3" i="15"/>
  <c r="BQ3" i="15"/>
  <c r="BT3" i="15"/>
  <c r="BV3" i="15"/>
  <c r="BX3" i="15"/>
  <c r="BZ3" i="15"/>
  <c r="CC3" i="15"/>
  <c r="CD3" i="15"/>
  <c r="CI3" i="15"/>
  <c r="CL3" i="15"/>
  <c r="CN3" i="15"/>
  <c r="CT3" i="15"/>
  <c r="CV3" i="15"/>
  <c r="CX3" i="15"/>
  <c r="DA3" i="15"/>
  <c r="DB3" i="15"/>
  <c r="DD3" i="15"/>
  <c r="DG3" i="15"/>
  <c r="DI3" i="15"/>
  <c r="DJ3" i="15"/>
  <c r="DM3" i="15"/>
  <c r="DO3" i="15"/>
  <c r="DP3" i="15"/>
  <c r="DS3" i="15"/>
  <c r="DT3" i="15"/>
  <c r="DX3" i="15"/>
  <c r="DY3" i="15"/>
  <c r="EA3" i="15"/>
  <c r="EC3" i="15"/>
  <c r="A5" i="10"/>
  <c r="B2" i="10"/>
  <c r="C2" i="10"/>
  <c r="D2" i="10"/>
  <c r="E2" i="10"/>
  <c r="F2" i="10"/>
  <c r="G2" i="10"/>
  <c r="H2" i="10"/>
  <c r="I2" i="10"/>
  <c r="J2" i="10"/>
  <c r="L2" i="10"/>
  <c r="R2" i="10" s="1"/>
  <c r="M2" i="10"/>
  <c r="N2" i="10" s="1"/>
  <c r="O2" i="10"/>
  <c r="P2" i="10"/>
  <c r="Q2" i="10"/>
  <c r="U2" i="10"/>
  <c r="V2" i="10" s="1"/>
  <c r="X2" i="10"/>
  <c r="Y2" i="10"/>
  <c r="AA2" i="10"/>
  <c r="AB2" i="10"/>
  <c r="AD2" i="10"/>
  <c r="AL2" i="10"/>
  <c r="AN2" i="10"/>
  <c r="AP2" i="10"/>
  <c r="AR2" i="10"/>
  <c r="AS2" i="10" s="1"/>
  <c r="AT2" i="10"/>
  <c r="AW2" i="10"/>
  <c r="AX2" i="10"/>
  <c r="AY2" i="10"/>
  <c r="AC2" i="10" s="1"/>
  <c r="AE2" i="10" s="1"/>
  <c r="AZ2" i="10"/>
  <c r="BC2" i="10"/>
  <c r="BH2" i="10" s="1"/>
  <c r="BI2" i="10" s="1"/>
  <c r="BD2" i="10"/>
  <c r="BG2" i="10"/>
  <c r="BJ2" i="10"/>
  <c r="BL2" i="10"/>
  <c r="BN2" i="10"/>
  <c r="BP2" i="10"/>
  <c r="BQ2" i="10"/>
  <c r="BR2" i="10"/>
  <c r="BS2" i="10"/>
  <c r="BT2" i="10"/>
  <c r="BZ2" i="10"/>
  <c r="CA2" i="10"/>
  <c r="CB2" i="10"/>
  <c r="CF2" i="10"/>
  <c r="CD2" i="10" s="1"/>
  <c r="CJ2" i="10"/>
  <c r="CO2" i="10"/>
  <c r="CS2" i="10"/>
  <c r="CU2" i="10"/>
  <c r="CX2" i="10"/>
  <c r="DA2" i="10"/>
  <c r="EC2" i="10" s="1"/>
  <c r="DB2" i="10"/>
  <c r="DC2" i="10"/>
  <c r="DE2" i="10" s="1"/>
  <c r="DF2" i="10"/>
  <c r="DG2" i="10" s="1"/>
  <c r="DH2" i="10"/>
  <c r="DI2" i="10" s="1"/>
  <c r="DJ2" i="10"/>
  <c r="DK2" i="10" s="1"/>
  <c r="DM2" i="10"/>
  <c r="DP2" i="10"/>
  <c r="DS2" i="10"/>
  <c r="DX2" i="10"/>
  <c r="DZ2" i="10"/>
  <c r="EE2" i="10"/>
  <c r="EG2" i="10"/>
  <c r="EI2" i="10"/>
  <c r="EJ2" i="10"/>
  <c r="A6" i="10"/>
  <c r="B7" i="10"/>
  <c r="C7" i="10"/>
  <c r="D7" i="10"/>
  <c r="E7" i="10"/>
  <c r="F7" i="10"/>
  <c r="G7" i="10"/>
  <c r="H7" i="10"/>
  <c r="I7" i="10"/>
  <c r="J7" i="10"/>
  <c r="L7" i="10"/>
  <c r="CY7" i="10" s="1"/>
  <c r="M7" i="10"/>
  <c r="N7" i="10" s="1"/>
  <c r="O7" i="10"/>
  <c r="P7" i="10"/>
  <c r="Q7" i="10"/>
  <c r="U7" i="10"/>
  <c r="X7" i="10"/>
  <c r="Y7" i="10"/>
  <c r="Z7" i="10"/>
  <c r="AF7" i="10" s="1"/>
  <c r="AA7" i="10"/>
  <c r="AB7" i="10"/>
  <c r="AD7" i="10"/>
  <c r="AJ7" i="10"/>
  <c r="AL7" i="10"/>
  <c r="AN7" i="10"/>
  <c r="AO7" i="10" s="1"/>
  <c r="AP7" i="10"/>
  <c r="AR7" i="10"/>
  <c r="AV7" i="10" s="1"/>
  <c r="AT7" i="10"/>
  <c r="AW7" i="10"/>
  <c r="AX7" i="10"/>
  <c r="AY7" i="10"/>
  <c r="AC7" i="10" s="1"/>
  <c r="AZ7" i="10"/>
  <c r="BC7" i="10"/>
  <c r="BD7" i="10"/>
  <c r="BH7" i="10" s="1"/>
  <c r="BI7" i="10" s="1"/>
  <c r="BG7" i="10"/>
  <c r="BJ7" i="10"/>
  <c r="BL7" i="10"/>
  <c r="BM7" i="10" s="1"/>
  <c r="BN7" i="10"/>
  <c r="BO7" i="10"/>
  <c r="BP7" i="10"/>
  <c r="BQ7" i="10"/>
  <c r="BR7" i="10"/>
  <c r="BS7" i="10"/>
  <c r="BT7" i="10"/>
  <c r="BZ7" i="10"/>
  <c r="CA7" i="10"/>
  <c r="CB7" i="10"/>
  <c r="CF7" i="10"/>
  <c r="CJ7" i="10"/>
  <c r="CO7" i="10"/>
  <c r="CS7" i="10"/>
  <c r="CU7" i="10"/>
  <c r="CX7" i="10"/>
  <c r="DA7" i="10"/>
  <c r="EC7" i="10" s="1"/>
  <c r="DC7" i="10"/>
  <c r="DD7" i="10" s="1"/>
  <c r="DF7" i="10"/>
  <c r="DH7" i="10"/>
  <c r="DI7" i="10" s="1"/>
  <c r="DJ7" i="10"/>
  <c r="CZ7" i="10" s="1"/>
  <c r="DM7" i="10"/>
  <c r="DP7" i="10"/>
  <c r="DS7" i="10"/>
  <c r="DX7" i="10"/>
  <c r="DZ7" i="10"/>
  <c r="EA7" i="10" s="1"/>
  <c r="EE7" i="10"/>
  <c r="EF7" i="10"/>
  <c r="EG7" i="10"/>
  <c r="EI7" i="10"/>
  <c r="EJ7" i="10"/>
  <c r="A7" i="10"/>
  <c r="A8" i="10"/>
  <c r="A9" i="10"/>
  <c r="A10" i="10"/>
  <c r="B9" i="10"/>
  <c r="C9" i="10"/>
  <c r="D9" i="10"/>
  <c r="E9" i="10"/>
  <c r="F9" i="10"/>
  <c r="G9" i="10"/>
  <c r="H9" i="10"/>
  <c r="I9" i="10"/>
  <c r="J9" i="10"/>
  <c r="L9" i="10"/>
  <c r="R9" i="10" s="1"/>
  <c r="M9" i="10"/>
  <c r="N9" i="10" s="1"/>
  <c r="O9" i="10"/>
  <c r="P9" i="10"/>
  <c r="Q9" i="10"/>
  <c r="U9" i="10"/>
  <c r="V9" i="10"/>
  <c r="X9" i="10"/>
  <c r="Y9" i="10"/>
  <c r="AA9" i="10"/>
  <c r="AB9" i="10"/>
  <c r="AD9" i="10"/>
  <c r="AL9" i="10"/>
  <c r="AN9" i="10"/>
  <c r="AP9" i="10"/>
  <c r="AR9" i="10"/>
  <c r="AT9" i="10"/>
  <c r="AW9" i="10"/>
  <c r="AX9" i="10"/>
  <c r="AY9" i="10"/>
  <c r="AZ9" i="10"/>
  <c r="BC9" i="10"/>
  <c r="BD9" i="10"/>
  <c r="BG9" i="10"/>
  <c r="BJ9" i="10"/>
  <c r="BL9" i="10"/>
  <c r="BM9" i="10" s="1"/>
  <c r="BN9" i="10"/>
  <c r="BP9" i="10"/>
  <c r="BQ9" i="10"/>
  <c r="BR9" i="10"/>
  <c r="BS9" i="10"/>
  <c r="BT9" i="10"/>
  <c r="BZ9" i="10"/>
  <c r="CA9" i="10"/>
  <c r="CB9" i="10"/>
  <c r="CF9" i="10"/>
  <c r="CJ9" i="10"/>
  <c r="DU9" i="10" s="1"/>
  <c r="CO9" i="10"/>
  <c r="CS9" i="10"/>
  <c r="CU9" i="10"/>
  <c r="CW9" i="10" s="1"/>
  <c r="CX9" i="10"/>
  <c r="DA9" i="10"/>
  <c r="EC9" i="10" s="1"/>
  <c r="DC9" i="10"/>
  <c r="DF9" i="10"/>
  <c r="DH9" i="10"/>
  <c r="DI9" i="10"/>
  <c r="DJ9" i="10"/>
  <c r="CZ9" i="10" s="1"/>
  <c r="DM9" i="10"/>
  <c r="DP9" i="10"/>
  <c r="DS9" i="10"/>
  <c r="DX9" i="10"/>
  <c r="DZ9" i="10"/>
  <c r="EE9" i="10"/>
  <c r="EG9" i="10"/>
  <c r="EI9" i="10"/>
  <c r="EJ9" i="10"/>
  <c r="A11" i="10"/>
  <c r="B5" i="10"/>
  <c r="C5" i="10"/>
  <c r="D5" i="10"/>
  <c r="E5" i="10"/>
  <c r="F5" i="10"/>
  <c r="G5" i="10"/>
  <c r="H5" i="10"/>
  <c r="I5" i="10"/>
  <c r="J5" i="10"/>
  <c r="L5" i="10"/>
  <c r="DL5" i="10" s="1"/>
  <c r="M5" i="10"/>
  <c r="N5" i="10" s="1"/>
  <c r="O5" i="10"/>
  <c r="P5" i="10"/>
  <c r="Q5" i="10"/>
  <c r="U5" i="10"/>
  <c r="V5" i="10" s="1"/>
  <c r="X5" i="10"/>
  <c r="Y5" i="10"/>
  <c r="AA5" i="10"/>
  <c r="AB5" i="10"/>
  <c r="AD5" i="10"/>
  <c r="AL5" i="10"/>
  <c r="AN5" i="10"/>
  <c r="AO5" i="10" s="1"/>
  <c r="AQ5" i="10" s="1"/>
  <c r="AP5" i="10"/>
  <c r="AR5" i="10"/>
  <c r="AT5" i="10"/>
  <c r="AV5" i="10" s="1"/>
  <c r="AW5" i="10"/>
  <c r="AX5" i="10"/>
  <c r="AY5" i="10"/>
  <c r="AC5" i="10" s="1"/>
  <c r="AZ5" i="10"/>
  <c r="BC5" i="10"/>
  <c r="BD5" i="10"/>
  <c r="BG5" i="10"/>
  <c r="BJ5" i="10"/>
  <c r="BL5" i="10"/>
  <c r="BM5" i="10" s="1"/>
  <c r="BN5" i="10"/>
  <c r="BO5" i="10"/>
  <c r="BP5" i="10"/>
  <c r="BQ5" i="10"/>
  <c r="BR5" i="10"/>
  <c r="BS5" i="10"/>
  <c r="BT5" i="10"/>
  <c r="BW5" i="10"/>
  <c r="BZ5" i="10"/>
  <c r="CA5" i="10"/>
  <c r="CB5" i="10"/>
  <c r="CF5" i="10"/>
  <c r="CG5" i="10" s="1"/>
  <c r="CJ5" i="10"/>
  <c r="CO5" i="10"/>
  <c r="CP5" i="10" s="1"/>
  <c r="CS5" i="10"/>
  <c r="CU5" i="10"/>
  <c r="CV5" i="10" s="1"/>
  <c r="CX5" i="10"/>
  <c r="CZ5" i="10"/>
  <c r="DA5" i="10"/>
  <c r="DC5" i="10"/>
  <c r="DD5" i="10" s="1"/>
  <c r="DF5" i="10"/>
  <c r="DH5" i="10"/>
  <c r="DI5" i="10" s="1"/>
  <c r="DJ5" i="10"/>
  <c r="DK5" i="10" s="1"/>
  <c r="DM5" i="10"/>
  <c r="DP5" i="10"/>
  <c r="DS5" i="10"/>
  <c r="DX5" i="10"/>
  <c r="DY5" i="10" s="1"/>
  <c r="DZ5" i="10"/>
  <c r="EE5" i="10"/>
  <c r="EF5" i="10" s="1"/>
  <c r="EG5" i="10"/>
  <c r="EH5" i="10" s="1"/>
  <c r="EI5" i="10"/>
  <c r="EJ5" i="10"/>
  <c r="B10" i="10"/>
  <c r="C10" i="10"/>
  <c r="D10" i="10"/>
  <c r="E10" i="10"/>
  <c r="F10" i="10"/>
  <c r="G10" i="10"/>
  <c r="H10" i="10"/>
  <c r="I10" i="10"/>
  <c r="J10" i="10"/>
  <c r="L10" i="10"/>
  <c r="M10" i="10"/>
  <c r="N10" i="10" s="1"/>
  <c r="O10" i="10"/>
  <c r="P10" i="10"/>
  <c r="Q10" i="10"/>
  <c r="U10" i="10"/>
  <c r="V10" i="10" s="1"/>
  <c r="X10" i="10"/>
  <c r="Y10" i="10"/>
  <c r="AA10" i="10"/>
  <c r="AB10" i="10"/>
  <c r="AD10" i="10"/>
  <c r="AL10" i="10"/>
  <c r="AN10" i="10"/>
  <c r="AO10" i="10" s="1"/>
  <c r="AP10" i="10"/>
  <c r="AR10" i="10"/>
  <c r="AS10" i="10" s="1"/>
  <c r="AT10" i="10"/>
  <c r="AU10" i="10" s="1"/>
  <c r="AW10" i="10"/>
  <c r="AX10" i="10"/>
  <c r="AY10" i="10"/>
  <c r="AZ10" i="10"/>
  <c r="BC10" i="10"/>
  <c r="BD10" i="10"/>
  <c r="BG10" i="10"/>
  <c r="BJ10" i="10"/>
  <c r="BL10" i="10"/>
  <c r="BN10" i="10"/>
  <c r="BO10" i="10" s="1"/>
  <c r="BP10" i="10"/>
  <c r="BQ10" i="10"/>
  <c r="BR10" i="10"/>
  <c r="BS10" i="10"/>
  <c r="BT10" i="10"/>
  <c r="BW10" i="10"/>
  <c r="BZ10" i="10"/>
  <c r="CA10" i="10"/>
  <c r="CB10" i="10"/>
  <c r="CF10" i="10"/>
  <c r="CJ10" i="10"/>
  <c r="CQ10" i="10" s="1"/>
  <c r="CO10" i="10"/>
  <c r="CS10" i="10"/>
  <c r="CU10" i="10"/>
  <c r="CX10" i="10"/>
  <c r="DA10" i="10"/>
  <c r="EC10" i="10" s="1"/>
  <c r="DC10" i="10"/>
  <c r="DF10" i="10"/>
  <c r="DH10" i="10"/>
  <c r="DJ10" i="10"/>
  <c r="CZ10" i="10" s="1"/>
  <c r="DM10" i="10"/>
  <c r="DP10" i="10"/>
  <c r="DQ10" i="10" s="1"/>
  <c r="DS10" i="10"/>
  <c r="DX10" i="10"/>
  <c r="DY10" i="10" s="1"/>
  <c r="DZ10" i="10"/>
  <c r="EE10" i="10"/>
  <c r="EG10" i="10"/>
  <c r="EI10" i="10"/>
  <c r="EJ10" i="10"/>
  <c r="B4" i="10"/>
  <c r="C4" i="10"/>
  <c r="D4" i="10"/>
  <c r="E4" i="10"/>
  <c r="F4" i="10"/>
  <c r="G4" i="10"/>
  <c r="H4" i="10"/>
  <c r="I4" i="10"/>
  <c r="J4" i="10"/>
  <c r="L4" i="10"/>
  <c r="DW4" i="10" s="1"/>
  <c r="M4" i="10"/>
  <c r="N4" i="10" s="1"/>
  <c r="O4" i="10"/>
  <c r="P4" i="10"/>
  <c r="Q4" i="10"/>
  <c r="U4" i="10"/>
  <c r="V4" i="10" s="1"/>
  <c r="X4" i="10"/>
  <c r="Y4" i="10"/>
  <c r="AA4" i="10"/>
  <c r="AB4" i="10"/>
  <c r="AD4" i="10"/>
  <c r="AJ4" i="10"/>
  <c r="AK4" i="10"/>
  <c r="AL4" i="10"/>
  <c r="AN4" i="10"/>
  <c r="AP4" i="10"/>
  <c r="AR4" i="10"/>
  <c r="AT4" i="10"/>
  <c r="AW4" i="10"/>
  <c r="AX4" i="10"/>
  <c r="AY4" i="10"/>
  <c r="AZ4" i="10"/>
  <c r="BC4" i="10"/>
  <c r="BD4" i="10"/>
  <c r="BG4" i="10"/>
  <c r="BJ4" i="10"/>
  <c r="BK4" i="10"/>
  <c r="BL4" i="10"/>
  <c r="BM4" i="10" s="1"/>
  <c r="BN4" i="10"/>
  <c r="BO4" i="10" s="1"/>
  <c r="BP4" i="10"/>
  <c r="BQ4" i="10"/>
  <c r="BR4" i="10"/>
  <c r="BS4" i="10"/>
  <c r="BT4" i="10"/>
  <c r="BZ4" i="10"/>
  <c r="CA4" i="10"/>
  <c r="CB4" i="10"/>
  <c r="CF4" i="10"/>
  <c r="DN4" i="10" s="1"/>
  <c r="DO4" i="10" s="1"/>
  <c r="CJ4" i="10"/>
  <c r="CQ4" i="10" s="1"/>
  <c r="CO4" i="10"/>
  <c r="CP4" i="10" s="1"/>
  <c r="CS4" i="10"/>
  <c r="CU4" i="10"/>
  <c r="CX4" i="10"/>
  <c r="DA4" i="10"/>
  <c r="EC4" i="10" s="1"/>
  <c r="DC4" i="10"/>
  <c r="DE4" i="10" s="1"/>
  <c r="DF4" i="10"/>
  <c r="DG4" i="10" s="1"/>
  <c r="DH4" i="10"/>
  <c r="DI4" i="10" s="1"/>
  <c r="DJ4" i="10"/>
  <c r="CZ4" i="10" s="1"/>
  <c r="DM4" i="10"/>
  <c r="DP4" i="10"/>
  <c r="DS4" i="10"/>
  <c r="DX4" i="10"/>
  <c r="DY4" i="10" s="1"/>
  <c r="DZ4" i="10"/>
  <c r="EE4" i="10"/>
  <c r="EG4" i="10"/>
  <c r="EI4" i="10"/>
  <c r="EJ4" i="10"/>
  <c r="B11" i="10"/>
  <c r="C11" i="10"/>
  <c r="D11" i="10"/>
  <c r="E11" i="10"/>
  <c r="F11" i="10"/>
  <c r="G11" i="10"/>
  <c r="H11" i="10"/>
  <c r="I11" i="10"/>
  <c r="J11" i="10"/>
  <c r="L11" i="10"/>
  <c r="BW11" i="10" s="1"/>
  <c r="M11" i="10"/>
  <c r="N11" i="10" s="1"/>
  <c r="O11" i="10"/>
  <c r="P11" i="10"/>
  <c r="Q11" i="10"/>
  <c r="U11" i="10"/>
  <c r="V11" i="10" s="1"/>
  <c r="X11" i="10"/>
  <c r="Y11" i="10"/>
  <c r="AA11" i="10"/>
  <c r="AB11" i="10"/>
  <c r="AD11" i="10"/>
  <c r="AL11" i="10"/>
  <c r="AN11" i="10"/>
  <c r="AP11" i="10"/>
  <c r="AR11" i="10"/>
  <c r="AT11" i="10"/>
  <c r="AU11" i="10" s="1"/>
  <c r="AW11" i="10"/>
  <c r="AX11" i="10"/>
  <c r="AY11" i="10"/>
  <c r="AZ11" i="10"/>
  <c r="BC11" i="10"/>
  <c r="BD11" i="10"/>
  <c r="BF11" i="10" s="1"/>
  <c r="BG11" i="10"/>
  <c r="BJ11" i="10"/>
  <c r="BL11" i="10"/>
  <c r="BN11" i="10"/>
  <c r="BP11" i="10"/>
  <c r="BQ11" i="10"/>
  <c r="BR11" i="10"/>
  <c r="BS11" i="10"/>
  <c r="BT11" i="10"/>
  <c r="BZ11" i="10"/>
  <c r="CA11" i="10"/>
  <c r="CB11" i="10"/>
  <c r="CF11" i="10"/>
  <c r="CD11" i="10" s="1"/>
  <c r="CJ11" i="10"/>
  <c r="DU11" i="10" s="1"/>
  <c r="CO11" i="10"/>
  <c r="CS11" i="10"/>
  <c r="CU11" i="10"/>
  <c r="CX11" i="10"/>
  <c r="DA11" i="10"/>
  <c r="EC11" i="10" s="1"/>
  <c r="DC11" i="10"/>
  <c r="DF11" i="10"/>
  <c r="DG11" i="10" s="1"/>
  <c r="DH11" i="10"/>
  <c r="DJ11" i="10"/>
  <c r="CZ11" i="10" s="1"/>
  <c r="DM11" i="10"/>
  <c r="DP11" i="10"/>
  <c r="DS11" i="10"/>
  <c r="DX11" i="10"/>
  <c r="DZ11" i="10"/>
  <c r="EB11" i="10" s="1"/>
  <c r="EE11" i="10"/>
  <c r="EG11" i="10"/>
  <c r="EI11" i="10"/>
  <c r="EJ11" i="10"/>
  <c r="B8" i="10"/>
  <c r="C8" i="10"/>
  <c r="D8" i="10"/>
  <c r="E8" i="10"/>
  <c r="F8" i="10"/>
  <c r="G8" i="10"/>
  <c r="H8" i="10"/>
  <c r="I8" i="10"/>
  <c r="J8" i="10"/>
  <c r="L8" i="10"/>
  <c r="R8" i="10" s="1"/>
  <c r="M8" i="10"/>
  <c r="N8" i="10" s="1"/>
  <c r="O8" i="10"/>
  <c r="P8" i="10"/>
  <c r="Q8" i="10"/>
  <c r="U8" i="10"/>
  <c r="V8" i="10" s="1"/>
  <c r="X8" i="10"/>
  <c r="Y8" i="10"/>
  <c r="AA8" i="10"/>
  <c r="AB8" i="10"/>
  <c r="AD8" i="10"/>
  <c r="AK8" i="10" s="1"/>
  <c r="AL8" i="10"/>
  <c r="AN8" i="10"/>
  <c r="AP8" i="10"/>
  <c r="AR8" i="10"/>
  <c r="AT8" i="10"/>
  <c r="AU8" i="10" s="1"/>
  <c r="AW8" i="10"/>
  <c r="AX8" i="10"/>
  <c r="AY8" i="10"/>
  <c r="AZ8" i="10"/>
  <c r="BB8" i="10"/>
  <c r="BC8" i="10"/>
  <c r="BD8" i="10"/>
  <c r="BG8" i="10"/>
  <c r="BJ8" i="10"/>
  <c r="BL8" i="10"/>
  <c r="BN8" i="10"/>
  <c r="BP8" i="10"/>
  <c r="BQ8" i="10"/>
  <c r="BR8" i="10"/>
  <c r="BS8" i="10"/>
  <c r="BT8" i="10"/>
  <c r="BZ8" i="10"/>
  <c r="CA8" i="10"/>
  <c r="CB8" i="10"/>
  <c r="CF8" i="10"/>
  <c r="CD8" i="10" s="1"/>
  <c r="CJ8" i="10"/>
  <c r="CQ8" i="10" s="1"/>
  <c r="CO8" i="10"/>
  <c r="CS8" i="10"/>
  <c r="CU8" i="10"/>
  <c r="CX8" i="10"/>
  <c r="DA8" i="10"/>
  <c r="DC8" i="10"/>
  <c r="DF8" i="10"/>
  <c r="DH8" i="10"/>
  <c r="DJ8" i="10"/>
  <c r="DK8" i="10" s="1"/>
  <c r="DM8" i="10"/>
  <c r="DP8" i="10"/>
  <c r="DS8" i="10"/>
  <c r="DX8" i="10"/>
  <c r="DZ8" i="10"/>
  <c r="EE8" i="10"/>
  <c r="EG8" i="10"/>
  <c r="EI8" i="10"/>
  <c r="EJ8" i="10"/>
  <c r="A4" i="2"/>
  <c r="B11" i="2"/>
  <c r="C11" i="2"/>
  <c r="D11" i="2"/>
  <c r="E11" i="2"/>
  <c r="F11" i="2"/>
  <c r="G11" i="2"/>
  <c r="H11" i="2"/>
  <c r="I11" i="2"/>
  <c r="J11" i="2"/>
  <c r="L11" i="2"/>
  <c r="CD11" i="2" s="1"/>
  <c r="M11" i="2"/>
  <c r="N11" i="2" s="1"/>
  <c r="O11" i="2"/>
  <c r="P11" i="2"/>
  <c r="Q11" i="2"/>
  <c r="S11" i="2"/>
  <c r="T11" i="2" s="1"/>
  <c r="V11" i="2"/>
  <c r="X11" i="2"/>
  <c r="AA11" i="2"/>
  <c r="AB11" i="2"/>
  <c r="AC11" i="2"/>
  <c r="AD11" i="2"/>
  <c r="AE11" i="2"/>
  <c r="AF11" i="2"/>
  <c r="AG11" i="2"/>
  <c r="AJ11" i="2"/>
  <c r="AN11" i="2"/>
  <c r="AP11" i="2"/>
  <c r="AX11" i="2" s="1"/>
  <c r="AS11" i="2"/>
  <c r="AW11" i="2" s="1"/>
  <c r="AY11" i="2"/>
  <c r="AZ11" i="2"/>
  <c r="BB11" i="2"/>
  <c r="BC11" i="2"/>
  <c r="BG11" i="2"/>
  <c r="BH11" i="2"/>
  <c r="BI11" i="2"/>
  <c r="BJ11" i="2"/>
  <c r="BL11" i="2"/>
  <c r="BM11" i="2"/>
  <c r="BP11" i="2"/>
  <c r="BQ11" i="2"/>
  <c r="BT11" i="2"/>
  <c r="BW11" i="2"/>
  <c r="BX11" i="2"/>
  <c r="BY11" i="2"/>
  <c r="CA11" i="2"/>
  <c r="CB11" i="2"/>
  <c r="CC11" i="2"/>
  <c r="CE11" i="2"/>
  <c r="CG11" i="2"/>
  <c r="CI11" i="2"/>
  <c r="CR11" i="2"/>
  <c r="CT11" i="2"/>
  <c r="CV11" i="2"/>
  <c r="CX11" i="2"/>
  <c r="CZ11" i="2"/>
  <c r="DA11" i="2"/>
  <c r="DB11" i="2" s="1"/>
  <c r="DD11" i="2"/>
  <c r="DE11" i="2"/>
  <c r="A5" i="2"/>
  <c r="B8" i="2"/>
  <c r="C8" i="2"/>
  <c r="D8" i="2"/>
  <c r="E8" i="2"/>
  <c r="F8" i="2"/>
  <c r="G8" i="2"/>
  <c r="H8" i="2"/>
  <c r="I8" i="2"/>
  <c r="J8" i="2"/>
  <c r="L8" i="2"/>
  <c r="CD8" i="2" s="1"/>
  <c r="M8" i="2"/>
  <c r="N8" i="2" s="1"/>
  <c r="O8" i="2"/>
  <c r="P8" i="2"/>
  <c r="Q8" i="2"/>
  <c r="S8" i="2"/>
  <c r="T8" i="2" s="1"/>
  <c r="V8" i="2"/>
  <c r="W8" i="2" s="1"/>
  <c r="X8" i="2"/>
  <c r="AA8" i="2"/>
  <c r="AB8" i="2"/>
  <c r="AC8" i="2"/>
  <c r="AD8" i="2"/>
  <c r="AE8" i="2"/>
  <c r="AF8" i="2"/>
  <c r="AI8" i="2" s="1"/>
  <c r="AG8" i="2"/>
  <c r="AH8" i="2" s="1"/>
  <c r="AJ8" i="2"/>
  <c r="AN8" i="2"/>
  <c r="AO8" i="2" s="1"/>
  <c r="AP8" i="2"/>
  <c r="BR8" i="2" s="1"/>
  <c r="BS8" i="2" s="1"/>
  <c r="AS8" i="2"/>
  <c r="CL8" i="2" s="1"/>
  <c r="CM8" i="2" s="1"/>
  <c r="AY8" i="2"/>
  <c r="AZ8" i="2"/>
  <c r="BB8" i="2"/>
  <c r="BC8" i="2"/>
  <c r="BG8" i="2"/>
  <c r="BI8" i="2" s="1"/>
  <c r="BH8" i="2"/>
  <c r="BJ8" i="2"/>
  <c r="BL8" i="2"/>
  <c r="BM8" i="2"/>
  <c r="BP8" i="2"/>
  <c r="BQ8" i="2"/>
  <c r="BT8" i="2"/>
  <c r="BX8" i="2" s="1"/>
  <c r="BW8" i="2"/>
  <c r="BY8" i="2"/>
  <c r="CA8" i="2"/>
  <c r="CB8" i="2"/>
  <c r="CC8" i="2"/>
  <c r="CE8" i="2"/>
  <c r="CF8" i="2" s="1"/>
  <c r="CG8" i="2"/>
  <c r="CI8" i="2"/>
  <c r="CP8" i="2"/>
  <c r="CR8" i="2"/>
  <c r="CT8" i="2"/>
  <c r="CV8" i="2"/>
  <c r="CX8" i="2"/>
  <c r="CZ8" i="2"/>
  <c r="DA8" i="2"/>
  <c r="DD8" i="2"/>
  <c r="DE8" i="2"/>
  <c r="A6" i="2"/>
  <c r="A7" i="2"/>
  <c r="B2" i="2"/>
  <c r="C2" i="2"/>
  <c r="D2" i="2"/>
  <c r="E2" i="2"/>
  <c r="F2" i="2"/>
  <c r="G2" i="2"/>
  <c r="H2" i="2"/>
  <c r="I2" i="2"/>
  <c r="J2" i="2"/>
  <c r="L2" i="2"/>
  <c r="CD2" i="2" s="1"/>
  <c r="M2" i="2"/>
  <c r="N2" i="2" s="1"/>
  <c r="O2" i="2"/>
  <c r="P2" i="2"/>
  <c r="Q2" i="2"/>
  <c r="S2" i="2"/>
  <c r="T2" i="2" s="1"/>
  <c r="V2" i="2"/>
  <c r="X2" i="2"/>
  <c r="AA2" i="2"/>
  <c r="AB2" i="2"/>
  <c r="AC2" i="2"/>
  <c r="AD2" i="2"/>
  <c r="AE2" i="2"/>
  <c r="AF2" i="2"/>
  <c r="AG2" i="2"/>
  <c r="AJ2" i="2"/>
  <c r="AN2" i="2"/>
  <c r="AO2" i="2" s="1"/>
  <c r="AP2" i="2"/>
  <c r="AQ2" i="2" s="1"/>
  <c r="AS2" i="2"/>
  <c r="CL2" i="2" s="1"/>
  <c r="AY2" i="2"/>
  <c r="AZ2" i="2"/>
  <c r="BB2" i="2"/>
  <c r="BC2" i="2"/>
  <c r="BG2" i="2"/>
  <c r="BI2" i="2" s="1"/>
  <c r="BH2" i="2"/>
  <c r="BJ2" i="2"/>
  <c r="BL2" i="2"/>
  <c r="BM2" i="2"/>
  <c r="BP2" i="2"/>
  <c r="BQ2" i="2"/>
  <c r="BT2" i="2"/>
  <c r="BX2" i="2" s="1"/>
  <c r="BW2" i="2"/>
  <c r="BY2" i="2"/>
  <c r="CA2" i="2"/>
  <c r="CB2" i="2"/>
  <c r="CC2" i="2"/>
  <c r="CE2" i="2"/>
  <c r="CG2" i="2"/>
  <c r="CI2" i="2"/>
  <c r="CR2" i="2"/>
  <c r="CT2" i="2"/>
  <c r="CV2" i="2"/>
  <c r="CX2" i="2"/>
  <c r="CZ2" i="2"/>
  <c r="DA2" i="2"/>
  <c r="DD2" i="2"/>
  <c r="DE2" i="2"/>
  <c r="A8" i="2"/>
  <c r="B9" i="2"/>
  <c r="C9" i="2"/>
  <c r="D9" i="2"/>
  <c r="E9" i="2"/>
  <c r="F9" i="2"/>
  <c r="G9" i="2"/>
  <c r="H9" i="2"/>
  <c r="I9" i="2"/>
  <c r="J9" i="2"/>
  <c r="L9" i="2"/>
  <c r="M9" i="2"/>
  <c r="N9" i="2" s="1"/>
  <c r="O9" i="2"/>
  <c r="P9" i="2"/>
  <c r="Q9" i="2"/>
  <c r="S9" i="2"/>
  <c r="T9" i="2" s="1"/>
  <c r="V9" i="2"/>
  <c r="X9" i="2"/>
  <c r="AA9" i="2"/>
  <c r="AB9" i="2"/>
  <c r="AC9" i="2"/>
  <c r="AD9" i="2"/>
  <c r="AE9" i="2"/>
  <c r="AF9" i="2"/>
  <c r="AI9" i="2" s="1"/>
  <c r="AG9" i="2"/>
  <c r="AJ9" i="2"/>
  <c r="AN9" i="2"/>
  <c r="AP9" i="2"/>
  <c r="AX9" i="2" s="1"/>
  <c r="AS9" i="2"/>
  <c r="AW9" i="2" s="1"/>
  <c r="AY9" i="2"/>
  <c r="AZ9" i="2"/>
  <c r="BB9" i="2"/>
  <c r="BC9" i="2"/>
  <c r="BG9" i="2"/>
  <c r="BI9" i="2" s="1"/>
  <c r="BH9" i="2"/>
  <c r="BJ9" i="2"/>
  <c r="BL9" i="2"/>
  <c r="BM9" i="2"/>
  <c r="BP9" i="2"/>
  <c r="BQ9" i="2"/>
  <c r="BT9" i="2"/>
  <c r="BX9" i="2" s="1"/>
  <c r="BW9" i="2"/>
  <c r="BY9" i="2"/>
  <c r="CA9" i="2"/>
  <c r="CB9" i="2"/>
  <c r="CC9" i="2"/>
  <c r="CE9" i="2"/>
  <c r="CG9" i="2"/>
  <c r="CI9" i="2"/>
  <c r="CR9" i="2"/>
  <c r="CT9" i="2"/>
  <c r="CV9" i="2"/>
  <c r="CX9" i="2"/>
  <c r="CZ9" i="2"/>
  <c r="DA9" i="2"/>
  <c r="DD9" i="2"/>
  <c r="DE9" i="2"/>
  <c r="A9" i="2"/>
  <c r="A10" i="2"/>
  <c r="B5" i="2"/>
  <c r="C5" i="2"/>
  <c r="D5" i="2"/>
  <c r="E5" i="2"/>
  <c r="F5" i="2"/>
  <c r="G5" i="2"/>
  <c r="H5" i="2"/>
  <c r="I5" i="2"/>
  <c r="J5" i="2"/>
  <c r="L5" i="2"/>
  <c r="BV5" i="2" s="1"/>
  <c r="M5" i="2"/>
  <c r="N5" i="2" s="1"/>
  <c r="O5" i="2"/>
  <c r="P5" i="2"/>
  <c r="Q5" i="2"/>
  <c r="S5" i="2"/>
  <c r="T5" i="2" s="1"/>
  <c r="V5" i="2"/>
  <c r="X5" i="2"/>
  <c r="AA5" i="2"/>
  <c r="AB5" i="2"/>
  <c r="AC5" i="2"/>
  <c r="AD5" i="2"/>
  <c r="AE5" i="2"/>
  <c r="AF5" i="2"/>
  <c r="AI5" i="2" s="1"/>
  <c r="AG5" i="2"/>
  <c r="AJ5" i="2"/>
  <c r="AN5" i="2"/>
  <c r="AP5" i="2"/>
  <c r="AX5" i="2" s="1"/>
  <c r="AS5" i="2"/>
  <c r="BO5" i="2" s="1"/>
  <c r="AY5" i="2"/>
  <c r="AZ5" i="2"/>
  <c r="BB5" i="2"/>
  <c r="BC5" i="2"/>
  <c r="BG5" i="2"/>
  <c r="BI5" i="2" s="1"/>
  <c r="BH5" i="2"/>
  <c r="BJ5" i="2"/>
  <c r="BL5" i="2"/>
  <c r="BM5" i="2"/>
  <c r="BP5" i="2"/>
  <c r="BQ5" i="2"/>
  <c r="BT5" i="2"/>
  <c r="BW5" i="2"/>
  <c r="BY5" i="2"/>
  <c r="CA5" i="2"/>
  <c r="CB5" i="2"/>
  <c r="CC5" i="2"/>
  <c r="CE5" i="2"/>
  <c r="CG5" i="2"/>
  <c r="CI5" i="2"/>
  <c r="CR5" i="2"/>
  <c r="CT5" i="2"/>
  <c r="CU5" i="2" s="1"/>
  <c r="CV5" i="2"/>
  <c r="CX5" i="2"/>
  <c r="CZ5" i="2"/>
  <c r="DA5" i="2"/>
  <c r="DD5" i="2"/>
  <c r="DE5" i="2"/>
  <c r="A11" i="2"/>
  <c r="B6" i="2"/>
  <c r="C6" i="2"/>
  <c r="D6" i="2"/>
  <c r="E6" i="2"/>
  <c r="F6" i="2"/>
  <c r="G6" i="2"/>
  <c r="H6" i="2"/>
  <c r="I6" i="2"/>
  <c r="J6" i="2"/>
  <c r="L6" i="2"/>
  <c r="BD6" i="2" s="1"/>
  <c r="M6" i="2"/>
  <c r="N6" i="2" s="1"/>
  <c r="O6" i="2"/>
  <c r="P6" i="2"/>
  <c r="Q6" i="2"/>
  <c r="S6" i="2"/>
  <c r="T6" i="2" s="1"/>
  <c r="V6" i="2"/>
  <c r="X6" i="2"/>
  <c r="AA6" i="2"/>
  <c r="AB6" i="2"/>
  <c r="AC6" i="2"/>
  <c r="AD6" i="2"/>
  <c r="AE6" i="2"/>
  <c r="AF6" i="2"/>
  <c r="AI6" i="2" s="1"/>
  <c r="AG6" i="2"/>
  <c r="AJ6" i="2"/>
  <c r="AN6" i="2"/>
  <c r="AO6" i="2" s="1"/>
  <c r="AP6" i="2"/>
  <c r="AX6" i="2" s="1"/>
  <c r="AS6" i="2"/>
  <c r="CN6" i="2" s="1"/>
  <c r="AY6" i="2"/>
  <c r="AZ6" i="2"/>
  <c r="BB6" i="2"/>
  <c r="BC6" i="2"/>
  <c r="BG6" i="2"/>
  <c r="BI6" i="2" s="1"/>
  <c r="BH6" i="2"/>
  <c r="BJ6" i="2"/>
  <c r="BK6" i="2" s="1"/>
  <c r="BL6" i="2"/>
  <c r="BM6" i="2"/>
  <c r="BP6" i="2"/>
  <c r="BQ6" i="2"/>
  <c r="BT6" i="2"/>
  <c r="BX6" i="2" s="1"/>
  <c r="BW6" i="2"/>
  <c r="BY6" i="2"/>
  <c r="CA6" i="2"/>
  <c r="CB6" i="2"/>
  <c r="CC6" i="2"/>
  <c r="CE6" i="2"/>
  <c r="CG6" i="2"/>
  <c r="CI6" i="2"/>
  <c r="CR6" i="2"/>
  <c r="CT6" i="2"/>
  <c r="CV6" i="2"/>
  <c r="CX6" i="2"/>
  <c r="CZ6" i="2"/>
  <c r="DA6" i="2"/>
  <c r="DD6" i="2"/>
  <c r="DE6" i="2"/>
  <c r="B3" i="2"/>
  <c r="C3" i="2"/>
  <c r="D3" i="2"/>
  <c r="E3" i="2"/>
  <c r="F3" i="2"/>
  <c r="G3" i="2"/>
  <c r="H3" i="2"/>
  <c r="I3" i="2"/>
  <c r="J3" i="2"/>
  <c r="L3" i="2"/>
  <c r="CQ3" i="2" s="1"/>
  <c r="M3" i="2"/>
  <c r="N3" i="2" s="1"/>
  <c r="O3" i="2"/>
  <c r="P3" i="2"/>
  <c r="Q3" i="2"/>
  <c r="S3" i="2"/>
  <c r="T3" i="2" s="1"/>
  <c r="V3" i="2"/>
  <c r="X3" i="2"/>
  <c r="Z3" i="2" s="1"/>
  <c r="AA3" i="2"/>
  <c r="AB3" i="2"/>
  <c r="AC3" i="2"/>
  <c r="AD3" i="2"/>
  <c r="AE3" i="2"/>
  <c r="AF3" i="2"/>
  <c r="AI3" i="2" s="1"/>
  <c r="AG3" i="2"/>
  <c r="AJ3" i="2"/>
  <c r="AN3" i="2"/>
  <c r="AP3" i="2"/>
  <c r="AX3" i="2" s="1"/>
  <c r="AS3" i="2"/>
  <c r="AW3" i="2" s="1"/>
  <c r="AY3" i="2"/>
  <c r="AZ3" i="2"/>
  <c r="BB3" i="2"/>
  <c r="BC3" i="2"/>
  <c r="BG3" i="2"/>
  <c r="BI3" i="2" s="1"/>
  <c r="BH3" i="2"/>
  <c r="BJ3" i="2"/>
  <c r="BK3" i="2" s="1"/>
  <c r="BL3" i="2"/>
  <c r="BM3" i="2"/>
  <c r="BP3" i="2"/>
  <c r="BQ3" i="2"/>
  <c r="BT3" i="2"/>
  <c r="BX3" i="2" s="1"/>
  <c r="BW3" i="2"/>
  <c r="BY3" i="2"/>
  <c r="CA3" i="2"/>
  <c r="CB3" i="2"/>
  <c r="CC3" i="2"/>
  <c r="CE3" i="2"/>
  <c r="CG3" i="2"/>
  <c r="CI3" i="2"/>
  <c r="CR3" i="2"/>
  <c r="CT3" i="2"/>
  <c r="CV3" i="2"/>
  <c r="CX3" i="2"/>
  <c r="CZ3" i="2"/>
  <c r="DA3" i="2"/>
  <c r="DD3" i="2"/>
  <c r="DE3" i="2"/>
  <c r="B10" i="2"/>
  <c r="C10" i="2"/>
  <c r="D10" i="2"/>
  <c r="E10" i="2"/>
  <c r="F10" i="2"/>
  <c r="G10" i="2"/>
  <c r="H10" i="2"/>
  <c r="I10" i="2"/>
  <c r="J10" i="2"/>
  <c r="L10" i="2"/>
  <c r="CP10" i="2" s="1"/>
  <c r="M10" i="2"/>
  <c r="N10" i="2" s="1"/>
  <c r="O10" i="2"/>
  <c r="P10" i="2"/>
  <c r="Q10" i="2"/>
  <c r="S10" i="2"/>
  <c r="T10" i="2" s="1"/>
  <c r="V10" i="2"/>
  <c r="W10" i="2" s="1"/>
  <c r="X10" i="2"/>
  <c r="AA10" i="2"/>
  <c r="AB10" i="2"/>
  <c r="AC10" i="2"/>
  <c r="AD10" i="2"/>
  <c r="AE10" i="2"/>
  <c r="AF10" i="2"/>
  <c r="AG10" i="2"/>
  <c r="AJ10" i="2"/>
  <c r="AN10" i="2"/>
  <c r="AO10" i="2" s="1"/>
  <c r="AP10" i="2"/>
  <c r="AX10" i="2" s="1"/>
  <c r="AS10" i="2"/>
  <c r="BN10" i="2" s="1"/>
  <c r="AY10" i="2"/>
  <c r="AZ10" i="2"/>
  <c r="BB10" i="2"/>
  <c r="BC10" i="2"/>
  <c r="BG10" i="2"/>
  <c r="BI10" i="2" s="1"/>
  <c r="BH10" i="2"/>
  <c r="BJ10" i="2"/>
  <c r="BL10" i="2"/>
  <c r="BM10" i="2"/>
  <c r="BP10" i="2"/>
  <c r="BQ10" i="2"/>
  <c r="BT10" i="2"/>
  <c r="BU10" i="2" s="1"/>
  <c r="BW10" i="2"/>
  <c r="BY10" i="2"/>
  <c r="CA10" i="2"/>
  <c r="CB10" i="2"/>
  <c r="CC10" i="2"/>
  <c r="CE10" i="2"/>
  <c r="CG10" i="2"/>
  <c r="CI10" i="2"/>
  <c r="CR10" i="2"/>
  <c r="CT10" i="2"/>
  <c r="CV10" i="2"/>
  <c r="CX10" i="2"/>
  <c r="CZ10" i="2"/>
  <c r="DA10" i="2"/>
  <c r="DD10" i="2"/>
  <c r="DE10" i="2"/>
  <c r="B4" i="2"/>
  <c r="C4" i="2"/>
  <c r="D4" i="2"/>
  <c r="E4" i="2"/>
  <c r="F4" i="2"/>
  <c r="G4" i="2"/>
  <c r="H4" i="2"/>
  <c r="I4" i="2"/>
  <c r="J4" i="2"/>
  <c r="L4" i="2"/>
  <c r="BD4" i="2" s="1"/>
  <c r="M4" i="2"/>
  <c r="N4" i="2" s="1"/>
  <c r="O4" i="2"/>
  <c r="P4" i="2"/>
  <c r="Q4" i="2"/>
  <c r="S4" i="2"/>
  <c r="T4" i="2" s="1"/>
  <c r="V4" i="2"/>
  <c r="X4" i="2"/>
  <c r="AA4" i="2"/>
  <c r="AB4" i="2"/>
  <c r="AC4" i="2"/>
  <c r="AD4" i="2"/>
  <c r="AE4" i="2"/>
  <c r="AF4" i="2"/>
  <c r="AI4" i="2" s="1"/>
  <c r="AG4" i="2"/>
  <c r="AJ4" i="2"/>
  <c r="AN4" i="2"/>
  <c r="AP4" i="2"/>
  <c r="AQ4" i="2" s="1"/>
  <c r="AS4" i="2"/>
  <c r="CN4" i="2" s="1"/>
  <c r="CO4" i="2" s="1"/>
  <c r="AY4" i="2"/>
  <c r="AZ4" i="2"/>
  <c r="BB4" i="2"/>
  <c r="BC4" i="2"/>
  <c r="BG4" i="2"/>
  <c r="BI4" i="2" s="1"/>
  <c r="BH4" i="2"/>
  <c r="BJ4" i="2"/>
  <c r="BL4" i="2"/>
  <c r="BM4" i="2"/>
  <c r="BP4" i="2"/>
  <c r="BQ4" i="2"/>
  <c r="BT4" i="2"/>
  <c r="BW4" i="2"/>
  <c r="BY4" i="2"/>
  <c r="CA4" i="2"/>
  <c r="CB4" i="2"/>
  <c r="CC4" i="2"/>
  <c r="CE4" i="2"/>
  <c r="CG4" i="2"/>
  <c r="CI4" i="2"/>
  <c r="CR4" i="2"/>
  <c r="CT4" i="2"/>
  <c r="CV4" i="2"/>
  <c r="CX4" i="2"/>
  <c r="CZ4" i="2"/>
  <c r="DA4" i="2"/>
  <c r="DD4" i="2"/>
  <c r="DE4" i="2"/>
  <c r="B6" i="19"/>
  <c r="B7" i="19"/>
  <c r="C3" i="19"/>
  <c r="D3" i="19"/>
  <c r="E3" i="19"/>
  <c r="F3" i="19"/>
  <c r="H3" i="19"/>
  <c r="I3" i="19"/>
  <c r="K3" i="19" s="1"/>
  <c r="L3" i="19"/>
  <c r="N3" i="19"/>
  <c r="O3" i="19"/>
  <c r="P3" i="19"/>
  <c r="Q3" i="19"/>
  <c r="R3" i="19"/>
  <c r="S3" i="19"/>
  <c r="T3" i="19"/>
  <c r="U3" i="19"/>
  <c r="X3" i="19"/>
  <c r="B8" i="19"/>
  <c r="C2" i="19"/>
  <c r="D2" i="19"/>
  <c r="E2" i="19"/>
  <c r="F2" i="19"/>
  <c r="H2" i="19"/>
  <c r="M2" i="19" s="1"/>
  <c r="I2" i="19"/>
  <c r="K2" i="19" s="1"/>
  <c r="L2" i="19"/>
  <c r="N2" i="19"/>
  <c r="P2" i="19" s="1"/>
  <c r="O2" i="19"/>
  <c r="Q2" i="19"/>
  <c r="S2" i="19"/>
  <c r="T2" i="19"/>
  <c r="U2" i="19"/>
  <c r="X2" i="19"/>
  <c r="B9" i="19"/>
  <c r="B10" i="19"/>
  <c r="B11" i="19"/>
  <c r="C5" i="19"/>
  <c r="D5" i="19"/>
  <c r="E5" i="19"/>
  <c r="F5" i="19"/>
  <c r="H5" i="19"/>
  <c r="R5" i="19" s="1"/>
  <c r="I5" i="19"/>
  <c r="K5" i="19" s="1"/>
  <c r="L5" i="19"/>
  <c r="N5" i="19"/>
  <c r="P5" i="19" s="1"/>
  <c r="O5" i="19"/>
  <c r="Q5" i="19"/>
  <c r="S5" i="19"/>
  <c r="T5" i="19"/>
  <c r="U5" i="19"/>
  <c r="X5" i="19"/>
  <c r="C7" i="19"/>
  <c r="D7" i="19"/>
  <c r="E7" i="19"/>
  <c r="F7" i="19"/>
  <c r="H7" i="19"/>
  <c r="R7" i="19" s="1"/>
  <c r="I7" i="19"/>
  <c r="K7" i="19" s="1"/>
  <c r="L7" i="19"/>
  <c r="N7" i="19"/>
  <c r="Q7" i="19"/>
  <c r="S7" i="19"/>
  <c r="T7" i="19"/>
  <c r="U7" i="19"/>
  <c r="X7" i="19"/>
  <c r="C11" i="19"/>
  <c r="D11" i="19"/>
  <c r="E11" i="19"/>
  <c r="F11" i="19"/>
  <c r="H11" i="19"/>
  <c r="R11" i="19" s="1"/>
  <c r="I11" i="19"/>
  <c r="J11" i="19" s="1"/>
  <c r="L11" i="19"/>
  <c r="M11" i="19" s="1"/>
  <c r="N11" i="19"/>
  <c r="O11" i="19" s="1"/>
  <c r="Q11" i="19"/>
  <c r="S11" i="19"/>
  <c r="T11" i="19"/>
  <c r="U11" i="19"/>
  <c r="X11" i="19"/>
  <c r="C6" i="19"/>
  <c r="D6" i="19"/>
  <c r="E6" i="19"/>
  <c r="F6" i="19"/>
  <c r="H6" i="19"/>
  <c r="R6" i="19" s="1"/>
  <c r="I6" i="19"/>
  <c r="K6" i="19" s="1"/>
  <c r="L6" i="19"/>
  <c r="N6" i="19"/>
  <c r="O6" i="19" s="1"/>
  <c r="Q6" i="19"/>
  <c r="S6" i="19"/>
  <c r="T6" i="19"/>
  <c r="U6" i="19"/>
  <c r="X6" i="19"/>
  <c r="C9" i="19"/>
  <c r="D9" i="19"/>
  <c r="E9" i="19"/>
  <c r="F9" i="19"/>
  <c r="H9" i="19"/>
  <c r="R9" i="19" s="1"/>
  <c r="I9" i="19"/>
  <c r="K9" i="19" s="1"/>
  <c r="L9" i="19"/>
  <c r="N9" i="19"/>
  <c r="Q9" i="19"/>
  <c r="S9" i="19"/>
  <c r="T9" i="19"/>
  <c r="U9" i="19"/>
  <c r="X9" i="19"/>
  <c r="C4" i="19"/>
  <c r="D4" i="19"/>
  <c r="E4" i="19"/>
  <c r="F4" i="19"/>
  <c r="H4" i="19"/>
  <c r="R4" i="19" s="1"/>
  <c r="I4" i="19"/>
  <c r="K4" i="19" s="1"/>
  <c r="L4" i="19"/>
  <c r="N4" i="19"/>
  <c r="Q4" i="19"/>
  <c r="S4" i="19"/>
  <c r="T4" i="19"/>
  <c r="U4" i="19"/>
  <c r="X4" i="19"/>
  <c r="C8" i="19"/>
  <c r="D8" i="19"/>
  <c r="E8" i="19"/>
  <c r="F8" i="19"/>
  <c r="H8" i="19"/>
  <c r="R8" i="19" s="1"/>
  <c r="I8" i="19"/>
  <c r="K8" i="19" s="1"/>
  <c r="L8" i="19"/>
  <c r="N8" i="19"/>
  <c r="Q8" i="19"/>
  <c r="S8" i="19"/>
  <c r="T8" i="19"/>
  <c r="U8" i="19"/>
  <c r="X8" i="19"/>
  <c r="B4" i="17"/>
  <c r="C4" i="17"/>
  <c r="D4" i="17"/>
  <c r="E4" i="17"/>
  <c r="F4" i="17"/>
  <c r="G4" i="17"/>
  <c r="H4" i="17"/>
  <c r="I4" i="17"/>
  <c r="J4" i="17"/>
  <c r="L4" i="17"/>
  <c r="M4" i="17"/>
  <c r="N4" i="17" s="1"/>
  <c r="P4" i="17"/>
  <c r="Q4" i="17"/>
  <c r="W4" i="17"/>
  <c r="Y4" i="17"/>
  <c r="AB4" i="17"/>
  <c r="AD4" i="17"/>
  <c r="AG4" i="17"/>
  <c r="AJ4" i="17"/>
  <c r="AN4" i="17"/>
  <c r="AP4" i="17"/>
  <c r="AR4" i="17"/>
  <c r="AX4" i="17"/>
  <c r="AY4" i="17"/>
  <c r="AZ4" i="17"/>
  <c r="BA4" i="17"/>
  <c r="BF4" i="17" s="1"/>
  <c r="BG4" i="17"/>
  <c r="BI4" i="17"/>
  <c r="BK4" i="17"/>
  <c r="BL4" i="17"/>
  <c r="BM4" i="17"/>
  <c r="BO4" i="17"/>
  <c r="BR4" i="17"/>
  <c r="BT4" i="17"/>
  <c r="BU4" i="17"/>
  <c r="BW4" i="17"/>
  <c r="BY4" i="17"/>
  <c r="CB4" i="17"/>
  <c r="CC4" i="17"/>
  <c r="CD4" i="17" s="1"/>
  <c r="CE4" i="17"/>
  <c r="CF4" i="17"/>
  <c r="CG4" i="17"/>
  <c r="CH4" i="17"/>
  <c r="CK4" i="17"/>
  <c r="B9" i="17"/>
  <c r="C9" i="17"/>
  <c r="D9" i="17"/>
  <c r="E9" i="17"/>
  <c r="F9" i="17"/>
  <c r="G9" i="17"/>
  <c r="H9" i="17"/>
  <c r="I9" i="17"/>
  <c r="J9" i="17"/>
  <c r="L9" i="17"/>
  <c r="M9" i="17"/>
  <c r="N9" i="17" s="1"/>
  <c r="P9" i="17"/>
  <c r="Q9" i="17"/>
  <c r="W9" i="17"/>
  <c r="X9" i="17" s="1"/>
  <c r="Y9" i="17"/>
  <c r="AB9" i="17"/>
  <c r="AC9" i="17" s="1"/>
  <c r="AD9" i="17"/>
  <c r="AG9" i="17"/>
  <c r="AJ9" i="17"/>
  <c r="AN9" i="17"/>
  <c r="AP9" i="17"/>
  <c r="AR9" i="17"/>
  <c r="AX9" i="17"/>
  <c r="AY9" i="17"/>
  <c r="AZ9" i="17"/>
  <c r="BA9" i="17"/>
  <c r="BB9" i="17" s="1"/>
  <c r="BG9" i="17"/>
  <c r="BH9" i="17" s="1"/>
  <c r="BI9" i="17"/>
  <c r="AU9" i="17" s="1"/>
  <c r="BK9" i="17"/>
  <c r="BL9" i="17"/>
  <c r="BM9" i="17"/>
  <c r="BO9" i="17"/>
  <c r="BR9" i="17"/>
  <c r="BQ9" i="17" s="1"/>
  <c r="BT9" i="17"/>
  <c r="BU9" i="17"/>
  <c r="BW9" i="17"/>
  <c r="BY9" i="17"/>
  <c r="CB9" i="17"/>
  <c r="CC9" i="17"/>
  <c r="CE9" i="17"/>
  <c r="CF9" i="17"/>
  <c r="CG9" i="17"/>
  <c r="CH9" i="17"/>
  <c r="CK9" i="17"/>
  <c r="B7" i="17"/>
  <c r="C7" i="17"/>
  <c r="D7" i="17"/>
  <c r="E7" i="17"/>
  <c r="F7" i="17"/>
  <c r="G7" i="17"/>
  <c r="H7" i="17"/>
  <c r="I7" i="17"/>
  <c r="J7" i="17"/>
  <c r="L7" i="17"/>
  <c r="M7" i="17"/>
  <c r="P7" i="17"/>
  <c r="Q7" i="17"/>
  <c r="W7" i="17"/>
  <c r="Y7" i="17"/>
  <c r="AB7" i="17"/>
  <c r="AD7" i="17"/>
  <c r="AG7" i="17"/>
  <c r="AJ7" i="17"/>
  <c r="AN7" i="17"/>
  <c r="AP7" i="17"/>
  <c r="AR7" i="17"/>
  <c r="AX7" i="17"/>
  <c r="AY7" i="17"/>
  <c r="AZ7" i="17"/>
  <c r="BA7" i="17"/>
  <c r="BG7" i="17"/>
  <c r="BI7" i="17"/>
  <c r="BK7" i="17"/>
  <c r="BL7" i="17"/>
  <c r="BM7" i="17"/>
  <c r="BN7" i="17" s="1"/>
  <c r="BO7" i="17"/>
  <c r="BR7" i="17"/>
  <c r="BT7" i="17"/>
  <c r="BU7" i="17"/>
  <c r="BW7" i="17"/>
  <c r="BY7" i="17"/>
  <c r="CB7" i="17"/>
  <c r="CC7" i="17"/>
  <c r="CE7" i="17"/>
  <c r="CF7" i="17"/>
  <c r="CG7" i="17"/>
  <c r="CH7" i="17"/>
  <c r="CK7" i="17"/>
  <c r="B8" i="17"/>
  <c r="C8" i="17"/>
  <c r="D8" i="17"/>
  <c r="E8" i="17"/>
  <c r="F8" i="17"/>
  <c r="G8" i="17"/>
  <c r="H8" i="17"/>
  <c r="I8" i="17"/>
  <c r="J8" i="17"/>
  <c r="L8" i="17"/>
  <c r="M8" i="17"/>
  <c r="N8" i="17" s="1"/>
  <c r="P8" i="17"/>
  <c r="Q8" i="17"/>
  <c r="W8" i="17"/>
  <c r="Y8" i="17"/>
  <c r="AB8" i="17"/>
  <c r="AD8" i="17"/>
  <c r="AG8" i="17"/>
  <c r="AJ8" i="17"/>
  <c r="AN8" i="17"/>
  <c r="AP8" i="17"/>
  <c r="AR8" i="17"/>
  <c r="AX8" i="17"/>
  <c r="AY8" i="17"/>
  <c r="AZ8" i="17"/>
  <c r="BA8" i="17"/>
  <c r="BB8" i="17" s="1"/>
  <c r="BG8" i="17"/>
  <c r="BI8" i="17"/>
  <c r="BK8" i="17"/>
  <c r="BL8" i="17"/>
  <c r="BM8" i="17"/>
  <c r="BO8" i="17"/>
  <c r="BR8" i="17"/>
  <c r="BT8" i="17"/>
  <c r="BU8" i="17"/>
  <c r="BW8" i="17"/>
  <c r="BY8" i="17"/>
  <c r="CB8" i="17"/>
  <c r="CC8" i="17"/>
  <c r="CE8" i="17"/>
  <c r="CF8" i="17"/>
  <c r="CG8" i="17"/>
  <c r="CH8" i="17"/>
  <c r="CK8" i="17"/>
  <c r="B3" i="17"/>
  <c r="C3" i="17"/>
  <c r="D3" i="17"/>
  <c r="E3" i="17"/>
  <c r="F3" i="17"/>
  <c r="G3" i="17"/>
  <c r="H3" i="17"/>
  <c r="I3" i="17"/>
  <c r="J3" i="17"/>
  <c r="L3" i="17"/>
  <c r="M3" i="17"/>
  <c r="N3" i="17" s="1"/>
  <c r="P3" i="17"/>
  <c r="Q3" i="17"/>
  <c r="W3" i="17"/>
  <c r="Y3" i="17"/>
  <c r="AB3" i="17"/>
  <c r="AD3" i="17"/>
  <c r="AG3" i="17"/>
  <c r="AJ3" i="17"/>
  <c r="AN3" i="17"/>
  <c r="AP3" i="17"/>
  <c r="AR3" i="17"/>
  <c r="AX3" i="17"/>
  <c r="AY3" i="17"/>
  <c r="AZ3" i="17"/>
  <c r="BA3" i="17"/>
  <c r="BG3" i="17"/>
  <c r="BI3" i="17"/>
  <c r="BK3" i="17"/>
  <c r="BL3" i="17"/>
  <c r="BM3" i="17"/>
  <c r="BO3" i="17"/>
  <c r="BR3" i="17"/>
  <c r="BT3" i="17"/>
  <c r="BU3" i="17"/>
  <c r="BW3" i="17"/>
  <c r="BY3" i="17"/>
  <c r="CB3" i="17"/>
  <c r="CC3" i="17"/>
  <c r="CE3" i="17"/>
  <c r="CF3" i="17"/>
  <c r="CG3" i="17"/>
  <c r="CH3" i="17"/>
  <c r="CK3" i="17"/>
  <c r="A3" i="10"/>
  <c r="B6" i="10"/>
  <c r="C6" i="10"/>
  <c r="D6" i="10"/>
  <c r="E6" i="10"/>
  <c r="F6" i="10"/>
  <c r="G6" i="10"/>
  <c r="H6" i="10"/>
  <c r="I6" i="10"/>
  <c r="J6" i="10"/>
  <c r="L6" i="10"/>
  <c r="DL6" i="10" s="1"/>
  <c r="M6" i="10"/>
  <c r="N6" i="10" s="1"/>
  <c r="O6" i="10"/>
  <c r="P6" i="10"/>
  <c r="Q6" i="10"/>
  <c r="U6" i="10"/>
  <c r="V6" i="10" s="1"/>
  <c r="X6" i="10"/>
  <c r="Y6" i="10"/>
  <c r="AA6" i="10"/>
  <c r="AB6" i="10"/>
  <c r="AD6" i="10"/>
  <c r="AL6" i="10"/>
  <c r="AN6" i="10"/>
  <c r="AP6" i="10"/>
  <c r="AR6" i="10"/>
  <c r="AT6" i="10"/>
  <c r="AW6" i="10"/>
  <c r="AX6" i="10"/>
  <c r="AY6" i="10"/>
  <c r="AZ6" i="10"/>
  <c r="BC6" i="10"/>
  <c r="BD6" i="10"/>
  <c r="BG6" i="10"/>
  <c r="BJ6" i="10"/>
  <c r="BL6" i="10"/>
  <c r="BN6" i="10"/>
  <c r="BP6" i="10"/>
  <c r="BQ6" i="10"/>
  <c r="BR6" i="10"/>
  <c r="BS6" i="10"/>
  <c r="BT6" i="10"/>
  <c r="BZ6" i="10"/>
  <c r="CA6" i="10"/>
  <c r="CB6" i="10"/>
  <c r="CF6" i="10"/>
  <c r="CJ6" i="10"/>
  <c r="CQ6" i="10" s="1"/>
  <c r="CO6" i="10"/>
  <c r="CS6" i="10"/>
  <c r="CU6" i="10"/>
  <c r="CX6" i="10"/>
  <c r="DA6" i="10"/>
  <c r="EC6" i="10" s="1"/>
  <c r="DC6" i="10"/>
  <c r="DF6" i="10"/>
  <c r="DH6" i="10"/>
  <c r="DJ6" i="10"/>
  <c r="CZ6" i="10" s="1"/>
  <c r="DM6" i="10"/>
  <c r="DP6" i="10"/>
  <c r="DS6" i="10"/>
  <c r="DX6" i="10"/>
  <c r="DZ6" i="10"/>
  <c r="EE6" i="10"/>
  <c r="EG6" i="10"/>
  <c r="EI6" i="10"/>
  <c r="EJ6" i="10"/>
  <c r="A4" i="10"/>
  <c r="A2" i="10"/>
  <c r="X8" i="18"/>
  <c r="S8" i="18" s="1"/>
  <c r="X6" i="18"/>
  <c r="S6" i="18" s="1"/>
  <c r="X4" i="18"/>
  <c r="S4" i="18" s="1"/>
  <c r="X10" i="18"/>
  <c r="S10" i="18" s="1"/>
  <c r="X2" i="18"/>
  <c r="S2" i="18" s="1"/>
  <c r="X7" i="18"/>
  <c r="S7" i="18" s="1"/>
  <c r="X3" i="18"/>
  <c r="S3" i="18" s="1"/>
  <c r="X12" i="18"/>
  <c r="S12" i="18" s="1"/>
  <c r="X5" i="18"/>
  <c r="S5" i="18" s="1"/>
  <c r="X9" i="18"/>
  <c r="S9" i="18" s="1"/>
  <c r="X11" i="18"/>
  <c r="S11" i="18" s="1"/>
  <c r="J5" i="18"/>
  <c r="J7" i="18"/>
  <c r="J12" i="18"/>
  <c r="J10" i="18"/>
  <c r="J3" i="18"/>
  <c r="J9" i="18"/>
  <c r="J11" i="18"/>
  <c r="J2" i="18"/>
  <c r="J4" i="18"/>
  <c r="J8" i="18"/>
  <c r="J6" i="18"/>
  <c r="R9" i="17" l="1"/>
  <c r="U7" i="17"/>
  <c r="AE9" i="17"/>
  <c r="Z9" i="17"/>
  <c r="AI10" i="16"/>
  <c r="CL10" i="16"/>
  <c r="AI5" i="16"/>
  <c r="AZ6" i="16"/>
  <c r="AI7" i="16"/>
  <c r="CL9" i="16"/>
  <c r="DD5" i="16"/>
  <c r="DD8" i="16"/>
  <c r="AI8" i="16"/>
  <c r="DF5" i="16"/>
  <c r="AI9" i="16"/>
  <c r="AI2" i="16"/>
  <c r="CO3" i="16"/>
  <c r="AI11" i="16"/>
  <c r="CL2" i="16"/>
  <c r="CL5" i="16"/>
  <c r="CL11" i="16"/>
  <c r="DF7" i="16"/>
  <c r="DF9" i="16"/>
  <c r="DD7" i="16"/>
  <c r="DF10" i="16"/>
  <c r="CM9" i="16"/>
  <c r="DF2" i="16"/>
  <c r="CL7" i="16"/>
  <c r="DD10" i="16"/>
  <c r="DD2" i="16"/>
  <c r="CL3" i="16"/>
  <c r="DF3" i="16"/>
  <c r="CL6" i="16"/>
  <c r="DD3" i="16"/>
  <c r="DD11" i="16"/>
  <c r="DF6" i="16"/>
  <c r="CL8" i="16"/>
  <c r="AX3" i="16"/>
  <c r="DD6" i="16"/>
  <c r="CM7" i="16"/>
  <c r="AA2" i="16"/>
  <c r="AB2" i="16" s="1"/>
  <c r="DL2" i="16"/>
  <c r="DL4" i="16"/>
  <c r="BR3" i="16"/>
  <c r="CT3" i="16"/>
  <c r="EE3" i="16"/>
  <c r="DZ3" i="16"/>
  <c r="DS3" i="16"/>
  <c r="CI3" i="16"/>
  <c r="DK6" i="16"/>
  <c r="S6" i="16"/>
  <c r="CR6" i="16"/>
  <c r="AQ11" i="16"/>
  <c r="BD3" i="16"/>
  <c r="BD4" i="16"/>
  <c r="DP9" i="16"/>
  <c r="BY6" i="16"/>
  <c r="BD2" i="16"/>
  <c r="BD9" i="16"/>
  <c r="DO9" i="16"/>
  <c r="DB6" i="16"/>
  <c r="CT9" i="16"/>
  <c r="S9" i="16"/>
  <c r="DS9" i="16"/>
  <c r="CG3" i="16"/>
  <c r="BS6" i="16"/>
  <c r="BL10" i="16"/>
  <c r="BW7" i="16"/>
  <c r="EF10" i="16"/>
  <c r="CT10" i="16"/>
  <c r="BL9" i="16"/>
  <c r="AA6" i="16"/>
  <c r="AB6" i="16" s="1"/>
  <c r="DK4" i="16"/>
  <c r="AK4" i="16"/>
  <c r="AA8" i="16"/>
  <c r="AB8" i="16" s="1"/>
  <c r="DL8" i="16"/>
  <c r="AT10" i="16"/>
  <c r="DT10" i="16" s="1"/>
  <c r="DU10" i="16" s="1"/>
  <c r="BI7" i="16"/>
  <c r="CZ11" i="16"/>
  <c r="DZ7" i="16"/>
  <c r="DV7" i="16"/>
  <c r="DW7" i="16" s="1"/>
  <c r="BS8" i="16"/>
  <c r="AP11" i="16"/>
  <c r="CE4" i="16"/>
  <c r="DQ5" i="16"/>
  <c r="CE5" i="16"/>
  <c r="DK10" i="16"/>
  <c r="CB10" i="16"/>
  <c r="AO10" i="16"/>
  <c r="DI10" i="16"/>
  <c r="BY10" i="16"/>
  <c r="CI9" i="16"/>
  <c r="DI3" i="16"/>
  <c r="DS11" i="16"/>
  <c r="AT6" i="16"/>
  <c r="DT6" i="16" s="1"/>
  <c r="DU6" i="16" s="1"/>
  <c r="AK2" i="16"/>
  <c r="AM3" i="16"/>
  <c r="AM9" i="16"/>
  <c r="BW3" i="16"/>
  <c r="DB3" i="16"/>
  <c r="AK3" i="16"/>
  <c r="AT7" i="16"/>
  <c r="DT7" i="16" s="1"/>
  <c r="DX7" i="16" s="1"/>
  <c r="BU2" i="16"/>
  <c r="CX8" i="16"/>
  <c r="CT4" i="16"/>
  <c r="BP10" i="16"/>
  <c r="BN10" i="16"/>
  <c r="EF3" i="16"/>
  <c r="EE10" i="16"/>
  <c r="CR10" i="16"/>
  <c r="AE9" i="16"/>
  <c r="EC3" i="16"/>
  <c r="BL3" i="16"/>
  <c r="W8" i="16"/>
  <c r="BE8" i="16" s="1"/>
  <c r="EC10" i="16"/>
  <c r="BN9" i="16"/>
  <c r="T3" i="16"/>
  <c r="CX6" i="16"/>
  <c r="DO2" i="16"/>
  <c r="CB4" i="16"/>
  <c r="AT4" i="16"/>
  <c r="DT4" i="16" s="1"/>
  <c r="DU4" i="16" s="1"/>
  <c r="BY4" i="16"/>
  <c r="CD2" i="16"/>
  <c r="DV3" i="16"/>
  <c r="DW3" i="16" s="1"/>
  <c r="EF6" i="16"/>
  <c r="DB4" i="16"/>
  <c r="CV6" i="16"/>
  <c r="BW6" i="16"/>
  <c r="CZ4" i="16"/>
  <c r="BU4" i="16"/>
  <c r="W2" i="16"/>
  <c r="BE2" i="16" s="1"/>
  <c r="DI11" i="16"/>
  <c r="EC6" i="16"/>
  <c r="AK6" i="16"/>
  <c r="CR9" i="16"/>
  <c r="BG9" i="16"/>
  <c r="BU6" i="16"/>
  <c r="CV4" i="16"/>
  <c r="AA5" i="16"/>
  <c r="AB5" i="16" s="1"/>
  <c r="Z4" i="16"/>
  <c r="DZ6" i="16"/>
  <c r="AI4" i="16"/>
  <c r="AA10" i="16"/>
  <c r="AB10" i="16" s="1"/>
  <c r="AQ3" i="16"/>
  <c r="AR3" i="16" s="1"/>
  <c r="DG7" i="16"/>
  <c r="DS6" i="16"/>
  <c r="BR6" i="16"/>
  <c r="BL4" i="16"/>
  <c r="AA9" i="16"/>
  <c r="AB9" i="16" s="1"/>
  <c r="AA3" i="16"/>
  <c r="AB3" i="16" s="1"/>
  <c r="AA4" i="16"/>
  <c r="AB4" i="16" s="1"/>
  <c r="CV2" i="16"/>
  <c r="BJ4" i="16"/>
  <c r="AE4" i="16"/>
  <c r="CT2" i="16"/>
  <c r="CO6" i="16"/>
  <c r="DZ4" i="16"/>
  <c r="BI4" i="16"/>
  <c r="BL6" i="16"/>
  <c r="AE6" i="16"/>
  <c r="CO4" i="16"/>
  <c r="BI2" i="16"/>
  <c r="EF11" i="16"/>
  <c r="BJ6" i="16"/>
  <c r="T6" i="16"/>
  <c r="DS4" i="16"/>
  <c r="DW4" i="16"/>
  <c r="BG4" i="16"/>
  <c r="DZ2" i="16"/>
  <c r="CO2" i="16"/>
  <c r="BG2" i="16"/>
  <c r="DK9" i="16"/>
  <c r="BG11" i="16"/>
  <c r="DI6" i="16"/>
  <c r="CI6" i="16"/>
  <c r="BI6" i="16"/>
  <c r="DO5" i="16"/>
  <c r="AZ4" i="16"/>
  <c r="DS2" i="16"/>
  <c r="DI9" i="16"/>
  <c r="BP3" i="16"/>
  <c r="CE8" i="16"/>
  <c r="BL2" i="16"/>
  <c r="AX10" i="16"/>
  <c r="CX9" i="16"/>
  <c r="CE10" i="16"/>
  <c r="BW10" i="16"/>
  <c r="Z10" i="16"/>
  <c r="V10" i="16"/>
  <c r="AM2" i="16"/>
  <c r="V2" i="16"/>
  <c r="AT2" i="16"/>
  <c r="DT2" i="16" s="1"/>
  <c r="DU2" i="16" s="1"/>
  <c r="CZ10" i="16"/>
  <c r="AM10" i="16"/>
  <c r="BU10" i="16"/>
  <c r="AK10" i="16"/>
  <c r="BW9" i="16"/>
  <c r="V9" i="16"/>
  <c r="CV10" i="16"/>
  <c r="BR10" i="16"/>
  <c r="DL9" i="16"/>
  <c r="CO10" i="16"/>
  <c r="BI10" i="16"/>
  <c r="EC2" i="16"/>
  <c r="DZ10" i="16"/>
  <c r="T10" i="16"/>
  <c r="BP2" i="16"/>
  <c r="DS10" i="16"/>
  <c r="BG10" i="16"/>
  <c r="EF9" i="16"/>
  <c r="CR2" i="16"/>
  <c r="BN2" i="16"/>
  <c r="DQ10" i="16"/>
  <c r="AZ10" i="16"/>
  <c r="EE9" i="16"/>
  <c r="BP9" i="16"/>
  <c r="CV7" i="16"/>
  <c r="BU7" i="16"/>
  <c r="AM7" i="16"/>
  <c r="Z9" i="16"/>
  <c r="Z3" i="16"/>
  <c r="DS7" i="16"/>
  <c r="CR7" i="16"/>
  <c r="BR7" i="16"/>
  <c r="AK7" i="16"/>
  <c r="V11" i="16"/>
  <c r="AK11" i="16"/>
  <c r="V7" i="16"/>
  <c r="Z6" i="16"/>
  <c r="DQ7" i="16"/>
  <c r="CO7" i="16"/>
  <c r="BP7" i="16"/>
  <c r="Z8" i="16"/>
  <c r="CM3" i="16"/>
  <c r="BL11" i="16"/>
  <c r="AO6" i="16"/>
  <c r="DO3" i="16"/>
  <c r="EC11" i="16"/>
  <c r="BJ11" i="16"/>
  <c r="DK7" i="16"/>
  <c r="BL7" i="16"/>
  <c r="DV6" i="16"/>
  <c r="DW6" i="16" s="1"/>
  <c r="CT6" i="16"/>
  <c r="AM6" i="16"/>
  <c r="CR11" i="16"/>
  <c r="BI11" i="16"/>
  <c r="DI7" i="16"/>
  <c r="CI7" i="16"/>
  <c r="BJ7" i="16"/>
  <c r="AE11" i="16"/>
  <c r="CG7" i="16"/>
  <c r="AE7" i="16"/>
  <c r="CR5" i="16"/>
  <c r="BG5" i="16"/>
  <c r="CO11" i="16"/>
  <c r="S11" i="16"/>
  <c r="S7" i="16"/>
  <c r="AZ11" i="16"/>
  <c r="T11" i="16"/>
  <c r="CD7" i="16"/>
  <c r="BG7" i="16"/>
  <c r="T7" i="16"/>
  <c r="AM5" i="16"/>
  <c r="Z5" i="16"/>
  <c r="V5" i="16"/>
  <c r="Z2" i="16"/>
  <c r="EF7" i="16"/>
  <c r="AZ7" i="16"/>
  <c r="BN6" i="16"/>
  <c r="X4" i="16"/>
  <c r="BE4" i="16"/>
  <c r="BC4" i="16"/>
  <c r="BB4" i="16"/>
  <c r="AP3" i="16"/>
  <c r="AE3" i="16"/>
  <c r="V3" i="16"/>
  <c r="EE7" i="16"/>
  <c r="Z11" i="16"/>
  <c r="AO3" i="16"/>
  <c r="DL11" i="16"/>
  <c r="EC7" i="16"/>
  <c r="DB7" i="16"/>
  <c r="DL6" i="16"/>
  <c r="Z7" i="16"/>
  <c r="DP4" i="16"/>
  <c r="CM4" i="16"/>
  <c r="CJ4" i="16"/>
  <c r="W11" i="16"/>
  <c r="V6" i="16"/>
  <c r="CD4" i="16"/>
  <c r="BA4" i="16"/>
  <c r="S4" i="16"/>
  <c r="W7" i="16"/>
  <c r="V8" i="16"/>
  <c r="DL5" i="16"/>
  <c r="BU5" i="16"/>
  <c r="V4" i="16"/>
  <c r="BE9" i="16"/>
  <c r="BE3" i="16"/>
  <c r="W5" i="16"/>
  <c r="AA11" i="16"/>
  <c r="AB11" i="16" s="1"/>
  <c r="W10" i="16"/>
  <c r="AA7" i="16"/>
  <c r="AB7" i="16" s="1"/>
  <c r="X9" i="16"/>
  <c r="X3" i="16"/>
  <c r="W6" i="16"/>
  <c r="EE6" i="16"/>
  <c r="BG6" i="16"/>
  <c r="BB9" i="16"/>
  <c r="BB3" i="16"/>
  <c r="DS5" i="16"/>
  <c r="CJ8" i="16"/>
  <c r="CB6" i="16"/>
  <c r="BA6" i="16"/>
  <c r="DK2" i="16"/>
  <c r="CX10" i="16"/>
  <c r="BA10" i="16"/>
  <c r="DI2" i="16"/>
  <c r="CI2" i="16"/>
  <c r="BS2" i="16"/>
  <c r="DV9" i="16"/>
  <c r="DW9" i="16" s="1"/>
  <c r="BJ2" i="16"/>
  <c r="EF2" i="16"/>
  <c r="CE2" i="16"/>
  <c r="AE2" i="16"/>
  <c r="EC9" i="16"/>
  <c r="CD9" i="16"/>
  <c r="EE2" i="16"/>
  <c r="DB2" i="16"/>
  <c r="CB2" i="16"/>
  <c r="T2" i="16"/>
  <c r="CB9" i="16"/>
  <c r="AZ9" i="16"/>
  <c r="CZ2" i="16"/>
  <c r="BY2" i="16"/>
  <c r="AZ2" i="16"/>
  <c r="DZ9" i="16"/>
  <c r="T9" i="16"/>
  <c r="AX2" i="16"/>
  <c r="S2" i="16"/>
  <c r="BW2" i="16"/>
  <c r="DO10" i="16"/>
  <c r="CV9" i="16"/>
  <c r="BS10" i="16"/>
  <c r="AQ9" i="16"/>
  <c r="CX2" i="16"/>
  <c r="AO2" i="16"/>
  <c r="BS9" i="16"/>
  <c r="AP9" i="16"/>
  <c r="BR2" i="16"/>
  <c r="CG9" i="16"/>
  <c r="BJ9" i="16"/>
  <c r="DB10" i="16"/>
  <c r="CD10" i="16"/>
  <c r="AP4" i="16"/>
  <c r="AO4" i="16"/>
  <c r="DL3" i="16"/>
  <c r="DG3" i="16"/>
  <c r="AQ4" i="16"/>
  <c r="CG8" i="16"/>
  <c r="DI8" i="16"/>
  <c r="S8" i="16"/>
  <c r="AT8" i="16"/>
  <c r="DT8" i="16" s="1"/>
  <c r="DX8" i="16" s="1"/>
  <c r="CO8" i="16"/>
  <c r="BW8" i="16"/>
  <c r="AZ8" i="16"/>
  <c r="BY8" i="16"/>
  <c r="BI8" i="16"/>
  <c r="BJ8" i="16"/>
  <c r="DZ8" i="16"/>
  <c r="CV8" i="16"/>
  <c r="AK8" i="16"/>
  <c r="CZ8" i="16"/>
  <c r="CI10" i="16"/>
  <c r="CJ9" i="16"/>
  <c r="AK9" i="16"/>
  <c r="DB9" i="16"/>
  <c r="CE9" i="16"/>
  <c r="CV3" i="16"/>
  <c r="CX3" i="16"/>
  <c r="CZ9" i="16"/>
  <c r="DO11" i="16"/>
  <c r="DQ11" i="16"/>
  <c r="DP11" i="16"/>
  <c r="AE10" i="16"/>
  <c r="DQ9" i="16"/>
  <c r="CX7" i="16"/>
  <c r="CT7" i="16"/>
  <c r="BU9" i="16"/>
  <c r="AT9" i="16"/>
  <c r="DT9" i="16" s="1"/>
  <c r="DU9" i="16" s="1"/>
  <c r="BI3" i="16"/>
  <c r="AQ7" i="16"/>
  <c r="AS7" i="16" s="1"/>
  <c r="BP5" i="16"/>
  <c r="BS5" i="16"/>
  <c r="CD8" i="16"/>
  <c r="CZ3" i="16"/>
  <c r="CD3" i="16"/>
  <c r="CM11" i="16"/>
  <c r="DO7" i="16"/>
  <c r="AP7" i="16"/>
  <c r="AO7" i="16"/>
  <c r="AX6" i="16"/>
  <c r="DB8" i="16"/>
  <c r="CB8" i="16"/>
  <c r="AO8" i="16"/>
  <c r="BG3" i="16"/>
  <c r="AM8" i="16"/>
  <c r="AQ8" i="16"/>
  <c r="DG11" i="16"/>
  <c r="BS7" i="16"/>
  <c r="BN7" i="16"/>
  <c r="EF8" i="16"/>
  <c r="BY3" i="16"/>
  <c r="AZ3" i="16"/>
  <c r="S3" i="16"/>
  <c r="CJ11" i="16"/>
  <c r="EE8" i="16"/>
  <c r="BU8" i="16"/>
  <c r="CB11" i="16"/>
  <c r="BA11" i="16"/>
  <c r="DV5" i="16"/>
  <c r="DW5" i="16" s="1"/>
  <c r="CM5" i="16"/>
  <c r="CR3" i="16"/>
  <c r="AT3" i="16"/>
  <c r="DT3" i="16" s="1"/>
  <c r="DX3" i="16" s="1"/>
  <c r="DZ11" i="16"/>
  <c r="DB11" i="16"/>
  <c r="BY11" i="16"/>
  <c r="AX11" i="16"/>
  <c r="CT8" i="16"/>
  <c r="BN8" i="16"/>
  <c r="BU3" i="16"/>
  <c r="BW5" i="16"/>
  <c r="BY5" i="16"/>
  <c r="AE5" i="16"/>
  <c r="EC5" i="16"/>
  <c r="BJ5" i="16"/>
  <c r="CG5" i="16"/>
  <c r="DI5" i="16"/>
  <c r="EE5" i="16"/>
  <c r="CI5" i="16"/>
  <c r="BS3" i="16"/>
  <c r="DV11" i="16"/>
  <c r="DW11" i="16" s="1"/>
  <c r="AT11" i="16"/>
  <c r="DT11" i="16" s="1"/>
  <c r="DU11" i="16" s="1"/>
  <c r="BA7" i="16"/>
  <c r="DK5" i="16"/>
  <c r="AQ5" i="16"/>
  <c r="AR5" i="16" s="1"/>
  <c r="AO5" i="16"/>
  <c r="DS8" i="16"/>
  <c r="AE8" i="16"/>
  <c r="AR11" i="16"/>
  <c r="AS11" i="16"/>
  <c r="CG11" i="16"/>
  <c r="BW11" i="16"/>
  <c r="T8" i="16"/>
  <c r="CV11" i="16"/>
  <c r="BR11" i="16"/>
  <c r="BP11" i="16"/>
  <c r="AK5" i="16"/>
  <c r="BG8" i="16"/>
  <c r="BN3" i="16"/>
  <c r="CT11" i="16"/>
  <c r="AM11" i="16"/>
  <c r="DO6" i="16"/>
  <c r="CO5" i="16"/>
  <c r="EC8" i="16"/>
  <c r="AM4" i="16"/>
  <c r="DP5" i="16"/>
  <c r="BR5" i="16"/>
  <c r="EF5" i="16"/>
  <c r="BN5" i="16"/>
  <c r="CJ5" i="16"/>
  <c r="BL5" i="16"/>
  <c r="DQ4" i="16"/>
  <c r="CR4" i="16"/>
  <c r="BW4" i="16"/>
  <c r="DL7" i="16"/>
  <c r="AX8" i="16"/>
  <c r="DG5" i="16"/>
  <c r="BI5" i="16"/>
  <c r="CR8" i="16"/>
  <c r="BU11" i="16"/>
  <c r="DG6" i="16"/>
  <c r="BP6" i="16"/>
  <c r="DO8" i="16"/>
  <c r="DO4" i="16"/>
  <c r="CD5" i="16"/>
  <c r="DZ5" i="16"/>
  <c r="DB5" i="16"/>
  <c r="CB5" i="16"/>
  <c r="DK8" i="16"/>
  <c r="BR8" i="16"/>
  <c r="DI4" i="16"/>
  <c r="BP4" i="16"/>
  <c r="T4" i="16"/>
  <c r="CZ5" i="16"/>
  <c r="AX5" i="16"/>
  <c r="T5" i="16"/>
  <c r="EF4" i="16"/>
  <c r="CL4" i="16"/>
  <c r="BN4" i="16"/>
  <c r="DK11" i="16"/>
  <c r="BN11" i="16"/>
  <c r="CZ7" i="16"/>
  <c r="CB7" i="16"/>
  <c r="CZ6" i="16"/>
  <c r="CD6" i="16"/>
  <c r="EE4" i="16"/>
  <c r="DF4" i="16"/>
  <c r="BZ7" i="16"/>
  <c r="CV5" i="16"/>
  <c r="AT5" i="16"/>
  <c r="DT5" i="16" s="1"/>
  <c r="DX5" i="16" s="1"/>
  <c r="S5" i="16"/>
  <c r="CI8" i="16"/>
  <c r="AP8" i="16"/>
  <c r="EC4" i="16"/>
  <c r="DD4" i="16"/>
  <c r="CI4" i="16"/>
  <c r="CT5" i="16"/>
  <c r="BL8" i="16"/>
  <c r="DL10" i="16"/>
  <c r="DG2" i="16"/>
  <c r="AQ2" i="16"/>
  <c r="DV2" i="16"/>
  <c r="DW2" i="16" s="1"/>
  <c r="AP2" i="16"/>
  <c r="DG9" i="16"/>
  <c r="CM2" i="16"/>
  <c r="DG10" i="16"/>
  <c r="AQ10" i="16"/>
  <c r="S10" i="16"/>
  <c r="CO9" i="16"/>
  <c r="BY9" i="16"/>
  <c r="BZ9" i="16" s="1"/>
  <c r="BI9" i="16"/>
  <c r="AO9" i="16"/>
  <c r="DV10" i="16"/>
  <c r="DW10" i="16" s="1"/>
  <c r="BJ10" i="16"/>
  <c r="AP10" i="16"/>
  <c r="DQ2" i="16"/>
  <c r="BA2" i="16"/>
  <c r="DP2" i="16"/>
  <c r="CJ2" i="16"/>
  <c r="K2" i="16"/>
  <c r="CM10" i="16"/>
  <c r="BA9" i="16"/>
  <c r="K9" i="16"/>
  <c r="DP10" i="16"/>
  <c r="CJ10" i="16"/>
  <c r="BR9" i="16"/>
  <c r="AX9" i="16"/>
  <c r="K10" i="16"/>
  <c r="CB3" i="16"/>
  <c r="CE3" i="16"/>
  <c r="CX11" i="16"/>
  <c r="DQ3" i="16"/>
  <c r="BA3" i="16"/>
  <c r="BS11" i="16"/>
  <c r="CE7" i="16"/>
  <c r="DP3" i="16"/>
  <c r="CJ3" i="16"/>
  <c r="K3" i="16"/>
  <c r="DK3" i="16"/>
  <c r="CD11" i="16"/>
  <c r="CE11" i="16"/>
  <c r="K5" i="16"/>
  <c r="BP8" i="16"/>
  <c r="CE6" i="16"/>
  <c r="DG8" i="16"/>
  <c r="K8" i="16"/>
  <c r="AO11" i="16"/>
  <c r="AQ6" i="16"/>
  <c r="AP6" i="16"/>
  <c r="DP7" i="16"/>
  <c r="CJ7" i="16"/>
  <c r="K7" i="16"/>
  <c r="AZ5" i="16"/>
  <c r="BA5" i="16"/>
  <c r="EE11" i="16"/>
  <c r="CI11" i="16"/>
  <c r="K11" i="16"/>
  <c r="DQ6" i="16"/>
  <c r="DP6" i="16"/>
  <c r="CJ6" i="16"/>
  <c r="K6" i="16"/>
  <c r="AP5" i="16"/>
  <c r="DG4" i="16"/>
  <c r="DV8" i="16"/>
  <c r="DW8" i="16" s="1"/>
  <c r="CX5" i="16"/>
  <c r="DQ8" i="16"/>
  <c r="BA8" i="16"/>
  <c r="BS4" i="16"/>
  <c r="K4" i="16"/>
  <c r="DP8" i="16"/>
  <c r="CX4" i="16"/>
  <c r="BR4" i="16"/>
  <c r="AX4" i="16"/>
  <c r="AF6" i="15"/>
  <c r="BD12" i="15"/>
  <c r="BA12" i="15"/>
  <c r="Q14" i="15"/>
  <c r="AM14" i="15" s="1"/>
  <c r="CE11" i="15"/>
  <c r="BB8" i="15"/>
  <c r="R4" i="15"/>
  <c r="BU8" i="15"/>
  <c r="DC5" i="15"/>
  <c r="BS7" i="15"/>
  <c r="DQ8" i="15"/>
  <c r="CR5" i="15"/>
  <c r="AU8" i="15"/>
  <c r="DQ4" i="15"/>
  <c r="BA4" i="15"/>
  <c r="CJ12" i="15"/>
  <c r="DR8" i="15"/>
  <c r="CB11" i="15"/>
  <c r="BB15" i="15"/>
  <c r="DL4" i="15"/>
  <c r="CA4" i="15"/>
  <c r="S14" i="15"/>
  <c r="CB5" i="15"/>
  <c r="CY7" i="15"/>
  <c r="DC8" i="15"/>
  <c r="EB7" i="15"/>
  <c r="EB8" i="15"/>
  <c r="CZ8" i="15"/>
  <c r="DH4" i="15"/>
  <c r="BU4" i="15"/>
  <c r="BP11" i="15"/>
  <c r="CY8" i="15"/>
  <c r="DE4" i="15"/>
  <c r="DF4" i="15" s="1"/>
  <c r="DC6" i="15"/>
  <c r="AF3" i="15"/>
  <c r="EB4" i="15"/>
  <c r="BP4" i="15"/>
  <c r="DC12" i="15"/>
  <c r="CU8" i="15"/>
  <c r="DC4" i="15"/>
  <c r="CZ5" i="15"/>
  <c r="CY12" i="15"/>
  <c r="CY5" i="15"/>
  <c r="BA3" i="15"/>
  <c r="CW5" i="15"/>
  <c r="AE5" i="15"/>
  <c r="CZ3" i="15"/>
  <c r="BI11" i="15"/>
  <c r="BJ11" i="15" s="1"/>
  <c r="BR3" i="15"/>
  <c r="EB3" i="15"/>
  <c r="CY3" i="15"/>
  <c r="R12" i="15"/>
  <c r="CW3" i="15"/>
  <c r="BN10" i="15"/>
  <c r="AZ11" i="15"/>
  <c r="DZ3" i="15"/>
  <c r="BH3" i="15"/>
  <c r="DU8" i="15"/>
  <c r="CP8" i="15"/>
  <c r="BD8" i="15"/>
  <c r="CZ10" i="15"/>
  <c r="S11" i="15"/>
  <c r="DW3" i="15"/>
  <c r="CO3" i="15"/>
  <c r="BF3" i="15"/>
  <c r="AC3" i="15"/>
  <c r="CJ7" i="15"/>
  <c r="Q7" i="15"/>
  <c r="AM7" i="15" s="1"/>
  <c r="V8" i="15"/>
  <c r="AO8" i="15" s="1"/>
  <c r="AF10" i="15"/>
  <c r="BP3" i="15"/>
  <c r="DU3" i="15"/>
  <c r="BD3" i="15"/>
  <c r="BU10" i="15"/>
  <c r="CJ3" i="15"/>
  <c r="Y10" i="15"/>
  <c r="DL11" i="15"/>
  <c r="CG3" i="15"/>
  <c r="CH3" i="15" s="1"/>
  <c r="CO10" i="15"/>
  <c r="BD10" i="15"/>
  <c r="S3" i="15"/>
  <c r="AT7" i="15"/>
  <c r="CA8" i="15"/>
  <c r="AT8" i="15"/>
  <c r="DU10" i="15"/>
  <c r="CM10" i="15"/>
  <c r="AF5" i="15"/>
  <c r="DN3" i="15"/>
  <c r="R3" i="15"/>
  <c r="DN8" i="15"/>
  <c r="BB10" i="15"/>
  <c r="CA3" i="15"/>
  <c r="BW8" i="15"/>
  <c r="CE10" i="15"/>
  <c r="BY3" i="15"/>
  <c r="DH3" i="15"/>
  <c r="AT10" i="15"/>
  <c r="CE5" i="15"/>
  <c r="BU3" i="15"/>
  <c r="CA5" i="15"/>
  <c r="S5" i="15"/>
  <c r="DL8" i="15"/>
  <c r="DK8" i="15"/>
  <c r="AF4" i="15"/>
  <c r="DH10" i="15"/>
  <c r="BW10" i="15"/>
  <c r="AQ10" i="15"/>
  <c r="AN6" i="15"/>
  <c r="CE14" i="15"/>
  <c r="AF11" i="15"/>
  <c r="CP3" i="15"/>
  <c r="CY2" i="15"/>
  <c r="BR7" i="15"/>
  <c r="Y4" i="15"/>
  <c r="N14" i="15"/>
  <c r="CJ15" i="15"/>
  <c r="AF2" i="15"/>
  <c r="DZ7" i="15"/>
  <c r="Q8" i="15"/>
  <c r="AM8" i="15" s="1"/>
  <c r="BB11" i="15"/>
  <c r="DZ2" i="15"/>
  <c r="CW7" i="15"/>
  <c r="BY8" i="15"/>
  <c r="DN4" i="15"/>
  <c r="CY10" i="15"/>
  <c r="BU14" i="15"/>
  <c r="DU2" i="15"/>
  <c r="BB3" i="15"/>
  <c r="BB2" i="15"/>
  <c r="CM7" i="15"/>
  <c r="BH7" i="15"/>
  <c r="CU10" i="15"/>
  <c r="CW12" i="15"/>
  <c r="EB6" i="15"/>
  <c r="BH6" i="15"/>
  <c r="CY14" i="15"/>
  <c r="BP14" i="15"/>
  <c r="BU11" i="15"/>
  <c r="AQ11" i="15"/>
  <c r="DQ7" i="15"/>
  <c r="CP10" i="15"/>
  <c r="BF10" i="15"/>
  <c r="DW12" i="15"/>
  <c r="BN14" i="15"/>
  <c r="BR11" i="15"/>
  <c r="BR15" i="15"/>
  <c r="AU2" i="15"/>
  <c r="BD7" i="15"/>
  <c r="DW14" i="15"/>
  <c r="CU14" i="15"/>
  <c r="CP12" i="15"/>
  <c r="BP5" i="15"/>
  <c r="BY2" i="15"/>
  <c r="AQ2" i="15"/>
  <c r="CO14" i="15"/>
  <c r="BH14" i="15"/>
  <c r="CZ15" i="15"/>
  <c r="DQ14" i="15"/>
  <c r="DH2" i="15"/>
  <c r="AU7" i="15"/>
  <c r="DW8" i="15"/>
  <c r="CW8" i="15"/>
  <c r="AF8" i="15"/>
  <c r="DZ4" i="15"/>
  <c r="CE12" i="15"/>
  <c r="CP14" i="15"/>
  <c r="CW11" i="15"/>
  <c r="BH15" i="15"/>
  <c r="BN3" i="15"/>
  <c r="DH7" i="15"/>
  <c r="DW4" i="15"/>
  <c r="CY4" i="15"/>
  <c r="DN12" i="15"/>
  <c r="CJ14" i="15"/>
  <c r="DW11" i="15"/>
  <c r="AE11" i="15"/>
  <c r="DR5" i="15"/>
  <c r="BH5" i="15"/>
  <c r="CE8" i="15"/>
  <c r="CF3" i="15"/>
  <c r="EB2" i="15"/>
  <c r="CP7" i="15"/>
  <c r="T8" i="15"/>
  <c r="CE4" i="15"/>
  <c r="Q15" i="15"/>
  <c r="AM15" i="15" s="1"/>
  <c r="AV8" i="15"/>
  <c r="CB4" i="15"/>
  <c r="CE15" i="15"/>
  <c r="CO2" i="15"/>
  <c r="BI2" i="15"/>
  <c r="BJ2" i="15" s="1"/>
  <c r="AV4" i="15"/>
  <c r="Q4" i="15"/>
  <c r="AM4" i="15" s="1"/>
  <c r="AN7" i="15"/>
  <c r="CJ2" i="15"/>
  <c r="CE7" i="15"/>
  <c r="AT4" i="15"/>
  <c r="CJ10" i="15"/>
  <c r="DV6" i="15"/>
  <c r="DU6" i="15"/>
  <c r="V11" i="15"/>
  <c r="AO11" i="15" s="1"/>
  <c r="AN11" i="15"/>
  <c r="CG2" i="15"/>
  <c r="CH2" i="15" s="1"/>
  <c r="AZ2" i="15"/>
  <c r="Z2" i="15"/>
  <c r="CA7" i="15"/>
  <c r="BB7" i="15"/>
  <c r="N4" i="15"/>
  <c r="DN10" i="15"/>
  <c r="AT2" i="15"/>
  <c r="AV7" i="15"/>
  <c r="S8" i="15"/>
  <c r="AV6" i="15"/>
  <c r="Q2" i="15"/>
  <c r="AM2" i="15" s="1"/>
  <c r="BU7" i="15"/>
  <c r="BN4" i="15"/>
  <c r="AV10" i="15"/>
  <c r="BS10" i="15"/>
  <c r="BR10" i="15"/>
  <c r="DC2" i="15"/>
  <c r="BR2" i="15"/>
  <c r="AN2" i="15"/>
  <c r="DW7" i="15"/>
  <c r="CP4" i="15"/>
  <c r="BI4" i="15"/>
  <c r="BJ4" i="15" s="1"/>
  <c r="BN12" i="15"/>
  <c r="CW10" i="15"/>
  <c r="CU12" i="15"/>
  <c r="AF12" i="15"/>
  <c r="DE6" i="15"/>
  <c r="DF6" i="15" s="1"/>
  <c r="N6" i="15"/>
  <c r="DU11" i="15"/>
  <c r="CU11" i="15"/>
  <c r="Q11" i="15"/>
  <c r="AM11" i="15" s="1"/>
  <c r="DU5" i="15"/>
  <c r="BB5" i="15"/>
  <c r="CP11" i="15"/>
  <c r="BW15" i="15"/>
  <c r="AU15" i="15"/>
  <c r="N15" i="15"/>
  <c r="DR11" i="15"/>
  <c r="CO11" i="15"/>
  <c r="BU15" i="15"/>
  <c r="AE14" i="15"/>
  <c r="DC15" i="15"/>
  <c r="BS15" i="15"/>
  <c r="AQ15" i="15"/>
  <c r="BD14" i="15"/>
  <c r="CM11" i="15"/>
  <c r="BH11" i="15"/>
  <c r="DH14" i="15"/>
  <c r="BA14" i="15"/>
  <c r="AC14" i="15"/>
  <c r="DN11" i="15"/>
  <c r="CQ5" i="15"/>
  <c r="CS5" i="15" s="1"/>
  <c r="EB15" i="15"/>
  <c r="BP15" i="15"/>
  <c r="CF11" i="15"/>
  <c r="CP5" i="15"/>
  <c r="CY15" i="15"/>
  <c r="BY12" i="15"/>
  <c r="BF6" i="15"/>
  <c r="AE6" i="15"/>
  <c r="EB14" i="15"/>
  <c r="DZ15" i="15"/>
  <c r="CW15" i="15"/>
  <c r="DW15" i="15"/>
  <c r="BY10" i="15"/>
  <c r="AQ12" i="15"/>
  <c r="CJ6" i="15"/>
  <c r="BA6" i="15"/>
  <c r="AC6" i="15"/>
  <c r="DZ14" i="15"/>
  <c r="CZ14" i="15"/>
  <c r="V14" i="15"/>
  <c r="Z14" i="15" s="1"/>
  <c r="DH11" i="15"/>
  <c r="CA11" i="15"/>
  <c r="BA11" i="15"/>
  <c r="CK5" i="15"/>
  <c r="BI5" i="15"/>
  <c r="BJ5" i="15" s="1"/>
  <c r="BB6" i="15"/>
  <c r="DE11" i="15"/>
  <c r="DF11" i="15" s="1"/>
  <c r="CM15" i="15"/>
  <c r="BR14" i="15"/>
  <c r="EB11" i="15"/>
  <c r="BY11" i="15"/>
  <c r="BI15" i="15"/>
  <c r="BJ15" i="15" s="1"/>
  <c r="AF15" i="15"/>
  <c r="DC10" i="15"/>
  <c r="EB12" i="15"/>
  <c r="CZ12" i="15"/>
  <c r="BP12" i="15"/>
  <c r="DK6" i="15"/>
  <c r="CA6" i="15"/>
  <c r="DU14" i="15"/>
  <c r="AU11" i="15"/>
  <c r="CE3" i="15"/>
  <c r="CE2" i="15"/>
  <c r="CR7" i="15"/>
  <c r="CB3" i="15"/>
  <c r="CB2" i="15"/>
  <c r="CA2" i="15"/>
  <c r="AF7" i="15"/>
  <c r="DV3" i="15"/>
  <c r="AT3" i="15"/>
  <c r="CU3" i="15"/>
  <c r="T7" i="15"/>
  <c r="BI3" i="15"/>
  <c r="BJ3" i="15" s="1"/>
  <c r="CM2" i="15"/>
  <c r="CP2" i="15"/>
  <c r="BI8" i="15"/>
  <c r="BJ8" i="15" s="1"/>
  <c r="BR4" i="15"/>
  <c r="BS4" i="15"/>
  <c r="N7" i="15"/>
  <c r="DV8" i="15"/>
  <c r="BS8" i="15"/>
  <c r="Z7" i="15"/>
  <c r="AQ8" i="15"/>
  <c r="BP7" i="15"/>
  <c r="CR8" i="15"/>
  <c r="AU14" i="15"/>
  <c r="AV14" i="15"/>
  <c r="AQ4" i="15"/>
  <c r="CR4" i="15"/>
  <c r="CG4" i="15"/>
  <c r="CQ4" i="15" s="1"/>
  <c r="CS4" i="15" s="1"/>
  <c r="CF4" i="15"/>
  <c r="CF6" i="15"/>
  <c r="CE6" i="15"/>
  <c r="BD4" i="15"/>
  <c r="Z6" i="15"/>
  <c r="AO6" i="15"/>
  <c r="W6" i="15"/>
  <c r="DU4" i="15"/>
  <c r="CZ4" i="15"/>
  <c r="BY4" i="15"/>
  <c r="AZ4" i="15"/>
  <c r="AE4" i="15"/>
  <c r="BW4" i="15"/>
  <c r="BB4" i="15"/>
  <c r="DK12" i="15"/>
  <c r="DL12" i="15"/>
  <c r="AT14" i="15"/>
  <c r="V10" i="15"/>
  <c r="AO10" i="15" s="1"/>
  <c r="BB12" i="15"/>
  <c r="DH6" i="15"/>
  <c r="BD6" i="15"/>
  <c r="DV10" i="15"/>
  <c r="CB6" i="15"/>
  <c r="Q10" i="15"/>
  <c r="AM10" i="15" s="1"/>
  <c r="Q12" i="15"/>
  <c r="AM12" i="15" s="1"/>
  <c r="AT12" i="15"/>
  <c r="CZ6" i="15"/>
  <c r="BW6" i="15"/>
  <c r="CY6" i="15"/>
  <c r="BU6" i="15"/>
  <c r="AU6" i="15"/>
  <c r="Y6" i="15"/>
  <c r="DR6" i="15"/>
  <c r="CW6" i="15"/>
  <c r="DQ6" i="15"/>
  <c r="CU6" i="15"/>
  <c r="BR6" i="15"/>
  <c r="BS6" i="15"/>
  <c r="AQ6" i="15"/>
  <c r="CF10" i="15"/>
  <c r="BH10" i="15"/>
  <c r="BP6" i="15"/>
  <c r="AF14" i="15"/>
  <c r="BN6" i="15"/>
  <c r="CA10" i="15"/>
  <c r="CF12" i="15"/>
  <c r="AV11" i="15"/>
  <c r="DK14" i="15"/>
  <c r="CG11" i="15"/>
  <c r="CH11" i="15" s="1"/>
  <c r="BN11" i="15"/>
  <c r="R14" i="15"/>
  <c r="BI12" i="15"/>
  <c r="BJ12" i="15" s="1"/>
  <c r="DZ12" i="15"/>
  <c r="AT11" i="15"/>
  <c r="CO6" i="15"/>
  <c r="DC11" i="15"/>
  <c r="CY11" i="15"/>
  <c r="R11" i="15"/>
  <c r="BF11" i="15"/>
  <c r="DV14" i="15"/>
  <c r="BW11" i="15"/>
  <c r="N11" i="15"/>
  <c r="CO5" i="15"/>
  <c r="BS5" i="15"/>
  <c r="AV5" i="15"/>
  <c r="Y5" i="15"/>
  <c r="V15" i="15"/>
  <c r="AT5" i="15"/>
  <c r="T15" i="15"/>
  <c r="CF5" i="15"/>
  <c r="DQ5" i="15"/>
  <c r="BD5" i="15"/>
  <c r="W3" i="15"/>
  <c r="AO3" i="15"/>
  <c r="Z3" i="15"/>
  <c r="Q3" i="15"/>
  <c r="AM3" i="15" s="1"/>
  <c r="DL2" i="15"/>
  <c r="CZ7" i="15"/>
  <c r="AQ7" i="15"/>
  <c r="W7" i="15"/>
  <c r="CR3" i="15"/>
  <c r="AV3" i="15"/>
  <c r="CU2" i="15"/>
  <c r="DQ2" i="15"/>
  <c r="CQ3" i="15"/>
  <c r="AU3" i="15"/>
  <c r="AE3" i="15"/>
  <c r="CR2" i="15"/>
  <c r="BH2" i="15"/>
  <c r="CB7" i="15"/>
  <c r="N3" i="15"/>
  <c r="BI7" i="15"/>
  <c r="BJ7" i="15" s="1"/>
  <c r="BF7" i="15"/>
  <c r="BF2" i="15"/>
  <c r="DK2" i="15"/>
  <c r="Y2" i="15"/>
  <c r="W2" i="15"/>
  <c r="DN7" i="15"/>
  <c r="S7" i="15"/>
  <c r="DC3" i="15"/>
  <c r="CM3" i="15"/>
  <c r="BW3" i="15"/>
  <c r="AQ3" i="15"/>
  <c r="DW2" i="15"/>
  <c r="DE2" i="15"/>
  <c r="DF2" i="15" s="1"/>
  <c r="BD2" i="15"/>
  <c r="BW7" i="15"/>
  <c r="R7" i="15"/>
  <c r="DR3" i="15"/>
  <c r="DV2" i="15"/>
  <c r="BU2" i="15"/>
  <c r="DL7" i="15"/>
  <c r="AZ7" i="15"/>
  <c r="DQ3" i="15"/>
  <c r="CK3" i="15"/>
  <c r="Y3" i="15"/>
  <c r="BS2" i="15"/>
  <c r="BA7" i="15"/>
  <c r="AN3" i="15"/>
  <c r="BA2" i="15"/>
  <c r="S2" i="15"/>
  <c r="BS3" i="15"/>
  <c r="R2" i="15"/>
  <c r="T2" i="15"/>
  <c r="DR2" i="15"/>
  <c r="CZ2" i="15"/>
  <c r="BP2" i="15"/>
  <c r="N2" i="15"/>
  <c r="AC7" i="15"/>
  <c r="BY7" i="15"/>
  <c r="CO7" i="15"/>
  <c r="DE7" i="15"/>
  <c r="DF7" i="15" s="1"/>
  <c r="DU7" i="15"/>
  <c r="CU7" i="15"/>
  <c r="CG7" i="15"/>
  <c r="DR7" i="15"/>
  <c r="DL3" i="15"/>
  <c r="AZ3" i="15"/>
  <c r="T3" i="15"/>
  <c r="CF2" i="15"/>
  <c r="BN2" i="15"/>
  <c r="DN2" i="15"/>
  <c r="CW2" i="15"/>
  <c r="AV2" i="15"/>
  <c r="AE2" i="15"/>
  <c r="DC7" i="15"/>
  <c r="BN7" i="15"/>
  <c r="Y7" i="15"/>
  <c r="CF7" i="15"/>
  <c r="CJ8" i="15"/>
  <c r="BP8" i="15"/>
  <c r="CF8" i="15"/>
  <c r="BN8" i="15"/>
  <c r="Z8" i="15"/>
  <c r="Y8" i="15"/>
  <c r="BH8" i="15"/>
  <c r="AC8" i="15"/>
  <c r="DE8" i="15"/>
  <c r="DF8" i="15" s="1"/>
  <c r="CG8" i="15"/>
  <c r="CB8" i="15"/>
  <c r="W8" i="15"/>
  <c r="BF8" i="15"/>
  <c r="DZ8" i="15"/>
  <c r="DH8" i="15"/>
  <c r="CO8" i="15"/>
  <c r="AZ8" i="15"/>
  <c r="CM8" i="15"/>
  <c r="BA8" i="15"/>
  <c r="R8" i="15"/>
  <c r="BR8" i="15"/>
  <c r="N8" i="15"/>
  <c r="CM4" i="15"/>
  <c r="BF4" i="15"/>
  <c r="CJ4" i="15"/>
  <c r="V4" i="15"/>
  <c r="T4" i="15"/>
  <c r="S4" i="15"/>
  <c r="CA12" i="15"/>
  <c r="CB12" i="15"/>
  <c r="BF12" i="15"/>
  <c r="CA14" i="15"/>
  <c r="CB14" i="15"/>
  <c r="CP6" i="15"/>
  <c r="CG10" i="15"/>
  <c r="BA10" i="15"/>
  <c r="EB10" i="15"/>
  <c r="DL10" i="15"/>
  <c r="BP10" i="15"/>
  <c r="AZ10" i="15"/>
  <c r="T10" i="15"/>
  <c r="DK10" i="15"/>
  <c r="S10" i="15"/>
  <c r="CO12" i="15"/>
  <c r="CR12" i="15"/>
  <c r="AZ12" i="15"/>
  <c r="DZ10" i="15"/>
  <c r="R10" i="15"/>
  <c r="CM12" i="15"/>
  <c r="BS12" i="15"/>
  <c r="BR12" i="15"/>
  <c r="CR10" i="15"/>
  <c r="CB10" i="15"/>
  <c r="DW10" i="15"/>
  <c r="AU10" i="15"/>
  <c r="AE10" i="15"/>
  <c r="AC12" i="15"/>
  <c r="DE12" i="15"/>
  <c r="DF12" i="15" s="1"/>
  <c r="N12" i="15"/>
  <c r="AE12" i="15"/>
  <c r="DH12" i="15"/>
  <c r="BI6" i="15"/>
  <c r="BJ6" i="15" s="1"/>
  <c r="N10" i="15"/>
  <c r="Z12" i="15"/>
  <c r="DE10" i="15"/>
  <c r="DF10" i="15" s="1"/>
  <c r="BI10" i="15"/>
  <c r="BJ10" i="15" s="1"/>
  <c r="AC10" i="15"/>
  <c r="DU12" i="15"/>
  <c r="CG12" i="15"/>
  <c r="CH12" i="15" s="1"/>
  <c r="AU12" i="15"/>
  <c r="Y12" i="15"/>
  <c r="W12" i="15"/>
  <c r="Q6" i="15"/>
  <c r="AM6" i="15" s="1"/>
  <c r="R6" i="15"/>
  <c r="T6" i="15"/>
  <c r="DR10" i="15"/>
  <c r="DQ12" i="15"/>
  <c r="T12" i="15"/>
  <c r="CR6" i="15"/>
  <c r="BF14" i="15"/>
  <c r="BI14" i="15"/>
  <c r="BJ14" i="15" s="1"/>
  <c r="BH12" i="15"/>
  <c r="AN12" i="15"/>
  <c r="S12" i="15"/>
  <c r="T14" i="15"/>
  <c r="BS14" i="15"/>
  <c r="CG6" i="15"/>
  <c r="CQ6" i="15" s="1"/>
  <c r="AZ14" i="15"/>
  <c r="CG14" i="15"/>
  <c r="CW14" i="15"/>
  <c r="DR14" i="15"/>
  <c r="AQ14" i="15"/>
  <c r="BW14" i="15"/>
  <c r="CM14" i="15"/>
  <c r="DC14" i="15"/>
  <c r="CF14" i="15"/>
  <c r="Y14" i="15"/>
  <c r="Y11" i="15"/>
  <c r="DQ11" i="15"/>
  <c r="BN5" i="15"/>
  <c r="W5" i="15"/>
  <c r="AO5" i="15"/>
  <c r="Z5" i="15"/>
  <c r="DU15" i="15"/>
  <c r="DV15" i="15"/>
  <c r="CZ11" i="15"/>
  <c r="CJ11" i="15"/>
  <c r="BD11" i="15"/>
  <c r="CO15" i="15"/>
  <c r="CP15" i="15"/>
  <c r="CR15" i="15"/>
  <c r="BS11" i="15"/>
  <c r="Q5" i="15"/>
  <c r="AM5" i="15" s="1"/>
  <c r="R5" i="15"/>
  <c r="T5" i="15"/>
  <c r="T11" i="15"/>
  <c r="DZ11" i="15"/>
  <c r="AN5" i="15"/>
  <c r="BY15" i="15"/>
  <c r="CB15" i="15"/>
  <c r="DL5" i="15"/>
  <c r="W15" i="15"/>
  <c r="AO15" i="15"/>
  <c r="Z15" i="15"/>
  <c r="AT15" i="15"/>
  <c r="AV15" i="15"/>
  <c r="DR15" i="15"/>
  <c r="BF15" i="15"/>
  <c r="DQ15" i="15"/>
  <c r="Y15" i="15"/>
  <c r="CG15" i="15"/>
  <c r="CH15" i="15" s="1"/>
  <c r="DL15" i="15"/>
  <c r="CF15" i="15"/>
  <c r="AZ15" i="15"/>
  <c r="CU15" i="15"/>
  <c r="S15" i="15"/>
  <c r="R15" i="15"/>
  <c r="DH15" i="15"/>
  <c r="AE15" i="15"/>
  <c r="DE15" i="15"/>
  <c r="DF15" i="15" s="1"/>
  <c r="DD11" i="10"/>
  <c r="ED11" i="10"/>
  <c r="Z10" i="10"/>
  <c r="CC10" i="10" s="1"/>
  <c r="EH7" i="10"/>
  <c r="CY11" i="10"/>
  <c r="BO11" i="10"/>
  <c r="AO11" i="10"/>
  <c r="AQ11" i="10" s="1"/>
  <c r="EH11" i="10"/>
  <c r="BM11" i="10"/>
  <c r="CT7" i="10"/>
  <c r="BK7" i="10"/>
  <c r="AK7" i="10"/>
  <c r="CV11" i="10"/>
  <c r="BK11" i="10"/>
  <c r="AM11" i="10"/>
  <c r="DU10" i="10"/>
  <c r="DV10" i="10" s="1"/>
  <c r="W5" i="10"/>
  <c r="AJ9" i="10"/>
  <c r="CP7" i="10"/>
  <c r="EA11" i="10"/>
  <c r="CT11" i="10"/>
  <c r="AK11" i="10"/>
  <c r="EB7" i="10"/>
  <c r="CK7" i="10"/>
  <c r="CP11" i="10"/>
  <c r="DY7" i="10"/>
  <c r="AV8" i="10"/>
  <c r="DY11" i="10"/>
  <c r="DV11" i="10"/>
  <c r="AM4" i="10"/>
  <c r="DR5" i="10"/>
  <c r="DR7" i="10"/>
  <c r="AI7" i="10"/>
  <c r="DW11" i="10"/>
  <c r="Z11" i="10"/>
  <c r="EH9" i="10"/>
  <c r="AI9" i="10"/>
  <c r="DQ7" i="10"/>
  <c r="AH7" i="10"/>
  <c r="DR11" i="10"/>
  <c r="BE11" i="10"/>
  <c r="S9" i="10"/>
  <c r="W7" i="10"/>
  <c r="DQ11" i="10"/>
  <c r="EA9" i="10"/>
  <c r="W9" i="10"/>
  <c r="DL7" i="10"/>
  <c r="BW7" i="10"/>
  <c r="R7" i="10"/>
  <c r="BA11" i="10"/>
  <c r="DL11" i="10"/>
  <c r="CT4" i="10"/>
  <c r="ED10" i="10"/>
  <c r="DG5" i="10"/>
  <c r="AU7" i="10"/>
  <c r="AS7" i="10"/>
  <c r="CT2" i="10"/>
  <c r="DI11" i="10"/>
  <c r="BM10" i="10"/>
  <c r="DB5" i="10"/>
  <c r="AM5" i="10"/>
  <c r="BW9" i="10"/>
  <c r="DG7" i="10"/>
  <c r="Z2" i="10"/>
  <c r="AF2" i="10" s="1"/>
  <c r="BF7" i="10"/>
  <c r="DL4" i="10"/>
  <c r="BV4" i="10"/>
  <c r="DK4" i="10"/>
  <c r="EA5" i="10"/>
  <c r="AS5" i="10"/>
  <c r="R5" i="10"/>
  <c r="DD9" i="10"/>
  <c r="AV2" i="10"/>
  <c r="BE4" i="10"/>
  <c r="CY5" i="10"/>
  <c r="ED9" i="10"/>
  <c r="AV9" i="10"/>
  <c r="CG8" i="10"/>
  <c r="AI4" i="10"/>
  <c r="CV10" i="10"/>
  <c r="CY9" i="10"/>
  <c r="BW4" i="10"/>
  <c r="S4" i="10"/>
  <c r="DE7" i="10"/>
  <c r="BM2" i="10"/>
  <c r="AM2" i="10"/>
  <c r="EH4" i="10"/>
  <c r="W4" i="10"/>
  <c r="AV10" i="10"/>
  <c r="DW5" i="10"/>
  <c r="CT5" i="10"/>
  <c r="CV9" i="10"/>
  <c r="BO9" i="10"/>
  <c r="AM9" i="10"/>
  <c r="EH2" i="10"/>
  <c r="BK2" i="10"/>
  <c r="EF4" i="10"/>
  <c r="ED4" i="10"/>
  <c r="AU4" i="10"/>
  <c r="T4" i="10"/>
  <c r="AQ10" i="10"/>
  <c r="BK5" i="10"/>
  <c r="AK5" i="10"/>
  <c r="DY9" i="10"/>
  <c r="EA4" i="10"/>
  <c r="DD4" i="10"/>
  <c r="R4" i="10"/>
  <c r="CT10" i="10"/>
  <c r="DN5" i="10"/>
  <c r="DO5" i="10" s="1"/>
  <c r="CH5" i="10"/>
  <c r="BY5" i="10" s="1"/>
  <c r="AJ5" i="10"/>
  <c r="DW9" i="10"/>
  <c r="CQ9" i="10"/>
  <c r="AH9" i="10"/>
  <c r="CW7" i="10"/>
  <c r="CP2" i="10"/>
  <c r="CW11" i="10"/>
  <c r="AS4" i="10"/>
  <c r="EH10" i="10"/>
  <c r="CR10" i="10"/>
  <c r="DR9" i="10"/>
  <c r="CP9" i="10"/>
  <c r="AK9" i="10"/>
  <c r="DR2" i="10"/>
  <c r="CK2" i="10"/>
  <c r="CY4" i="10"/>
  <c r="BV5" i="10"/>
  <c r="BX5" i="10" s="1"/>
  <c r="DQ9" i="10"/>
  <c r="BF9" i="10"/>
  <c r="DQ2" i="10"/>
  <c r="DU4" i="10"/>
  <c r="DV4" i="10" s="1"/>
  <c r="AO4" i="10"/>
  <c r="AQ4" i="10" s="1"/>
  <c r="EA10" i="10"/>
  <c r="BE5" i="10"/>
  <c r="DE8" i="10"/>
  <c r="DR4" i="10"/>
  <c r="AI5" i="10"/>
  <c r="BE9" i="10"/>
  <c r="Z9" i="10"/>
  <c r="CC9" i="10" s="1"/>
  <c r="DL2" i="10"/>
  <c r="DI8" i="10"/>
  <c r="BE8" i="10"/>
  <c r="DB11" i="10"/>
  <c r="DL10" i="10"/>
  <c r="W10" i="10"/>
  <c r="DB9" i="10"/>
  <c r="CV7" i="10"/>
  <c r="DG8" i="10"/>
  <c r="AM8" i="10"/>
  <c r="DI10" i="10"/>
  <c r="CP10" i="10"/>
  <c r="T10" i="10"/>
  <c r="EB5" i="10"/>
  <c r="V7" i="10"/>
  <c r="CN2" i="10"/>
  <c r="EH8" i="10"/>
  <c r="AI8" i="10"/>
  <c r="CK10" i="10"/>
  <c r="BK10" i="10"/>
  <c r="S10" i="10"/>
  <c r="AU5" i="10"/>
  <c r="EF8" i="10"/>
  <c r="DD8" i="10"/>
  <c r="BW8" i="10"/>
  <c r="BA8" i="10"/>
  <c r="DG10" i="10"/>
  <c r="R10" i="10"/>
  <c r="DK7" i="10"/>
  <c r="T7" i="10"/>
  <c r="AO8" i="10"/>
  <c r="AQ8" i="10" s="1"/>
  <c r="DB8" i="10"/>
  <c r="EF10" i="10"/>
  <c r="AM10" i="10"/>
  <c r="S7" i="10"/>
  <c r="EC8" i="10"/>
  <c r="ED8" i="10" s="1"/>
  <c r="CZ8" i="10"/>
  <c r="DE10" i="10"/>
  <c r="BF10" i="10"/>
  <c r="T5" i="10"/>
  <c r="CT9" i="10"/>
  <c r="AU9" i="10"/>
  <c r="AK2" i="10"/>
  <c r="EA8" i="10"/>
  <c r="CY8" i="10"/>
  <c r="T8" i="10"/>
  <c r="EB10" i="10"/>
  <c r="DD10" i="10"/>
  <c r="AJ10" i="10"/>
  <c r="DL9" i="10"/>
  <c r="AF9" i="10"/>
  <c r="CC7" i="10"/>
  <c r="AQ7" i="10"/>
  <c r="BB2" i="10"/>
  <c r="EB8" i="10"/>
  <c r="DB10" i="10"/>
  <c r="BE10" i="10"/>
  <c r="AI10" i="10"/>
  <c r="DK9" i="10"/>
  <c r="CR9" i="10"/>
  <c r="AS9" i="10"/>
  <c r="AM7" i="10"/>
  <c r="DD2" i="10"/>
  <c r="BW2" i="10"/>
  <c r="DY8" i="10"/>
  <c r="CV8" i="10"/>
  <c r="AH10" i="10"/>
  <c r="DW8" i="10"/>
  <c r="CT8" i="10"/>
  <c r="BO8" i="10"/>
  <c r="W8" i="10"/>
  <c r="CG11" i="10"/>
  <c r="BH11" i="10"/>
  <c r="BI11" i="10" s="1"/>
  <c r="DW10" i="10"/>
  <c r="CY10" i="10"/>
  <c r="AK10" i="10"/>
  <c r="EF2" i="10"/>
  <c r="ED2" i="10"/>
  <c r="DR8" i="10"/>
  <c r="CP8" i="10"/>
  <c r="CK9" i="10"/>
  <c r="CZ2" i="10"/>
  <c r="AI2" i="10"/>
  <c r="BM8" i="10"/>
  <c r="AS8" i="10"/>
  <c r="DR10" i="10"/>
  <c r="EF9" i="10"/>
  <c r="DG9" i="10"/>
  <c r="DV9" i="10"/>
  <c r="BK9" i="10"/>
  <c r="AO9" i="10"/>
  <c r="AQ9" i="10" s="1"/>
  <c r="T9" i="10"/>
  <c r="EA2" i="10"/>
  <c r="AH2" i="10"/>
  <c r="BK8" i="10"/>
  <c r="EF11" i="10"/>
  <c r="EB4" i="10"/>
  <c r="DB4" i="10"/>
  <c r="AV4" i="10"/>
  <c r="CW10" i="10"/>
  <c r="EB9" i="10"/>
  <c r="DW7" i="10"/>
  <c r="DB7" i="10"/>
  <c r="CW2" i="10"/>
  <c r="AU2" i="10"/>
  <c r="CH8" i="10"/>
  <c r="CI8" i="10" s="1"/>
  <c r="AF10" i="10"/>
  <c r="EC5" i="10"/>
  <c r="ED5" i="10" s="1"/>
  <c r="BB5" i="10"/>
  <c r="DE9" i="10"/>
  <c r="DU7" i="10"/>
  <c r="DV7" i="10" s="1"/>
  <c r="ED7" i="10"/>
  <c r="AE7" i="10"/>
  <c r="DW2" i="10"/>
  <c r="BO2" i="10"/>
  <c r="CH2" i="10"/>
  <c r="CR8" i="10"/>
  <c r="DN8" i="10"/>
  <c r="DO8" i="10" s="1"/>
  <c r="DU2" i="10"/>
  <c r="DV2" i="10" s="1"/>
  <c r="CQ11" i="10"/>
  <c r="CR7" i="10"/>
  <c r="CN8" i="10"/>
  <c r="CH4" i="10"/>
  <c r="BY4" i="10" s="1"/>
  <c r="CQ7" i="10"/>
  <c r="DN2" i="10"/>
  <c r="DO2" i="10" s="1"/>
  <c r="CR2" i="10"/>
  <c r="CK11" i="10"/>
  <c r="CG4" i="10"/>
  <c r="CQ2" i="10"/>
  <c r="CC11" i="10"/>
  <c r="AG11" i="10"/>
  <c r="AH8" i="10"/>
  <c r="Z8" i="10"/>
  <c r="AG8" i="10" s="1"/>
  <c r="DQ8" i="10"/>
  <c r="CW8" i="10"/>
  <c r="DE11" i="10"/>
  <c r="BF5" i="10"/>
  <c r="BH5" i="10"/>
  <c r="BI5" i="10" s="1"/>
  <c r="AC11" i="10"/>
  <c r="AE11" i="10" s="1"/>
  <c r="BB11" i="10"/>
  <c r="BA10" i="10"/>
  <c r="BB10" i="10"/>
  <c r="AG10" i="10"/>
  <c r="BF8" i="10"/>
  <c r="BH8" i="10"/>
  <c r="BI8" i="10" s="1"/>
  <c r="S8" i="10"/>
  <c r="CH11" i="10"/>
  <c r="BU11" i="10" s="1"/>
  <c r="DN11" i="10"/>
  <c r="DK10" i="10"/>
  <c r="CG9" i="10"/>
  <c r="CH9" i="10"/>
  <c r="DN9" i="10"/>
  <c r="BV9" i="10"/>
  <c r="CN9" i="10"/>
  <c r="CD9" i="10"/>
  <c r="BF4" i="10"/>
  <c r="BH4" i="10"/>
  <c r="BI4" i="10" s="1"/>
  <c r="AC10" i="10"/>
  <c r="AE10" i="10" s="1"/>
  <c r="BU8" i="10"/>
  <c r="AF11" i="10"/>
  <c r="T11" i="10"/>
  <c r="AS11" i="10"/>
  <c r="AV11" i="10"/>
  <c r="BB4" i="10"/>
  <c r="BA7" i="10"/>
  <c r="BB7" i="10"/>
  <c r="AG7" i="10"/>
  <c r="DY2" i="10"/>
  <c r="EB2" i="10"/>
  <c r="W11" i="10"/>
  <c r="BX4" i="10"/>
  <c r="DQ5" i="10"/>
  <c r="DT5" i="10"/>
  <c r="Z5" i="10"/>
  <c r="AE5" i="10"/>
  <c r="AH5" i="10"/>
  <c r="S5" i="10"/>
  <c r="DQ4" i="10"/>
  <c r="DT4" i="10"/>
  <c r="AC4" i="10"/>
  <c r="AE4" i="10" s="1"/>
  <c r="BA4" i="10"/>
  <c r="CG10" i="10"/>
  <c r="CH10" i="10"/>
  <c r="DN10" i="10"/>
  <c r="BV10" i="10"/>
  <c r="BX10" i="10" s="1"/>
  <c r="CN10" i="10"/>
  <c r="CK8" i="10"/>
  <c r="DK11" i="10"/>
  <c r="S11" i="10"/>
  <c r="CV4" i="10"/>
  <c r="CW4" i="10"/>
  <c r="CD10" i="10"/>
  <c r="CK5" i="10"/>
  <c r="DU5" i="10"/>
  <c r="DV5" i="10" s="1"/>
  <c r="CQ5" i="10"/>
  <c r="CR5" i="10"/>
  <c r="AC8" i="10"/>
  <c r="AE8" i="10" s="1"/>
  <c r="CN11" i="10"/>
  <c r="BV11" i="10"/>
  <c r="BX11" i="10" s="1"/>
  <c r="Z4" i="10"/>
  <c r="AH4" i="10"/>
  <c r="BA9" i="10"/>
  <c r="BB9" i="10"/>
  <c r="AG9" i="10"/>
  <c r="CG7" i="10"/>
  <c r="CH7" i="10"/>
  <c r="BU7" i="10" s="1"/>
  <c r="DN7" i="10"/>
  <c r="BV7" i="10"/>
  <c r="CN7" i="10"/>
  <c r="CD7" i="10"/>
  <c r="CK4" i="10"/>
  <c r="CR4" i="10"/>
  <c r="AC9" i="10"/>
  <c r="AE9" i="10" s="1"/>
  <c r="DU8" i="10"/>
  <c r="DV8" i="10" s="1"/>
  <c r="AI11" i="10"/>
  <c r="R11" i="10"/>
  <c r="AH11" i="10"/>
  <c r="AJ11" i="10"/>
  <c r="CW5" i="10"/>
  <c r="BA5" i="10"/>
  <c r="DT2" i="10"/>
  <c r="BV8" i="10"/>
  <c r="BX8" i="10" s="1"/>
  <c r="CD4" i="10"/>
  <c r="CD5" i="10"/>
  <c r="CL2" i="10"/>
  <c r="CM2" i="10" s="1"/>
  <c r="BV2" i="10"/>
  <c r="BF2" i="10"/>
  <c r="BU2" i="10"/>
  <c r="BE2" i="10"/>
  <c r="AO2" i="10"/>
  <c r="AQ2" i="10" s="1"/>
  <c r="BH10" i="10"/>
  <c r="BI10" i="10" s="1"/>
  <c r="BH9" i="10"/>
  <c r="BI9" i="10" s="1"/>
  <c r="CY2" i="10"/>
  <c r="CI2" i="10"/>
  <c r="W2" i="10"/>
  <c r="DE5" i="10"/>
  <c r="BE7" i="10"/>
  <c r="CG2" i="10"/>
  <c r="BA2" i="10"/>
  <c r="DL8" i="10"/>
  <c r="AJ8" i="10"/>
  <c r="CR11" i="10"/>
  <c r="CN4" i="10"/>
  <c r="CN5" i="10"/>
  <c r="CV2" i="10"/>
  <c r="AJ2" i="10"/>
  <c r="T2" i="10"/>
  <c r="S2" i="10"/>
  <c r="EF6" i="10"/>
  <c r="EB6" i="10"/>
  <c r="BA4" i="2"/>
  <c r="BA8" i="2"/>
  <c r="AK4" i="2"/>
  <c r="BU8" i="2"/>
  <c r="BA11" i="2"/>
  <c r="AH9" i="2"/>
  <c r="CK2" i="2"/>
  <c r="CS10" i="2"/>
  <c r="BA2" i="2"/>
  <c r="CK9" i="2"/>
  <c r="CS5" i="2"/>
  <c r="CH6" i="2"/>
  <c r="CP3" i="2"/>
  <c r="CJ3" i="2"/>
  <c r="CY10" i="2"/>
  <c r="DC6" i="2"/>
  <c r="DB6" i="2"/>
  <c r="CK8" i="2"/>
  <c r="BK2" i="2"/>
  <c r="CW5" i="2"/>
  <c r="R2" i="2"/>
  <c r="CW2" i="2"/>
  <c r="AH2" i="2"/>
  <c r="CW10" i="2"/>
  <c r="BR4" i="2"/>
  <c r="BS4" i="2" s="1"/>
  <c r="CJ10" i="2"/>
  <c r="AL8" i="2"/>
  <c r="CY4" i="2"/>
  <c r="CH10" i="2"/>
  <c r="CF10" i="2"/>
  <c r="CU4" i="2"/>
  <c r="BD10" i="2"/>
  <c r="Z10" i="2"/>
  <c r="W2" i="2"/>
  <c r="CH9" i="2"/>
  <c r="AX2" i="2"/>
  <c r="CY8" i="2"/>
  <c r="AL10" i="2"/>
  <c r="AM2" i="2"/>
  <c r="CF4" i="2"/>
  <c r="CU8" i="2"/>
  <c r="DC10" i="2"/>
  <c r="BU5" i="2"/>
  <c r="BR2" i="2"/>
  <c r="BS2" i="2" s="1"/>
  <c r="CS8" i="2"/>
  <c r="DB10" i="2"/>
  <c r="BV10" i="2"/>
  <c r="BZ3" i="2"/>
  <c r="Y6" i="2"/>
  <c r="DC5" i="2"/>
  <c r="AQ9" i="2"/>
  <c r="AR9" i="2" s="1"/>
  <c r="CQ8" i="2"/>
  <c r="BK8" i="2"/>
  <c r="W4" i="2"/>
  <c r="CF6" i="2"/>
  <c r="BA6" i="2"/>
  <c r="U6" i="2"/>
  <c r="BR5" i="2"/>
  <c r="BS5" i="2" s="1"/>
  <c r="AL4" i="2"/>
  <c r="AW6" i="2"/>
  <c r="Z9" i="2"/>
  <c r="BV4" i="2"/>
  <c r="BU4" i="2"/>
  <c r="BZ8" i="2"/>
  <c r="CY6" i="2"/>
  <c r="BO2" i="2"/>
  <c r="CS4" i="2"/>
  <c r="CQ4" i="2"/>
  <c r="AH3" i="2"/>
  <c r="CP11" i="2"/>
  <c r="CH4" i="2"/>
  <c r="CU10" i="2"/>
  <c r="CS6" i="2"/>
  <c r="BA5" i="2"/>
  <c r="R5" i="2"/>
  <c r="CQ6" i="2"/>
  <c r="R10" i="2"/>
  <c r="DC3" i="2"/>
  <c r="AQ3" i="2"/>
  <c r="AR3" i="2" s="1"/>
  <c r="CD6" i="2"/>
  <c r="BA9" i="2"/>
  <c r="R8" i="2"/>
  <c r="W6" i="2"/>
  <c r="BO8" i="2"/>
  <c r="BZ4" i="2"/>
  <c r="R9" i="2"/>
  <c r="BK4" i="2"/>
  <c r="BK10" i="2"/>
  <c r="BV6" i="2"/>
  <c r="R6" i="2"/>
  <c r="CY2" i="2"/>
  <c r="BU6" i="2"/>
  <c r="BZ9" i="2"/>
  <c r="BK11" i="2"/>
  <c r="AQ5" i="2"/>
  <c r="AU5" i="2" s="1"/>
  <c r="AV5" i="2" s="1"/>
  <c r="CJ11" i="2"/>
  <c r="CH11" i="2"/>
  <c r="Y10" i="2"/>
  <c r="CP6" i="2"/>
  <c r="BO6" i="2"/>
  <c r="CJ2" i="2"/>
  <c r="DC8" i="2"/>
  <c r="DC4" i="2"/>
  <c r="Y4" i="2"/>
  <c r="CL6" i="2"/>
  <c r="CM6" i="2" s="1"/>
  <c r="DB8" i="2"/>
  <c r="Y8" i="2"/>
  <c r="DB4" i="2"/>
  <c r="BA10" i="2"/>
  <c r="AX8" i="2"/>
  <c r="Z2" i="2"/>
  <c r="R4" i="2"/>
  <c r="AT3" i="2"/>
  <c r="Y3" i="2"/>
  <c r="BZ5" i="2"/>
  <c r="CK11" i="2"/>
  <c r="AQ11" i="2"/>
  <c r="R11" i="2"/>
  <c r="CQ5" i="2"/>
  <c r="CF9" i="2"/>
  <c r="AL2" i="2"/>
  <c r="U2" i="2"/>
  <c r="AW8" i="2"/>
  <c r="AH4" i="2"/>
  <c r="AH10" i="2"/>
  <c r="BU3" i="2"/>
  <c r="AU3" i="2"/>
  <c r="AV3" i="2" s="1"/>
  <c r="Z6" i="2"/>
  <c r="CP5" i="2"/>
  <c r="AK2" i="2"/>
  <c r="CD10" i="2"/>
  <c r="R3" i="2"/>
  <c r="CK6" i="2"/>
  <c r="AT6" i="2"/>
  <c r="CN5" i="2"/>
  <c r="CO5" i="2" s="1"/>
  <c r="CU2" i="2"/>
  <c r="BV2" i="2"/>
  <c r="BE2" i="2"/>
  <c r="BN8" i="2"/>
  <c r="CW4" i="2"/>
  <c r="BX4" i="2"/>
  <c r="CW3" i="2"/>
  <c r="AO3" i="2"/>
  <c r="CJ6" i="2"/>
  <c r="CO6" i="2"/>
  <c r="AW5" i="2"/>
  <c r="CS2" i="2"/>
  <c r="BU2" i="2"/>
  <c r="BD2" i="2"/>
  <c r="AI2" i="2"/>
  <c r="BZ2" i="2" s="1"/>
  <c r="AH11" i="2"/>
  <c r="BE10" i="2"/>
  <c r="BN6" i="2"/>
  <c r="AQ6" i="2"/>
  <c r="AR6" i="2" s="1"/>
  <c r="CL5" i="2"/>
  <c r="CM5" i="2" s="1"/>
  <c r="BN5" i="2"/>
  <c r="Y5" i="2"/>
  <c r="DC9" i="2"/>
  <c r="CQ2" i="2"/>
  <c r="DC11" i="2"/>
  <c r="CJ5" i="2"/>
  <c r="W5" i="2"/>
  <c r="CP2" i="2"/>
  <c r="AK8" i="2"/>
  <c r="AT5" i="2"/>
  <c r="DB5" i="2"/>
  <c r="CH5" i="2"/>
  <c r="BK5" i="2"/>
  <c r="U5" i="2"/>
  <c r="CY9" i="2"/>
  <c r="AT9" i="2"/>
  <c r="CH3" i="2"/>
  <c r="AM6" i="2"/>
  <c r="CF5" i="2"/>
  <c r="W9" i="2"/>
  <c r="CY11" i="2"/>
  <c r="CL4" i="2"/>
  <c r="CM4" i="2" s="1"/>
  <c r="Z4" i="2"/>
  <c r="CY5" i="2"/>
  <c r="CD5" i="2"/>
  <c r="CU9" i="2"/>
  <c r="CH2" i="2"/>
  <c r="BV11" i="2"/>
  <c r="CJ4" i="2"/>
  <c r="AO4" i="2"/>
  <c r="U4" i="2"/>
  <c r="AW10" i="2"/>
  <c r="CW6" i="2"/>
  <c r="AH6" i="2"/>
  <c r="AK6" i="2"/>
  <c r="AO5" i="2"/>
  <c r="AL5" i="2"/>
  <c r="BO9" i="2"/>
  <c r="BN2" i="2"/>
  <c r="AT2" i="2"/>
  <c r="CW8" i="2"/>
  <c r="BE8" i="2"/>
  <c r="CU11" i="2"/>
  <c r="W11" i="2"/>
  <c r="BO4" i="2"/>
  <c r="AM4" i="2"/>
  <c r="CQ10" i="2"/>
  <c r="AT10" i="2"/>
  <c r="U10" i="2"/>
  <c r="CU6" i="2"/>
  <c r="BE6" i="2"/>
  <c r="BF6" i="2" s="1"/>
  <c r="BZ6" i="2"/>
  <c r="BE5" i="2"/>
  <c r="AK5" i="2"/>
  <c r="CN9" i="2"/>
  <c r="CO9" i="2" s="1"/>
  <c r="BN9" i="2"/>
  <c r="AM9" i="2"/>
  <c r="DC2" i="2"/>
  <c r="CF2" i="2"/>
  <c r="CM2" i="2"/>
  <c r="CS11" i="2"/>
  <c r="BR11" i="2"/>
  <c r="BS11" i="2" s="1"/>
  <c r="BA3" i="2"/>
  <c r="BD5" i="2"/>
  <c r="AH5" i="2"/>
  <c r="CL9" i="2"/>
  <c r="CM9" i="2" s="1"/>
  <c r="DB2" i="2"/>
  <c r="Y2" i="2"/>
  <c r="BV8" i="2"/>
  <c r="CQ11" i="2"/>
  <c r="AT11" i="2"/>
  <c r="AR4" i="2"/>
  <c r="AU4" i="2"/>
  <c r="AV4" i="2" s="1"/>
  <c r="AR2" i="2"/>
  <c r="AU2" i="2"/>
  <c r="AV2" i="2" s="1"/>
  <c r="CN3" i="2"/>
  <c r="CO3" i="2" s="1"/>
  <c r="BV9" i="2"/>
  <c r="BU9" i="2"/>
  <c r="BE9" i="2"/>
  <c r="AO9" i="2"/>
  <c r="Y9" i="2"/>
  <c r="DB3" i="2"/>
  <c r="CL3" i="2"/>
  <c r="CM3" i="2" s="1"/>
  <c r="BV3" i="2"/>
  <c r="CJ9" i="2"/>
  <c r="BD9" i="2"/>
  <c r="CN11" i="2"/>
  <c r="CO11" i="2" s="1"/>
  <c r="CD4" i="2"/>
  <c r="BN4" i="2"/>
  <c r="AX4" i="2"/>
  <c r="CN10" i="2"/>
  <c r="CO10" i="2" s="1"/>
  <c r="BX10" i="2"/>
  <c r="CK3" i="2"/>
  <c r="BE3" i="2"/>
  <c r="BR6" i="2"/>
  <c r="BS6" i="2" s="1"/>
  <c r="AL6" i="2"/>
  <c r="AT8" i="2"/>
  <c r="DB9" i="2"/>
  <c r="AW4" i="2"/>
  <c r="AQ10" i="2"/>
  <c r="BD3" i="2"/>
  <c r="BX5" i="2"/>
  <c r="BR9" i="2"/>
  <c r="BS9" i="2" s="1"/>
  <c r="AL9" i="2"/>
  <c r="CL11" i="2"/>
  <c r="CM11" i="2" s="1"/>
  <c r="Z11" i="2"/>
  <c r="CL10" i="2"/>
  <c r="CM10" i="2" s="1"/>
  <c r="CY3" i="2"/>
  <c r="AM3" i="2"/>
  <c r="W3" i="2"/>
  <c r="CW9" i="2"/>
  <c r="AK9" i="2"/>
  <c r="U9" i="2"/>
  <c r="CN8" i="2"/>
  <c r="CO8" i="2" s="1"/>
  <c r="BU11" i="2"/>
  <c r="BE11" i="2"/>
  <c r="AO11" i="2"/>
  <c r="Y11" i="2"/>
  <c r="CK10" i="2"/>
  <c r="BR3" i="2"/>
  <c r="BS3" i="2" s="1"/>
  <c r="AL3" i="2"/>
  <c r="Z5" i="2"/>
  <c r="AW2" i="2"/>
  <c r="AQ8" i="2"/>
  <c r="BD11" i="2"/>
  <c r="CP4" i="2"/>
  <c r="AT4" i="2"/>
  <c r="AK3" i="2"/>
  <c r="U3" i="2"/>
  <c r="CK5" i="2"/>
  <c r="Z8" i="2"/>
  <c r="AM11" i="2"/>
  <c r="AM10" i="2"/>
  <c r="CF3" i="2"/>
  <c r="CD9" i="2"/>
  <c r="AL11" i="2"/>
  <c r="BR10" i="2"/>
  <c r="BS10" i="2" s="1"/>
  <c r="CU3" i="2"/>
  <c r="BO3" i="2"/>
  <c r="AM5" i="2"/>
  <c r="CS9" i="2"/>
  <c r="CJ8" i="2"/>
  <c r="BD8" i="2"/>
  <c r="CW11" i="2"/>
  <c r="AK11" i="2"/>
  <c r="U11" i="2"/>
  <c r="AK10" i="2"/>
  <c r="CD3" i="2"/>
  <c r="BN3" i="2"/>
  <c r="AM8" i="2"/>
  <c r="CF11" i="2"/>
  <c r="CS3" i="2"/>
  <c r="CQ9" i="2"/>
  <c r="BK9" i="2"/>
  <c r="CN2" i="2"/>
  <c r="CO2" i="2" s="1"/>
  <c r="CH8" i="2"/>
  <c r="BO11" i="2"/>
  <c r="AI11" i="2"/>
  <c r="BZ11" i="2" s="1"/>
  <c r="CK4" i="2"/>
  <c r="BE4" i="2"/>
  <c r="BF4" i="2" s="1"/>
  <c r="BO10" i="2"/>
  <c r="AI10" i="2"/>
  <c r="BZ10" i="2" s="1"/>
  <c r="CP9" i="2"/>
  <c r="U8" i="2"/>
  <c r="BN11" i="2"/>
  <c r="CD7" i="17"/>
  <c r="CI9" i="17"/>
  <c r="AL4" i="17"/>
  <c r="AS9" i="17"/>
  <c r="BS4" i="17"/>
  <c r="AE4" i="17"/>
  <c r="CI4" i="17"/>
  <c r="CI3" i="17"/>
  <c r="AH9" i="17"/>
  <c r="BS8" i="17"/>
  <c r="AQ7" i="17"/>
  <c r="BZ9" i="17"/>
  <c r="BX9" i="17"/>
  <c r="M5" i="19"/>
  <c r="O9" i="19"/>
  <c r="M9" i="19"/>
  <c r="V8" i="19"/>
  <c r="O4" i="19"/>
  <c r="M4" i="19"/>
  <c r="M8" i="19"/>
  <c r="M6" i="19"/>
  <c r="J9" i="19"/>
  <c r="W9" i="19" s="1"/>
  <c r="K11" i="19"/>
  <c r="M7" i="19"/>
  <c r="O7" i="19"/>
  <c r="W11" i="19"/>
  <c r="J7" i="19"/>
  <c r="W7" i="19" s="1"/>
  <c r="M3" i="19"/>
  <c r="V4" i="19"/>
  <c r="J5" i="19"/>
  <c r="W5" i="19" s="1"/>
  <c r="V2" i="19"/>
  <c r="V9" i="19"/>
  <c r="R2" i="19"/>
  <c r="V3" i="19"/>
  <c r="O8" i="19"/>
  <c r="V6" i="19"/>
  <c r="V11" i="19"/>
  <c r="V7" i="19"/>
  <c r="P4" i="19"/>
  <c r="J4" i="19"/>
  <c r="W4" i="19" s="1"/>
  <c r="J3" i="19"/>
  <c r="W3" i="19" s="1"/>
  <c r="P9" i="19"/>
  <c r="P8" i="19"/>
  <c r="J6" i="19"/>
  <c r="W6" i="19" s="1"/>
  <c r="V5" i="19"/>
  <c r="P11" i="19"/>
  <c r="J8" i="19"/>
  <c r="W8" i="19" s="1"/>
  <c r="J2" i="19"/>
  <c r="P7" i="19"/>
  <c r="P6" i="19"/>
  <c r="AM8" i="17"/>
  <c r="S4" i="17"/>
  <c r="T4" i="17" s="1"/>
  <c r="CD8" i="17"/>
  <c r="O9" i="17"/>
  <c r="CI7" i="17"/>
  <c r="AU3" i="17"/>
  <c r="AC8" i="17"/>
  <c r="BV9" i="17"/>
  <c r="AO9" i="17"/>
  <c r="BE9" i="17" s="1"/>
  <c r="AI7" i="17"/>
  <c r="BS9" i="17"/>
  <c r="CD3" i="17"/>
  <c r="R7" i="17"/>
  <c r="AK7" i="17" s="1"/>
  <c r="BV3" i="17"/>
  <c r="AM3" i="17"/>
  <c r="BS3" i="17"/>
  <c r="AT9" i="17"/>
  <c r="R4" i="17"/>
  <c r="BX3" i="17"/>
  <c r="AA7" i="17"/>
  <c r="BZ3" i="17"/>
  <c r="BH8" i="17"/>
  <c r="AS4" i="17"/>
  <c r="AM9" i="17"/>
  <c r="BZ4" i="17"/>
  <c r="BQ3" i="17"/>
  <c r="O3" i="17"/>
  <c r="BP9" i="17"/>
  <c r="BX4" i="17"/>
  <c r="AS3" i="17"/>
  <c r="BN9" i="17"/>
  <c r="O7" i="17"/>
  <c r="BV4" i="17"/>
  <c r="AF8" i="17"/>
  <c r="AO4" i="17"/>
  <c r="AQ3" i="17"/>
  <c r="BZ7" i="17"/>
  <c r="AS7" i="17"/>
  <c r="AV7" i="17" s="1"/>
  <c r="AK9" i="17"/>
  <c r="AM4" i="17"/>
  <c r="AO3" i="17"/>
  <c r="Z8" i="17"/>
  <c r="V9" i="17"/>
  <c r="BQ4" i="17"/>
  <c r="BV7" i="17"/>
  <c r="BP4" i="17"/>
  <c r="BP3" i="17"/>
  <c r="R8" i="17"/>
  <c r="AK8" i="17" s="1"/>
  <c r="BS7" i="17"/>
  <c r="BN4" i="17"/>
  <c r="AI4" i="17"/>
  <c r="BN3" i="17"/>
  <c r="AL3" i="17"/>
  <c r="AM7" i="17"/>
  <c r="BF8" i="17"/>
  <c r="AQ9" i="17"/>
  <c r="AF4" i="17"/>
  <c r="AF3" i="17"/>
  <c r="AC4" i="17"/>
  <c r="BJ3" i="17"/>
  <c r="AC3" i="17"/>
  <c r="BH4" i="17"/>
  <c r="Z4" i="17"/>
  <c r="BH3" i="17"/>
  <c r="Z3" i="17"/>
  <c r="BB4" i="17"/>
  <c r="X4" i="17"/>
  <c r="BC3" i="17"/>
  <c r="BD3" i="17" s="1"/>
  <c r="X3" i="17"/>
  <c r="R3" i="17"/>
  <c r="AK3" i="17" s="1"/>
  <c r="CA8" i="17"/>
  <c r="AS8" i="17"/>
  <c r="BC7" i="17"/>
  <c r="BD7" i="17" s="1"/>
  <c r="AI9" i="17"/>
  <c r="CA4" i="17"/>
  <c r="CI8" i="17"/>
  <c r="AA8" i="17"/>
  <c r="BX7" i="17"/>
  <c r="AT7" i="17"/>
  <c r="S7" i="17"/>
  <c r="T7" i="17" s="1"/>
  <c r="BC4" i="17"/>
  <c r="BD4" i="17" s="1"/>
  <c r="AF9" i="17"/>
  <c r="AT3" i="17"/>
  <c r="U3" i="17"/>
  <c r="S8" i="17"/>
  <c r="T8" i="17" s="1"/>
  <c r="BP7" i="17"/>
  <c r="N7" i="17"/>
  <c r="BQ7" i="17"/>
  <c r="AW4" i="17"/>
  <c r="BX8" i="17"/>
  <c r="BQ8" i="17"/>
  <c r="AA9" i="17"/>
  <c r="AU4" i="17"/>
  <c r="AH7" i="17"/>
  <c r="BV8" i="17"/>
  <c r="AL8" i="17"/>
  <c r="BJ7" i="17"/>
  <c r="O4" i="17"/>
  <c r="AE7" i="17"/>
  <c r="AW3" i="17"/>
  <c r="BH7" i="17"/>
  <c r="AC7" i="17"/>
  <c r="CA3" i="17"/>
  <c r="BB3" i="17"/>
  <c r="BP8" i="17"/>
  <c r="AH8" i="17"/>
  <c r="BB7" i="17"/>
  <c r="AE3" i="17"/>
  <c r="BN8" i="17"/>
  <c r="CD9" i="17"/>
  <c r="BJ9" i="17"/>
  <c r="AL9" i="17"/>
  <c r="BJ4" i="17"/>
  <c r="AK4" i="17"/>
  <c r="AE8" i="17"/>
  <c r="Z7" i="17"/>
  <c r="CA9" i="17"/>
  <c r="AH4" i="17"/>
  <c r="U9" i="17"/>
  <c r="V4" i="17"/>
  <c r="V3" i="17"/>
  <c r="AU8" i="17"/>
  <c r="O8" i="17"/>
  <c r="AW7" i="17"/>
  <c r="S9" i="17"/>
  <c r="T9" i="17" s="1"/>
  <c r="U4" i="17"/>
  <c r="AI3" i="17"/>
  <c r="S3" i="17"/>
  <c r="T3" i="17" s="1"/>
  <c r="BZ8" i="17"/>
  <c r="BJ8" i="17"/>
  <c r="AT8" i="17"/>
  <c r="AF7" i="17"/>
  <c r="AW8" i="17"/>
  <c r="AH3" i="17"/>
  <c r="CA7" i="17"/>
  <c r="AU7" i="17"/>
  <c r="AW9" i="17"/>
  <c r="AO8" i="17"/>
  <c r="BE8" i="17" s="1"/>
  <c r="X8" i="17"/>
  <c r="BF7" i="17"/>
  <c r="AT4" i="17"/>
  <c r="AQ8" i="17"/>
  <c r="BC8" i="17"/>
  <c r="BD8" i="17" s="1"/>
  <c r="AO7" i="17"/>
  <c r="AA3" i="17"/>
  <c r="V8" i="17"/>
  <c r="X7" i="17"/>
  <c r="BF9" i="17"/>
  <c r="BF3" i="17"/>
  <c r="U8" i="17"/>
  <c r="AQ4" i="17"/>
  <c r="AA4" i="17"/>
  <c r="AL7" i="17"/>
  <c r="V7" i="17"/>
  <c r="AI8" i="17"/>
  <c r="BC9" i="17"/>
  <c r="BD9" i="17" s="1"/>
  <c r="AU6" i="10"/>
  <c r="BW6" i="10"/>
  <c r="DI6" i="10"/>
  <c r="CT6" i="10"/>
  <c r="DG6" i="10"/>
  <c r="DD6" i="10"/>
  <c r="AM6" i="10"/>
  <c r="ED6" i="10"/>
  <c r="BO6" i="10"/>
  <c r="EH6" i="10"/>
  <c r="CW6" i="10"/>
  <c r="T6" i="10"/>
  <c r="EA6" i="10"/>
  <c r="R6" i="10"/>
  <c r="DY6" i="10"/>
  <c r="DR6" i="10"/>
  <c r="Z6" i="10"/>
  <c r="AF6" i="10" s="1"/>
  <c r="S6" i="10"/>
  <c r="DB6" i="10"/>
  <c r="AS6" i="10"/>
  <c r="AO6" i="10"/>
  <c r="AQ6" i="10" s="1"/>
  <c r="DW6" i="10"/>
  <c r="AJ6" i="10"/>
  <c r="CR6" i="10"/>
  <c r="BM6" i="10"/>
  <c r="AI6" i="10"/>
  <c r="BK6" i="10"/>
  <c r="AK6" i="10"/>
  <c r="CP6" i="10"/>
  <c r="CK6" i="10"/>
  <c r="BH6" i="10"/>
  <c r="BI6" i="10" s="1"/>
  <c r="BE6" i="10"/>
  <c r="DK6" i="10"/>
  <c r="BF6" i="10"/>
  <c r="AH6" i="10"/>
  <c r="W6" i="10"/>
  <c r="CV6" i="10"/>
  <c r="AV6" i="10"/>
  <c r="DQ6" i="10"/>
  <c r="CG6" i="10"/>
  <c r="CH6" i="10"/>
  <c r="BU6" i="10" s="1"/>
  <c r="DN6" i="10"/>
  <c r="DO6" i="10" s="1"/>
  <c r="BV6" i="10"/>
  <c r="CN6" i="10"/>
  <c r="CD6" i="10"/>
  <c r="BA6" i="10"/>
  <c r="BB6" i="10"/>
  <c r="AC6" i="10"/>
  <c r="AE6" i="10" s="1"/>
  <c r="DU6" i="10"/>
  <c r="DV6" i="10" s="1"/>
  <c r="DE6" i="10"/>
  <c r="CY6" i="10"/>
  <c r="B2" i="19"/>
  <c r="B3" i="19"/>
  <c r="B4" i="19"/>
  <c r="C10" i="19"/>
  <c r="D10" i="19"/>
  <c r="E10" i="19"/>
  <c r="F10" i="19"/>
  <c r="H10" i="19"/>
  <c r="G3" i="19" s="1"/>
  <c r="I10" i="19"/>
  <c r="K10" i="19" s="1"/>
  <c r="L10" i="19"/>
  <c r="N10" i="19"/>
  <c r="Q10" i="19"/>
  <c r="S10" i="19"/>
  <c r="T10" i="19"/>
  <c r="U10" i="19"/>
  <c r="X10" i="19"/>
  <c r="B5" i="19"/>
  <c r="A2" i="2"/>
  <c r="A3" i="2"/>
  <c r="B7" i="2"/>
  <c r="C7" i="2"/>
  <c r="D7" i="2"/>
  <c r="E7" i="2"/>
  <c r="F7" i="2"/>
  <c r="G7" i="2"/>
  <c r="H7" i="2"/>
  <c r="I7" i="2"/>
  <c r="J7" i="2"/>
  <c r="L7" i="2"/>
  <c r="M7" i="2"/>
  <c r="N7" i="2" s="1"/>
  <c r="O7" i="2"/>
  <c r="P7" i="2"/>
  <c r="Q7" i="2"/>
  <c r="S7" i="2"/>
  <c r="T7" i="2" s="1"/>
  <c r="V7" i="2"/>
  <c r="X7" i="2"/>
  <c r="AA7" i="2"/>
  <c r="AB7" i="2"/>
  <c r="AC7" i="2"/>
  <c r="AD7" i="2"/>
  <c r="AE7" i="2"/>
  <c r="AF7" i="2"/>
  <c r="AI7" i="2" s="1"/>
  <c r="AG7" i="2"/>
  <c r="AJ7" i="2"/>
  <c r="AN7" i="2"/>
  <c r="AP7" i="2"/>
  <c r="AQ7" i="2" s="1"/>
  <c r="AS7" i="2"/>
  <c r="CL7" i="2" s="1"/>
  <c r="AY7" i="2"/>
  <c r="AZ7" i="2"/>
  <c r="BB7" i="2"/>
  <c r="BC7" i="2"/>
  <c r="BG7" i="2"/>
  <c r="BI7" i="2" s="1"/>
  <c r="BH7" i="2"/>
  <c r="BJ7" i="2"/>
  <c r="BL7" i="2"/>
  <c r="BM7" i="2"/>
  <c r="BP7" i="2"/>
  <c r="BQ7" i="2"/>
  <c r="BT7" i="2"/>
  <c r="BX7" i="2" s="1"/>
  <c r="BW7" i="2"/>
  <c r="BY7" i="2"/>
  <c r="CA7" i="2"/>
  <c r="CB7" i="2"/>
  <c r="CC7" i="2"/>
  <c r="CE7" i="2"/>
  <c r="CG7" i="2"/>
  <c r="CI7" i="2"/>
  <c r="CR7" i="2"/>
  <c r="CT7" i="2"/>
  <c r="CV7" i="2"/>
  <c r="CX7" i="2"/>
  <c r="CZ7" i="2"/>
  <c r="DA7" i="2"/>
  <c r="DD7" i="2"/>
  <c r="DE7" i="2"/>
  <c r="AB3" i="10"/>
  <c r="AA3" i="10"/>
  <c r="B3" i="10"/>
  <c r="C3" i="10"/>
  <c r="D3" i="10"/>
  <c r="E3" i="10"/>
  <c r="F3" i="10"/>
  <c r="G3" i="10"/>
  <c r="H3" i="10"/>
  <c r="I3" i="10"/>
  <c r="J3" i="10"/>
  <c r="L3" i="10"/>
  <c r="K10" i="10" s="1"/>
  <c r="M3" i="10"/>
  <c r="N3" i="10" s="1"/>
  <c r="O3" i="10"/>
  <c r="P3" i="10"/>
  <c r="Q3" i="10"/>
  <c r="U3" i="10"/>
  <c r="V3" i="10" s="1"/>
  <c r="X3" i="10"/>
  <c r="Y3" i="10"/>
  <c r="AD3" i="10"/>
  <c r="AL3" i="10"/>
  <c r="AN3" i="10"/>
  <c r="AP3" i="10"/>
  <c r="AR3" i="10"/>
  <c r="AT3" i="10"/>
  <c r="AW3" i="10"/>
  <c r="AX3" i="10"/>
  <c r="AY3" i="10"/>
  <c r="AC3" i="10" s="1"/>
  <c r="AZ3" i="10"/>
  <c r="BC3" i="10"/>
  <c r="BD3" i="10"/>
  <c r="BG3" i="10"/>
  <c r="BJ3" i="10"/>
  <c r="BL3" i="10"/>
  <c r="BN3" i="10"/>
  <c r="BP3" i="10"/>
  <c r="BQ3" i="10"/>
  <c r="BR3" i="10"/>
  <c r="BS3" i="10"/>
  <c r="BT3" i="10"/>
  <c r="BZ3" i="10"/>
  <c r="CA3" i="10"/>
  <c r="CB3" i="10"/>
  <c r="CF3" i="10"/>
  <c r="CD3" i="10" s="1"/>
  <c r="CJ3" i="10"/>
  <c r="CO3" i="10"/>
  <c r="CS3" i="10"/>
  <c r="CU3" i="10"/>
  <c r="CX3" i="10"/>
  <c r="DA3" i="10"/>
  <c r="EC3" i="10" s="1"/>
  <c r="DC3" i="10"/>
  <c r="DF3" i="10"/>
  <c r="DH3" i="10"/>
  <c r="DJ3" i="10"/>
  <c r="CZ3" i="10" s="1"/>
  <c r="DM3" i="10"/>
  <c r="DP3" i="10"/>
  <c r="DS3" i="10"/>
  <c r="DX3" i="10"/>
  <c r="DZ3" i="10"/>
  <c r="EE3" i="10"/>
  <c r="EG3" i="10"/>
  <c r="EI3" i="10"/>
  <c r="EJ3" i="10"/>
  <c r="AB3" i="11"/>
  <c r="AB4" i="11"/>
  <c r="AB5" i="11"/>
  <c r="AB6" i="11"/>
  <c r="AB7" i="11"/>
  <c r="AB8" i="11"/>
  <c r="AB9" i="11"/>
  <c r="AB10" i="11"/>
  <c r="AB11" i="11"/>
  <c r="A4" i="11"/>
  <c r="A5" i="11"/>
  <c r="B4" i="11"/>
  <c r="C4" i="11"/>
  <c r="D4" i="11"/>
  <c r="E4" i="11"/>
  <c r="F4" i="11"/>
  <c r="G4" i="11"/>
  <c r="H4" i="11"/>
  <c r="I4" i="11"/>
  <c r="J4" i="11"/>
  <c r="L4" i="11"/>
  <c r="CA4" i="11" s="1"/>
  <c r="M4" i="11"/>
  <c r="N4" i="11" s="1"/>
  <c r="O4" i="11"/>
  <c r="P4" i="11"/>
  <c r="Q4" i="11"/>
  <c r="S4" i="11"/>
  <c r="U4" i="11"/>
  <c r="V4" i="11"/>
  <c r="X4" i="11" s="1"/>
  <c r="Y4" i="11"/>
  <c r="Z4" i="11"/>
  <c r="AA4" i="11"/>
  <c r="AF4" i="11"/>
  <c r="AH4" i="11"/>
  <c r="AK4" i="11"/>
  <c r="AM4" i="11"/>
  <c r="AP4" i="11"/>
  <c r="AQ4" i="11" s="1"/>
  <c r="AR4" i="11"/>
  <c r="AS4" i="11"/>
  <c r="AX4" i="11"/>
  <c r="AY4" i="11"/>
  <c r="BA4" i="11"/>
  <c r="BC4" i="11" s="1"/>
  <c r="BD4" i="11"/>
  <c r="BF4" i="11"/>
  <c r="BH4" i="11"/>
  <c r="BK4" i="11"/>
  <c r="BM4" i="11"/>
  <c r="BO4" i="11"/>
  <c r="BV4" i="11" s="1"/>
  <c r="BQ4" i="11"/>
  <c r="BR4" i="11"/>
  <c r="BU4" i="11"/>
  <c r="BW4" i="11"/>
  <c r="BY4" i="11"/>
  <c r="CB4" i="11"/>
  <c r="CC4" i="11" s="1"/>
  <c r="CD4" i="11"/>
  <c r="CF4" i="11"/>
  <c r="CH4" i="11"/>
  <c r="CI4" i="11"/>
  <c r="CM4" i="11"/>
  <c r="CP4" i="11"/>
  <c r="CQ4" i="11" s="1"/>
  <c r="CR4" i="11"/>
  <c r="CT4" i="11"/>
  <c r="CU4" i="11" s="1"/>
  <c r="CW4" i="11"/>
  <c r="CX4" i="11" s="1"/>
  <c r="CY4" i="11"/>
  <c r="CZ4" i="11"/>
  <c r="A6" i="11"/>
  <c r="A7" i="11"/>
  <c r="A8" i="11"/>
  <c r="A9" i="11"/>
  <c r="A10" i="11"/>
  <c r="A11" i="11"/>
  <c r="B7" i="11"/>
  <c r="C7" i="11"/>
  <c r="D7" i="11"/>
  <c r="E7" i="11"/>
  <c r="F7" i="11"/>
  <c r="G7" i="11"/>
  <c r="H7" i="11"/>
  <c r="I7" i="11"/>
  <c r="J7" i="11"/>
  <c r="L7" i="11"/>
  <c r="M7" i="11"/>
  <c r="N7" i="11" s="1"/>
  <c r="O7" i="11"/>
  <c r="P7" i="11"/>
  <c r="Q7" i="11"/>
  <c r="S7" i="11"/>
  <c r="U7" i="11"/>
  <c r="V7" i="11"/>
  <c r="Y7" i="11"/>
  <c r="Z7" i="11"/>
  <c r="AA7" i="11"/>
  <c r="AD7" i="11"/>
  <c r="AF7" i="11"/>
  <c r="AH7" i="11"/>
  <c r="AJ7" i="11" s="1"/>
  <c r="AK7" i="11"/>
  <c r="AL7" i="11" s="1"/>
  <c r="AM7" i="11"/>
  <c r="AP7" i="11"/>
  <c r="AQ7" i="11" s="1"/>
  <c r="AR7" i="11"/>
  <c r="AS7" i="11"/>
  <c r="AX7" i="11"/>
  <c r="AY7" i="11"/>
  <c r="BA7" i="11"/>
  <c r="BD7" i="11"/>
  <c r="BF7" i="11"/>
  <c r="BH7" i="11"/>
  <c r="BK7" i="11"/>
  <c r="BM7" i="11"/>
  <c r="BN7" i="11" s="1"/>
  <c r="BO7" i="11"/>
  <c r="BQ7" i="11"/>
  <c r="BR7" i="11"/>
  <c r="BU7" i="11"/>
  <c r="BW7" i="11"/>
  <c r="BY7" i="11"/>
  <c r="CB7" i="11"/>
  <c r="CC7" i="11" s="1"/>
  <c r="CD7" i="11"/>
  <c r="CF7" i="11"/>
  <c r="CH7" i="11"/>
  <c r="CI7" i="11"/>
  <c r="CM7" i="11"/>
  <c r="CP7" i="11"/>
  <c r="CQ7" i="11" s="1"/>
  <c r="CR7" i="11"/>
  <c r="CT7" i="11"/>
  <c r="CV7" i="11" s="1"/>
  <c r="CW7" i="11"/>
  <c r="CX7" i="11" s="1"/>
  <c r="CY7" i="11"/>
  <c r="CZ7" i="11"/>
  <c r="B9" i="11"/>
  <c r="C9" i="11"/>
  <c r="D9" i="11"/>
  <c r="E9" i="11"/>
  <c r="F9" i="11"/>
  <c r="G9" i="11"/>
  <c r="H9" i="11"/>
  <c r="I9" i="11"/>
  <c r="J9" i="11"/>
  <c r="L9" i="11"/>
  <c r="CA9" i="11" s="1"/>
  <c r="M9" i="11"/>
  <c r="N9" i="11" s="1"/>
  <c r="O9" i="11"/>
  <c r="P9" i="11"/>
  <c r="Q9" i="11"/>
  <c r="S9" i="11"/>
  <c r="U9" i="11"/>
  <c r="V9" i="11"/>
  <c r="Y9" i="11"/>
  <c r="Z9" i="11"/>
  <c r="AA9" i="11"/>
  <c r="AE9" i="11" s="1"/>
  <c r="AF9" i="11"/>
  <c r="AH9" i="11"/>
  <c r="AK9" i="11"/>
  <c r="AM9" i="11"/>
  <c r="AP9" i="11"/>
  <c r="AQ9" i="11" s="1"/>
  <c r="AR9" i="11"/>
  <c r="AS9" i="11"/>
  <c r="AX9" i="11"/>
  <c r="AY9" i="11"/>
  <c r="BA9" i="11"/>
  <c r="BC9" i="11"/>
  <c r="BD9" i="11"/>
  <c r="BF9" i="11"/>
  <c r="BH9" i="11"/>
  <c r="BK9" i="11"/>
  <c r="BM9" i="11"/>
  <c r="BO9" i="11"/>
  <c r="BQ9" i="11"/>
  <c r="BR9" i="11"/>
  <c r="BU9" i="11"/>
  <c r="BW9" i="11"/>
  <c r="BY9" i="11"/>
  <c r="CB9" i="11"/>
  <c r="CC9" i="11" s="1"/>
  <c r="CD9" i="11"/>
  <c r="CF9" i="11"/>
  <c r="CH9" i="11"/>
  <c r="CI9" i="11"/>
  <c r="CM9" i="11"/>
  <c r="CP9" i="11"/>
  <c r="CQ9" i="11" s="1"/>
  <c r="CR9" i="11"/>
  <c r="CT9" i="11"/>
  <c r="CV9" i="11" s="1"/>
  <c r="CW9" i="11"/>
  <c r="CY9" i="11"/>
  <c r="CZ9" i="11"/>
  <c r="B8" i="11"/>
  <c r="C8" i="11"/>
  <c r="D8" i="11"/>
  <c r="E8" i="11"/>
  <c r="F8" i="11"/>
  <c r="G8" i="11"/>
  <c r="H8" i="11"/>
  <c r="I8" i="11"/>
  <c r="J8" i="11"/>
  <c r="L8" i="11"/>
  <c r="BS8" i="11" s="1"/>
  <c r="M8" i="11"/>
  <c r="N8" i="11" s="1"/>
  <c r="O8" i="11"/>
  <c r="P8" i="11"/>
  <c r="Q8" i="11"/>
  <c r="S8" i="11"/>
  <c r="U8" i="11"/>
  <c r="V8" i="11"/>
  <c r="Y8" i="11"/>
  <c r="Z8" i="11"/>
  <c r="AA8" i="11"/>
  <c r="AF8" i="11"/>
  <c r="AH8" i="11"/>
  <c r="AK8" i="11"/>
  <c r="AM8" i="11"/>
  <c r="AP8" i="11"/>
  <c r="AQ8" i="11" s="1"/>
  <c r="AR8" i="11"/>
  <c r="AS8" i="11"/>
  <c r="AV8" i="11" s="1"/>
  <c r="AX8" i="11"/>
  <c r="AY8" i="11"/>
  <c r="BA8" i="11"/>
  <c r="BD8" i="11"/>
  <c r="BF8" i="11"/>
  <c r="BH8" i="11"/>
  <c r="BK8" i="11"/>
  <c r="BM8" i="11"/>
  <c r="BN8" i="11" s="1"/>
  <c r="BO8" i="11"/>
  <c r="BQ8" i="11"/>
  <c r="BR8" i="11"/>
  <c r="BU8" i="11"/>
  <c r="BW8" i="11"/>
  <c r="BY8" i="11"/>
  <c r="CB8" i="11"/>
  <c r="CC8" i="11" s="1"/>
  <c r="CD8" i="11"/>
  <c r="CF8" i="11"/>
  <c r="CH8" i="11"/>
  <c r="CI8" i="11"/>
  <c r="CM8" i="11"/>
  <c r="CP8" i="11"/>
  <c r="CQ8" i="11" s="1"/>
  <c r="CR8" i="11"/>
  <c r="CT8" i="11"/>
  <c r="CW8" i="11"/>
  <c r="CY8" i="11"/>
  <c r="CZ8" i="11"/>
  <c r="B5" i="11"/>
  <c r="C5" i="11"/>
  <c r="D5" i="11"/>
  <c r="E5" i="11"/>
  <c r="F5" i="11"/>
  <c r="G5" i="11"/>
  <c r="H5" i="11"/>
  <c r="I5" i="11"/>
  <c r="J5" i="11"/>
  <c r="L5" i="11"/>
  <c r="AC5" i="11" s="1"/>
  <c r="M5" i="11"/>
  <c r="N5" i="11" s="1"/>
  <c r="O5" i="11"/>
  <c r="P5" i="11"/>
  <c r="Q5" i="11"/>
  <c r="S5" i="11"/>
  <c r="U5" i="11"/>
  <c r="V5" i="11"/>
  <c r="Y5" i="11"/>
  <c r="Z5" i="11"/>
  <c r="AA5" i="11"/>
  <c r="AF5" i="11"/>
  <c r="AH5" i="11"/>
  <c r="AK5" i="11"/>
  <c r="AM5" i="11"/>
  <c r="AP5" i="11"/>
  <c r="AQ5" i="11" s="1"/>
  <c r="AR5" i="11"/>
  <c r="AS5" i="11"/>
  <c r="AX5" i="11"/>
  <c r="AY5" i="11"/>
  <c r="BA5" i="11"/>
  <c r="BD5" i="11"/>
  <c r="BF5" i="11"/>
  <c r="BJ5" i="11" s="1"/>
  <c r="BH5" i="11"/>
  <c r="BK5" i="11"/>
  <c r="BM5" i="11"/>
  <c r="BO5" i="11"/>
  <c r="BQ5" i="11"/>
  <c r="BR5" i="11"/>
  <c r="BU5" i="11"/>
  <c r="BW5" i="11"/>
  <c r="BY5" i="11"/>
  <c r="CB5" i="11"/>
  <c r="CC5" i="11" s="1"/>
  <c r="CD5" i="11"/>
  <c r="CF5" i="11"/>
  <c r="CH5" i="11"/>
  <c r="CI5" i="11"/>
  <c r="CM5" i="11"/>
  <c r="CP5" i="11"/>
  <c r="CQ5" i="11" s="1"/>
  <c r="CR5" i="11"/>
  <c r="CT5" i="11"/>
  <c r="CW5" i="11"/>
  <c r="CY5" i="11"/>
  <c r="CZ5" i="11"/>
  <c r="B6" i="11"/>
  <c r="C6" i="11"/>
  <c r="D6" i="11"/>
  <c r="E6" i="11"/>
  <c r="F6" i="11"/>
  <c r="G6" i="11"/>
  <c r="H6" i="11"/>
  <c r="I6" i="11"/>
  <c r="J6" i="11"/>
  <c r="L6" i="11"/>
  <c r="CA6" i="11" s="1"/>
  <c r="M6" i="11"/>
  <c r="N6" i="11" s="1"/>
  <c r="O6" i="11"/>
  <c r="P6" i="11"/>
  <c r="Q6" i="11"/>
  <c r="S6" i="11"/>
  <c r="U6" i="11"/>
  <c r="W6" i="11" s="1"/>
  <c r="V6" i="11"/>
  <c r="Y6" i="11"/>
  <c r="Z6" i="11"/>
  <c r="AA6" i="11"/>
  <c r="AF6" i="11"/>
  <c r="AH6" i="11"/>
  <c r="AK6" i="11"/>
  <c r="AL6" i="11" s="1"/>
  <c r="AM6" i="11"/>
  <c r="AP6" i="11"/>
  <c r="AQ6" i="11" s="1"/>
  <c r="AR6" i="11"/>
  <c r="AS6" i="11"/>
  <c r="AX6" i="11"/>
  <c r="AY6" i="11"/>
  <c r="BA6" i="11"/>
  <c r="BD6" i="11"/>
  <c r="BF6" i="11"/>
  <c r="BH6" i="11"/>
  <c r="BK6" i="11"/>
  <c r="BM6" i="11"/>
  <c r="BO6" i="11"/>
  <c r="BQ6" i="11"/>
  <c r="BR6" i="11"/>
  <c r="BU6" i="11"/>
  <c r="BT6" i="11" s="1"/>
  <c r="CK6" i="11" s="1"/>
  <c r="CL6" i="11" s="1"/>
  <c r="BW6" i="11"/>
  <c r="BY6" i="11"/>
  <c r="CB6" i="11"/>
  <c r="CC6" i="11" s="1"/>
  <c r="CD6" i="11"/>
  <c r="CF6" i="11"/>
  <c r="CH6" i="11"/>
  <c r="CI6" i="11"/>
  <c r="CM6" i="11"/>
  <c r="CP6" i="11"/>
  <c r="CQ6" i="11" s="1"/>
  <c r="CR6" i="11"/>
  <c r="CT6" i="11"/>
  <c r="CV6" i="11" s="1"/>
  <c r="CW6" i="11"/>
  <c r="CY6" i="11"/>
  <c r="CZ6" i="11"/>
  <c r="B2" i="11"/>
  <c r="C2" i="11"/>
  <c r="D2" i="11"/>
  <c r="E2" i="11"/>
  <c r="F2" i="11"/>
  <c r="G2" i="11"/>
  <c r="H2" i="11"/>
  <c r="I2" i="11"/>
  <c r="J2" i="11"/>
  <c r="L2" i="11"/>
  <c r="M2" i="11"/>
  <c r="N2" i="11" s="1"/>
  <c r="O2" i="11"/>
  <c r="P2" i="11"/>
  <c r="Q2" i="11"/>
  <c r="S2" i="11"/>
  <c r="U2" i="11"/>
  <c r="W2" i="11" s="1"/>
  <c r="V2" i="11"/>
  <c r="Y2" i="11"/>
  <c r="Z2" i="11"/>
  <c r="AA2" i="11"/>
  <c r="AE2" i="11" s="1"/>
  <c r="AB2" i="11"/>
  <c r="AF2" i="11"/>
  <c r="AH2" i="11"/>
  <c r="AK2" i="11"/>
  <c r="AM2" i="11"/>
  <c r="AO2" i="11" s="1"/>
  <c r="AP2" i="11"/>
  <c r="AQ2" i="11" s="1"/>
  <c r="AR2" i="11"/>
  <c r="AS2" i="11"/>
  <c r="AX2" i="11"/>
  <c r="AY2" i="11"/>
  <c r="BA2" i="11"/>
  <c r="BD2" i="11"/>
  <c r="BF2" i="11"/>
  <c r="BH2" i="11"/>
  <c r="BI2" i="11" s="1"/>
  <c r="BK2" i="11"/>
  <c r="BM2" i="11"/>
  <c r="BO2" i="11"/>
  <c r="BQ2" i="11"/>
  <c r="BR2" i="11"/>
  <c r="BU2" i="11"/>
  <c r="BW2" i="11"/>
  <c r="BY2" i="11"/>
  <c r="BZ2" i="11" s="1"/>
  <c r="CB2" i="11"/>
  <c r="CC2" i="11" s="1"/>
  <c r="CD2" i="11"/>
  <c r="CF2" i="11"/>
  <c r="CH2" i="11"/>
  <c r="CI2" i="11"/>
  <c r="CM2" i="11"/>
  <c r="CP2" i="11"/>
  <c r="CQ2" i="11" s="1"/>
  <c r="CR2" i="11"/>
  <c r="CT2" i="11"/>
  <c r="CV2" i="11" s="1"/>
  <c r="CW2" i="11"/>
  <c r="CY2" i="11"/>
  <c r="CZ2" i="11"/>
  <c r="B11" i="11"/>
  <c r="C11" i="11"/>
  <c r="D11" i="11"/>
  <c r="E11" i="11"/>
  <c r="F11" i="11"/>
  <c r="G11" i="11"/>
  <c r="H11" i="11"/>
  <c r="I11" i="11"/>
  <c r="J11" i="11"/>
  <c r="L11" i="11"/>
  <c r="AC11" i="11" s="1"/>
  <c r="M11" i="11"/>
  <c r="N11" i="11" s="1"/>
  <c r="O11" i="11"/>
  <c r="P11" i="11"/>
  <c r="Q11" i="11"/>
  <c r="S11" i="11"/>
  <c r="T11" i="11" s="1"/>
  <c r="U11" i="11"/>
  <c r="V11" i="11"/>
  <c r="Y11" i="11"/>
  <c r="Z11" i="11"/>
  <c r="AA11" i="11"/>
  <c r="AF11" i="11"/>
  <c r="AH11" i="11"/>
  <c r="AK11" i="11"/>
  <c r="AM11" i="11"/>
  <c r="AP11" i="11"/>
  <c r="AQ11" i="11" s="1"/>
  <c r="AR11" i="11"/>
  <c r="AS11" i="11"/>
  <c r="AV11" i="11"/>
  <c r="AU11" i="11" s="1"/>
  <c r="AX11" i="11"/>
  <c r="AY11" i="11"/>
  <c r="BA11" i="11"/>
  <c r="BD11" i="11"/>
  <c r="BF11" i="11"/>
  <c r="BH11" i="11"/>
  <c r="BI11" i="11"/>
  <c r="BK11" i="11"/>
  <c r="BM11" i="11"/>
  <c r="BO11" i="11"/>
  <c r="BQ11" i="11"/>
  <c r="BR11" i="11"/>
  <c r="BU11" i="11"/>
  <c r="BT11" i="11" s="1"/>
  <c r="CK11" i="11" s="1"/>
  <c r="CL11" i="11" s="1"/>
  <c r="BW11" i="11"/>
  <c r="BX11" i="11" s="1"/>
  <c r="BY11" i="11"/>
  <c r="CA11" i="11"/>
  <c r="CB11" i="11"/>
  <c r="CC11" i="11" s="1"/>
  <c r="CD11" i="11"/>
  <c r="CF11" i="11"/>
  <c r="CH11" i="11"/>
  <c r="CI11" i="11"/>
  <c r="CM11" i="11"/>
  <c r="CP11" i="11"/>
  <c r="CQ11" i="11" s="1"/>
  <c r="CR11" i="11"/>
  <c r="CT11" i="11"/>
  <c r="CV11" i="11" s="1"/>
  <c r="CW11" i="11"/>
  <c r="CY11" i="11"/>
  <c r="CZ11" i="11"/>
  <c r="F9" i="15"/>
  <c r="F13" i="15"/>
  <c r="F16" i="15"/>
  <c r="BX13" i="15"/>
  <c r="BZ13" i="15"/>
  <c r="BX16" i="15"/>
  <c r="BZ16" i="15"/>
  <c r="BX9" i="15"/>
  <c r="BZ9" i="15"/>
  <c r="CC13" i="15"/>
  <c r="CD13" i="15"/>
  <c r="CC16" i="15"/>
  <c r="CD16" i="15"/>
  <c r="CC9" i="15"/>
  <c r="CD9" i="15"/>
  <c r="U13" i="15"/>
  <c r="AN13" i="15" s="1"/>
  <c r="U16" i="15"/>
  <c r="AN16" i="15" s="1"/>
  <c r="U9" i="15"/>
  <c r="V9" i="15" s="1"/>
  <c r="X13" i="15"/>
  <c r="DL13" i="15" s="1"/>
  <c r="X16" i="15"/>
  <c r="DL16" i="15" s="1"/>
  <c r="X9" i="15"/>
  <c r="DL9" i="15" s="1"/>
  <c r="B16" i="15"/>
  <c r="C16" i="15"/>
  <c r="D16" i="15"/>
  <c r="E16" i="15"/>
  <c r="H16" i="15"/>
  <c r="I16" i="15"/>
  <c r="J16" i="15" s="1"/>
  <c r="K16" i="15"/>
  <c r="L16" i="15"/>
  <c r="M16" i="15"/>
  <c r="O16" i="15"/>
  <c r="P16" i="15"/>
  <c r="AB16" i="15"/>
  <c r="AD16" i="15"/>
  <c r="AG16" i="15"/>
  <c r="AH16" i="15"/>
  <c r="AI16" i="15"/>
  <c r="AJ16" i="15"/>
  <c r="AK16" i="15"/>
  <c r="AL16" i="15"/>
  <c r="AP16" i="15"/>
  <c r="AR16" i="15"/>
  <c r="AS16" i="15"/>
  <c r="AW16" i="15"/>
  <c r="AX16" i="15"/>
  <c r="AY16" i="15"/>
  <c r="BC16" i="15"/>
  <c r="BE16" i="15"/>
  <c r="BG16" i="15"/>
  <c r="BK16" i="15"/>
  <c r="BL16" i="15"/>
  <c r="BM16" i="15"/>
  <c r="BO16" i="15"/>
  <c r="BQ16" i="15"/>
  <c r="BT16" i="15"/>
  <c r="BV16" i="15"/>
  <c r="CI16" i="15"/>
  <c r="CL16" i="15"/>
  <c r="CN16" i="15"/>
  <c r="CT16" i="15"/>
  <c r="CV16" i="15"/>
  <c r="CX16" i="15"/>
  <c r="DA16" i="15"/>
  <c r="DB16" i="15"/>
  <c r="DD16" i="15"/>
  <c r="DG16" i="15"/>
  <c r="DI16" i="15"/>
  <c r="DJ16" i="15"/>
  <c r="DM16" i="15"/>
  <c r="DO16" i="15"/>
  <c r="DP16" i="15"/>
  <c r="DS16" i="15"/>
  <c r="DT16" i="15"/>
  <c r="DV16" i="15" s="1"/>
  <c r="DX16" i="15"/>
  <c r="DY16" i="15"/>
  <c r="EA16" i="15"/>
  <c r="EC16" i="15"/>
  <c r="B9" i="15"/>
  <c r="C9" i="15"/>
  <c r="D9" i="15"/>
  <c r="E9" i="15"/>
  <c r="H9" i="15"/>
  <c r="DE9" i="15" s="1"/>
  <c r="DF9" i="15" s="1"/>
  <c r="I9" i="15"/>
  <c r="J9" i="15" s="1"/>
  <c r="K9" i="15"/>
  <c r="L9" i="15"/>
  <c r="M9" i="15"/>
  <c r="O9" i="15"/>
  <c r="P9" i="15"/>
  <c r="AB9" i="15"/>
  <c r="AD9" i="15"/>
  <c r="AG9" i="15"/>
  <c r="AH9" i="15"/>
  <c r="AI9" i="15"/>
  <c r="AJ9" i="15"/>
  <c r="AK9" i="15"/>
  <c r="AL9" i="15"/>
  <c r="AP9" i="15"/>
  <c r="AR9" i="15"/>
  <c r="AS9" i="15"/>
  <c r="AW9" i="15"/>
  <c r="AX9" i="15"/>
  <c r="AY9" i="15"/>
  <c r="BC9" i="15"/>
  <c r="BE9" i="15"/>
  <c r="BG9" i="15"/>
  <c r="BK9" i="15"/>
  <c r="BL9" i="15"/>
  <c r="BM9" i="15"/>
  <c r="BO9" i="15"/>
  <c r="BQ9" i="15"/>
  <c r="BT9" i="15"/>
  <c r="BV9" i="15"/>
  <c r="CI9" i="15"/>
  <c r="CL9" i="15"/>
  <c r="CN9" i="15"/>
  <c r="CT9" i="15"/>
  <c r="CV9" i="15"/>
  <c r="CX9" i="15"/>
  <c r="DA9" i="15"/>
  <c r="DB9" i="15"/>
  <c r="DD9" i="15"/>
  <c r="DG9" i="15"/>
  <c r="DI9" i="15"/>
  <c r="DJ9" i="15"/>
  <c r="DM9" i="15"/>
  <c r="DO9" i="15"/>
  <c r="DP9" i="15"/>
  <c r="DS9" i="15"/>
  <c r="DT9" i="15"/>
  <c r="DX9" i="15"/>
  <c r="DY9" i="15"/>
  <c r="EA9" i="15"/>
  <c r="EC9" i="15"/>
  <c r="CX13" i="15"/>
  <c r="CV13" i="15"/>
  <c r="CI13" i="15"/>
  <c r="DG13" i="15"/>
  <c r="DD13" i="15"/>
  <c r="DS13" i="15"/>
  <c r="DT13" i="15"/>
  <c r="DV13" i="15" s="1"/>
  <c r="DM13" i="15"/>
  <c r="BB11" i="18"/>
  <c r="BB3" i="18"/>
  <c r="BB5" i="18"/>
  <c r="BB7" i="18"/>
  <c r="BB10" i="18"/>
  <c r="BB12" i="18"/>
  <c r="BB8" i="18"/>
  <c r="BB4" i="18"/>
  <c r="BB2" i="18"/>
  <c r="BB6" i="18"/>
  <c r="BB9" i="18"/>
  <c r="BA11" i="18"/>
  <c r="BA3" i="18"/>
  <c r="BA5" i="18"/>
  <c r="BA7" i="18"/>
  <c r="BA10" i="18"/>
  <c r="BA12" i="18"/>
  <c r="BA8" i="18"/>
  <c r="BA4" i="18"/>
  <c r="BA2" i="18"/>
  <c r="BA6" i="18"/>
  <c r="BA9" i="18"/>
  <c r="Z11" i="18"/>
  <c r="Z3" i="18"/>
  <c r="Z5" i="18"/>
  <c r="Z7" i="18"/>
  <c r="Z10" i="18"/>
  <c r="Z12" i="18"/>
  <c r="Z8" i="18"/>
  <c r="Z4" i="18"/>
  <c r="Z2" i="18"/>
  <c r="Z6" i="18"/>
  <c r="Z9" i="18"/>
  <c r="BD11" i="18"/>
  <c r="BD3" i="18"/>
  <c r="BD5" i="18"/>
  <c r="BD7" i="18"/>
  <c r="BD10" i="18"/>
  <c r="BD12" i="18"/>
  <c r="BD8" i="18"/>
  <c r="BD4" i="18"/>
  <c r="BD2" i="18"/>
  <c r="BD6" i="18"/>
  <c r="BD9" i="18"/>
  <c r="AY9" i="18"/>
  <c r="AV11" i="18"/>
  <c r="AV3" i="18"/>
  <c r="AV5" i="18"/>
  <c r="AV7" i="18"/>
  <c r="AV10" i="18"/>
  <c r="AV12" i="18"/>
  <c r="AV8" i="18"/>
  <c r="AV4" i="18"/>
  <c r="AV2" i="18"/>
  <c r="AV6" i="18"/>
  <c r="AV9" i="18"/>
  <c r="AT11" i="18"/>
  <c r="AT3" i="18"/>
  <c r="AT5" i="18"/>
  <c r="AT7" i="18"/>
  <c r="AT10" i="18"/>
  <c r="AT12" i="18"/>
  <c r="AT8" i="18"/>
  <c r="AT4" i="18"/>
  <c r="AT2" i="18"/>
  <c r="AT6" i="18"/>
  <c r="AT9" i="18"/>
  <c r="C2" i="18"/>
  <c r="D2" i="18" s="1"/>
  <c r="K2" i="18" s="1"/>
  <c r="AD9" i="18"/>
  <c r="DB4" i="14"/>
  <c r="B9" i="14"/>
  <c r="C9" i="14"/>
  <c r="D9" i="14"/>
  <c r="E9" i="14"/>
  <c r="F9" i="14"/>
  <c r="G9" i="14"/>
  <c r="H9" i="14"/>
  <c r="I9" i="14"/>
  <c r="J9" i="14"/>
  <c r="L9" i="14"/>
  <c r="AQ9" i="14" s="1"/>
  <c r="M9" i="14"/>
  <c r="N9" i="14" s="1"/>
  <c r="O9" i="14"/>
  <c r="P9" i="14"/>
  <c r="Y9" i="14" s="1"/>
  <c r="Q9" i="14"/>
  <c r="AA9" i="14" s="1"/>
  <c r="T9" i="14"/>
  <c r="U9" i="14"/>
  <c r="W9" i="14"/>
  <c r="AD9" i="14"/>
  <c r="AE9" i="14"/>
  <c r="AI9" i="14"/>
  <c r="AM9" i="14"/>
  <c r="AN9" i="14" s="1"/>
  <c r="AP9" i="14"/>
  <c r="AR9" i="14"/>
  <c r="AT9" i="14"/>
  <c r="AY9" i="14"/>
  <c r="BC9" i="14"/>
  <c r="BE9" i="14"/>
  <c r="BH9" i="14"/>
  <c r="BI9" i="14"/>
  <c r="BJ9" i="14"/>
  <c r="BO9" i="14"/>
  <c r="BQ9" i="14"/>
  <c r="BR9" i="14"/>
  <c r="BT9" i="14"/>
  <c r="BU9" i="14"/>
  <c r="BY9" i="14"/>
  <c r="CA9" i="14"/>
  <c r="CB9" i="14"/>
  <c r="CC9" i="14"/>
  <c r="CL9" i="14"/>
  <c r="CN9" i="14"/>
  <c r="CO9" i="14"/>
  <c r="CR9" i="14"/>
  <c r="CT9" i="14"/>
  <c r="CV9" i="14"/>
  <c r="CX9" i="14"/>
  <c r="CZ9" i="14"/>
  <c r="DB9" i="14"/>
  <c r="DC9" i="14"/>
  <c r="B11" i="14"/>
  <c r="C11" i="14"/>
  <c r="D11" i="14"/>
  <c r="E11" i="14"/>
  <c r="F11" i="14"/>
  <c r="G11" i="14"/>
  <c r="H11" i="14"/>
  <c r="I11" i="14"/>
  <c r="J11" i="14"/>
  <c r="L11" i="14"/>
  <c r="M11" i="14"/>
  <c r="N11" i="14" s="1"/>
  <c r="O11" i="14"/>
  <c r="P11" i="14"/>
  <c r="Y11" i="14" s="1"/>
  <c r="Q11" i="14"/>
  <c r="T11" i="14"/>
  <c r="U11" i="14"/>
  <c r="W11" i="14"/>
  <c r="AD11" i="14"/>
  <c r="AE11" i="14"/>
  <c r="AI11" i="14"/>
  <c r="AM11" i="14"/>
  <c r="AN11" i="14" s="1"/>
  <c r="AP11" i="14"/>
  <c r="AR11" i="14"/>
  <c r="AT11" i="14"/>
  <c r="AY11" i="14"/>
  <c r="BC11" i="14"/>
  <c r="BE11" i="14"/>
  <c r="BH11" i="14"/>
  <c r="BI11" i="14"/>
  <c r="BJ11" i="14"/>
  <c r="BO11" i="14"/>
  <c r="BQ11" i="14"/>
  <c r="BR11" i="14"/>
  <c r="BT11" i="14"/>
  <c r="BU11" i="14"/>
  <c r="BY11" i="14"/>
  <c r="CA11" i="14"/>
  <c r="CB11" i="14"/>
  <c r="CC11" i="14"/>
  <c r="CL11" i="14"/>
  <c r="CN11" i="14"/>
  <c r="CO11" i="14"/>
  <c r="CR11" i="14"/>
  <c r="CT11" i="14"/>
  <c r="CV11" i="14"/>
  <c r="CX11" i="14"/>
  <c r="CZ11" i="14"/>
  <c r="DB11" i="14"/>
  <c r="DC11" i="14"/>
  <c r="B2" i="14"/>
  <c r="C2" i="14"/>
  <c r="D2" i="14"/>
  <c r="E2" i="14"/>
  <c r="F2" i="14"/>
  <c r="G2" i="14"/>
  <c r="H2" i="14"/>
  <c r="I2" i="14"/>
  <c r="J2" i="14"/>
  <c r="L2" i="14"/>
  <c r="M2" i="14"/>
  <c r="N2" i="14" s="1"/>
  <c r="O2" i="14"/>
  <c r="P2" i="14"/>
  <c r="Q2" i="14"/>
  <c r="T2" i="14"/>
  <c r="U2" i="14"/>
  <c r="W2" i="14"/>
  <c r="AD2" i="14"/>
  <c r="AE2" i="14"/>
  <c r="AI2" i="14"/>
  <c r="CP2" i="14" s="1"/>
  <c r="AM2" i="14"/>
  <c r="AN2" i="14" s="1"/>
  <c r="AP2" i="14"/>
  <c r="AR2" i="14"/>
  <c r="AT2" i="14"/>
  <c r="AY2" i="14"/>
  <c r="BK2" i="14" s="1"/>
  <c r="BL2" i="14" s="1"/>
  <c r="BM2" i="14" s="1"/>
  <c r="BC2" i="14"/>
  <c r="BE2" i="14"/>
  <c r="BH2" i="14"/>
  <c r="BI2" i="14"/>
  <c r="BJ2" i="14"/>
  <c r="BO2" i="14"/>
  <c r="BQ2" i="14"/>
  <c r="BR2" i="14"/>
  <c r="BT2" i="14"/>
  <c r="BU2" i="14"/>
  <c r="BY2" i="14"/>
  <c r="CA2" i="14"/>
  <c r="CB2" i="14"/>
  <c r="CC2" i="14"/>
  <c r="CL2" i="14"/>
  <c r="CN2" i="14"/>
  <c r="CO2" i="14"/>
  <c r="CR2" i="14"/>
  <c r="CT2" i="14"/>
  <c r="CV2" i="14"/>
  <c r="CX2" i="14"/>
  <c r="CZ2" i="14"/>
  <c r="DB2" i="14"/>
  <c r="DC2" i="14"/>
  <c r="AD5" i="14"/>
  <c r="AD3" i="14"/>
  <c r="AD4" i="14"/>
  <c r="AD10" i="14"/>
  <c r="AD8" i="14"/>
  <c r="AD6" i="14"/>
  <c r="AD7" i="14"/>
  <c r="BR8" i="14"/>
  <c r="BR3" i="14"/>
  <c r="BR10" i="14"/>
  <c r="BR5" i="14"/>
  <c r="BR7" i="14"/>
  <c r="BR6" i="14"/>
  <c r="BR4" i="14"/>
  <c r="BQ8" i="14"/>
  <c r="BQ3" i="14"/>
  <c r="BQ10" i="14"/>
  <c r="BQ5" i="14"/>
  <c r="BQ7" i="14"/>
  <c r="BQ6" i="14"/>
  <c r="BQ4" i="14"/>
  <c r="AI4" i="14"/>
  <c r="CQ4" i="14" s="1"/>
  <c r="AI7" i="14"/>
  <c r="CP7" i="14" s="1"/>
  <c r="AI6" i="14"/>
  <c r="CQ6" i="14" s="1"/>
  <c r="AI8" i="14"/>
  <c r="CP8" i="14" s="1"/>
  <c r="AI5" i="14"/>
  <c r="CP5" i="14" s="1"/>
  <c r="AI3" i="14"/>
  <c r="CP3" i="14" s="1"/>
  <c r="AI10" i="14"/>
  <c r="CP10" i="14" s="1"/>
  <c r="AE4" i="14"/>
  <c r="AG4" i="14" s="1"/>
  <c r="AE7" i="14"/>
  <c r="AG7" i="14" s="1"/>
  <c r="AE6" i="14"/>
  <c r="AG6" i="14" s="1"/>
  <c r="AE8" i="14"/>
  <c r="AG8" i="14" s="1"/>
  <c r="AE5" i="14"/>
  <c r="AG5" i="14" s="1"/>
  <c r="AE3" i="14"/>
  <c r="AG3" i="14" s="1"/>
  <c r="AE10" i="14"/>
  <c r="AG10" i="14" s="1"/>
  <c r="A10" i="14"/>
  <c r="A11" i="14"/>
  <c r="B7" i="14"/>
  <c r="C7" i="14"/>
  <c r="D7" i="14"/>
  <c r="E7" i="14"/>
  <c r="F7" i="14"/>
  <c r="G7" i="14"/>
  <c r="H7" i="14"/>
  <c r="I7" i="14"/>
  <c r="J7" i="14"/>
  <c r="L7" i="14"/>
  <c r="AQ7" i="14" s="1"/>
  <c r="M7" i="14"/>
  <c r="N7" i="14" s="1"/>
  <c r="O7" i="14"/>
  <c r="P7" i="14"/>
  <c r="Q7" i="14"/>
  <c r="AA7" i="14" s="1"/>
  <c r="T7" i="14"/>
  <c r="U7" i="14"/>
  <c r="W7" i="14"/>
  <c r="AM7" i="14"/>
  <c r="AN7" i="14" s="1"/>
  <c r="AP7" i="14"/>
  <c r="AR7" i="14"/>
  <c r="AT7" i="14"/>
  <c r="AY7" i="14"/>
  <c r="BK7" i="14" s="1"/>
  <c r="BL7" i="14" s="1"/>
  <c r="BM7" i="14" s="1"/>
  <c r="BC7" i="14"/>
  <c r="BE7" i="14"/>
  <c r="BH7" i="14"/>
  <c r="BI7" i="14"/>
  <c r="BJ7" i="14"/>
  <c r="BO7" i="14"/>
  <c r="BT7" i="14"/>
  <c r="BU7" i="14"/>
  <c r="BY7" i="14"/>
  <c r="CA7" i="14"/>
  <c r="CB7" i="14"/>
  <c r="CC7" i="14"/>
  <c r="CL7" i="14"/>
  <c r="CN7" i="14"/>
  <c r="CO7" i="14"/>
  <c r="CR7" i="14"/>
  <c r="CT7" i="14"/>
  <c r="CV7" i="14"/>
  <c r="CX7" i="14"/>
  <c r="CZ7" i="14"/>
  <c r="DB7" i="14"/>
  <c r="DC7" i="14"/>
  <c r="B6" i="14"/>
  <c r="C6" i="14"/>
  <c r="D6" i="14"/>
  <c r="E6" i="14"/>
  <c r="F6" i="14"/>
  <c r="G6" i="14"/>
  <c r="H6" i="14"/>
  <c r="I6" i="14"/>
  <c r="J6" i="14"/>
  <c r="L6" i="14"/>
  <c r="CD6" i="14" s="1"/>
  <c r="M6" i="14"/>
  <c r="N6" i="14" s="1"/>
  <c r="O6" i="14"/>
  <c r="P6" i="14"/>
  <c r="Q6" i="14"/>
  <c r="AA6" i="14" s="1"/>
  <c r="T6" i="14"/>
  <c r="U6" i="14"/>
  <c r="W6" i="14"/>
  <c r="AM6" i="14"/>
  <c r="AN6" i="14" s="1"/>
  <c r="AP6" i="14"/>
  <c r="AR6" i="14"/>
  <c r="AT6" i="14"/>
  <c r="AY6" i="14"/>
  <c r="BK6" i="14" s="1"/>
  <c r="BL6" i="14" s="1"/>
  <c r="BM6" i="14" s="1"/>
  <c r="BC6" i="14"/>
  <c r="BE6" i="14"/>
  <c r="BH6" i="14"/>
  <c r="BI6" i="14"/>
  <c r="BJ6" i="14"/>
  <c r="BO6" i="14"/>
  <c r="BT6" i="14"/>
  <c r="BU6" i="14"/>
  <c r="BY6" i="14"/>
  <c r="CA6" i="14"/>
  <c r="CB6" i="14"/>
  <c r="CC6" i="14"/>
  <c r="CL6" i="14"/>
  <c r="CN6" i="14"/>
  <c r="CO6" i="14"/>
  <c r="CR6" i="14"/>
  <c r="CT6" i="14"/>
  <c r="CV6" i="14"/>
  <c r="CX6" i="14"/>
  <c r="CZ6" i="14"/>
  <c r="DB6" i="14"/>
  <c r="DC6" i="14"/>
  <c r="B8" i="14"/>
  <c r="C8" i="14"/>
  <c r="D8" i="14"/>
  <c r="E8" i="14"/>
  <c r="F8" i="14"/>
  <c r="G8" i="14"/>
  <c r="H8" i="14"/>
  <c r="I8" i="14"/>
  <c r="J8" i="14"/>
  <c r="L8" i="14"/>
  <c r="CD8" i="14" s="1"/>
  <c r="M8" i="14"/>
  <c r="N8" i="14" s="1"/>
  <c r="O8" i="14"/>
  <c r="P8" i="14"/>
  <c r="Q8" i="14"/>
  <c r="AA8" i="14" s="1"/>
  <c r="T8" i="14"/>
  <c r="U8" i="14"/>
  <c r="W8" i="14"/>
  <c r="AM8" i="14"/>
  <c r="AN8" i="14" s="1"/>
  <c r="AP8" i="14"/>
  <c r="AR8" i="14"/>
  <c r="AT8" i="14"/>
  <c r="AY8" i="14"/>
  <c r="BC8" i="14"/>
  <c r="BE8" i="14"/>
  <c r="BH8" i="14"/>
  <c r="BI8" i="14"/>
  <c r="BJ8" i="14"/>
  <c r="BO8" i="14"/>
  <c r="BT8" i="14"/>
  <c r="BU8" i="14"/>
  <c r="BY8" i="14"/>
  <c r="CA8" i="14"/>
  <c r="CB8" i="14"/>
  <c r="CC8" i="14"/>
  <c r="CL8" i="14"/>
  <c r="CN8" i="14"/>
  <c r="CO8" i="14"/>
  <c r="CR8" i="14"/>
  <c r="CT8" i="14"/>
  <c r="CV8" i="14"/>
  <c r="CX8" i="14"/>
  <c r="CZ8" i="14"/>
  <c r="DB8" i="14"/>
  <c r="DC8" i="14"/>
  <c r="B5" i="14"/>
  <c r="C5" i="14"/>
  <c r="D5" i="14"/>
  <c r="E5" i="14"/>
  <c r="F5" i="14"/>
  <c r="G5" i="14"/>
  <c r="H5" i="14"/>
  <c r="I5" i="14"/>
  <c r="J5" i="14"/>
  <c r="L5" i="14"/>
  <c r="AQ5" i="14" s="1"/>
  <c r="M5" i="14"/>
  <c r="N5" i="14" s="1"/>
  <c r="O5" i="14"/>
  <c r="P5" i="14"/>
  <c r="Q5" i="14"/>
  <c r="AA5" i="14" s="1"/>
  <c r="T5" i="14"/>
  <c r="U5" i="14"/>
  <c r="W5" i="14"/>
  <c r="AM5" i="14"/>
  <c r="AN5" i="14" s="1"/>
  <c r="AP5" i="14"/>
  <c r="AR5" i="14"/>
  <c r="AT5" i="14"/>
  <c r="AY5" i="14"/>
  <c r="BK5" i="14" s="1"/>
  <c r="BL5" i="14" s="1"/>
  <c r="BC5" i="14"/>
  <c r="BE5" i="14"/>
  <c r="BH5" i="14"/>
  <c r="BI5" i="14"/>
  <c r="BJ5" i="14"/>
  <c r="BO5" i="14"/>
  <c r="BT5" i="14"/>
  <c r="BU5" i="14"/>
  <c r="BY5" i="14"/>
  <c r="CA5" i="14"/>
  <c r="CB5" i="14"/>
  <c r="CC5" i="14"/>
  <c r="CL5" i="14"/>
  <c r="CN5" i="14"/>
  <c r="CO5" i="14"/>
  <c r="CR5" i="14"/>
  <c r="CT5" i="14"/>
  <c r="CV5" i="14"/>
  <c r="CX5" i="14"/>
  <c r="CZ5" i="14"/>
  <c r="DB5" i="14"/>
  <c r="DC5" i="14"/>
  <c r="B3" i="14"/>
  <c r="C3" i="14"/>
  <c r="D3" i="14"/>
  <c r="E3" i="14"/>
  <c r="F3" i="14"/>
  <c r="G3" i="14"/>
  <c r="H3" i="14"/>
  <c r="I3" i="14"/>
  <c r="J3" i="14"/>
  <c r="L3" i="14"/>
  <c r="M3" i="14"/>
  <c r="N3" i="14" s="1"/>
  <c r="O3" i="14"/>
  <c r="P3" i="14"/>
  <c r="Q3" i="14"/>
  <c r="AA3" i="14" s="1"/>
  <c r="T3" i="14"/>
  <c r="U3" i="14"/>
  <c r="W3" i="14"/>
  <c r="AM3" i="14"/>
  <c r="AN3" i="14" s="1"/>
  <c r="AP3" i="14"/>
  <c r="AR3" i="14"/>
  <c r="AT3" i="14"/>
  <c r="AY3" i="14"/>
  <c r="BK3" i="14" s="1"/>
  <c r="BL3" i="14" s="1"/>
  <c r="BM3" i="14" s="1"/>
  <c r="BC3" i="14"/>
  <c r="BE3" i="14"/>
  <c r="BH3" i="14"/>
  <c r="BI3" i="14"/>
  <c r="BJ3" i="14"/>
  <c r="BO3" i="14"/>
  <c r="BT3" i="14"/>
  <c r="BU3" i="14"/>
  <c r="BY3" i="14"/>
  <c r="CA3" i="14"/>
  <c r="CB3" i="14"/>
  <c r="CC3" i="14"/>
  <c r="CL3" i="14"/>
  <c r="CN3" i="14"/>
  <c r="CO3" i="14"/>
  <c r="CR3" i="14"/>
  <c r="CT3" i="14"/>
  <c r="CV3" i="14"/>
  <c r="CX3" i="14"/>
  <c r="CZ3" i="14"/>
  <c r="DB3" i="14"/>
  <c r="DC3" i="14"/>
  <c r="B10" i="14"/>
  <c r="C10" i="14"/>
  <c r="D10" i="14"/>
  <c r="E10" i="14"/>
  <c r="F10" i="14"/>
  <c r="G10" i="14"/>
  <c r="H10" i="14"/>
  <c r="I10" i="14"/>
  <c r="J10" i="14"/>
  <c r="L10" i="14"/>
  <c r="M10" i="14"/>
  <c r="N10" i="14" s="1"/>
  <c r="O10" i="14"/>
  <c r="P10" i="14"/>
  <c r="Y10" i="14" s="1"/>
  <c r="Q10" i="14"/>
  <c r="AA10" i="14" s="1"/>
  <c r="T10" i="14"/>
  <c r="U10" i="14"/>
  <c r="W10" i="14"/>
  <c r="AM10" i="14"/>
  <c r="AN10" i="14" s="1"/>
  <c r="AP10" i="14"/>
  <c r="AR10" i="14"/>
  <c r="AT10" i="14"/>
  <c r="AY10" i="14"/>
  <c r="BK10" i="14" s="1"/>
  <c r="BL10" i="14" s="1"/>
  <c r="BM10" i="14" s="1"/>
  <c r="BC10" i="14"/>
  <c r="BE10" i="14"/>
  <c r="BH10" i="14"/>
  <c r="BI10" i="14"/>
  <c r="BJ10" i="14"/>
  <c r="BO10" i="14"/>
  <c r="BT10" i="14"/>
  <c r="BU10" i="14"/>
  <c r="BY10" i="14"/>
  <c r="CA10" i="14"/>
  <c r="CB10" i="14"/>
  <c r="CC10" i="14"/>
  <c r="CL10" i="14"/>
  <c r="CN10" i="14"/>
  <c r="CO10" i="14"/>
  <c r="CR10" i="14"/>
  <c r="CT10" i="14"/>
  <c r="CV10" i="14"/>
  <c r="CX10" i="14"/>
  <c r="CZ10" i="14"/>
  <c r="DB10" i="14"/>
  <c r="DC10" i="14"/>
  <c r="M3" i="11"/>
  <c r="N3" i="11" s="1"/>
  <c r="M10" i="11"/>
  <c r="N10" i="11" s="1"/>
  <c r="M4" i="14"/>
  <c r="N4" i="14" s="1"/>
  <c r="O4" i="14"/>
  <c r="H4" i="14"/>
  <c r="F4" i="14"/>
  <c r="D3" i="11"/>
  <c r="D10" i="11"/>
  <c r="B3" i="11"/>
  <c r="C3" i="11"/>
  <c r="E3" i="11"/>
  <c r="F3" i="11"/>
  <c r="G3" i="11"/>
  <c r="H3" i="11"/>
  <c r="I3" i="11"/>
  <c r="J3" i="11"/>
  <c r="L3" i="11"/>
  <c r="AC3" i="11" s="1"/>
  <c r="O3" i="11"/>
  <c r="P3" i="11"/>
  <c r="Q3" i="11"/>
  <c r="S3" i="11"/>
  <c r="U3" i="11"/>
  <c r="V3" i="11"/>
  <c r="Y3" i="11"/>
  <c r="Z3" i="11"/>
  <c r="AA3" i="11"/>
  <c r="AF3" i="11"/>
  <c r="AH3" i="11"/>
  <c r="AK3" i="11"/>
  <c r="AM3" i="11"/>
  <c r="AP3" i="11"/>
  <c r="AQ3" i="11" s="1"/>
  <c r="AR3" i="11"/>
  <c r="AS3" i="11"/>
  <c r="AX3" i="11"/>
  <c r="AY3" i="11"/>
  <c r="BA3" i="11"/>
  <c r="BD3" i="11"/>
  <c r="BF3" i="11"/>
  <c r="BH3" i="11"/>
  <c r="BK3" i="11"/>
  <c r="BM3" i="11"/>
  <c r="BO3" i="11"/>
  <c r="BQ3" i="11"/>
  <c r="BR3" i="11"/>
  <c r="BU3" i="11"/>
  <c r="BW3" i="11"/>
  <c r="BY3" i="11"/>
  <c r="CB3" i="11"/>
  <c r="CC3" i="11" s="1"/>
  <c r="CD3" i="11"/>
  <c r="CF3" i="11"/>
  <c r="CH3" i="11"/>
  <c r="CI3" i="11"/>
  <c r="CM3" i="11"/>
  <c r="CP3" i="11"/>
  <c r="CQ3" i="11" s="1"/>
  <c r="CR3" i="11"/>
  <c r="CT3" i="11"/>
  <c r="CW3" i="11"/>
  <c r="CY3" i="11"/>
  <c r="CZ3" i="11"/>
  <c r="BO10" i="11"/>
  <c r="BQ10" i="11"/>
  <c r="BR10" i="11"/>
  <c r="B10" i="11"/>
  <c r="C10" i="11"/>
  <c r="E10" i="11"/>
  <c r="F10" i="11"/>
  <c r="G10" i="11"/>
  <c r="H10" i="11"/>
  <c r="I10" i="11"/>
  <c r="J10" i="11"/>
  <c r="L10" i="11"/>
  <c r="O10" i="11"/>
  <c r="P10" i="11"/>
  <c r="Q10" i="11"/>
  <c r="S10" i="11"/>
  <c r="U10" i="11"/>
  <c r="V10" i="11"/>
  <c r="Y10" i="11"/>
  <c r="Z10" i="11"/>
  <c r="AA10" i="11"/>
  <c r="AF10" i="11"/>
  <c r="AH10" i="11"/>
  <c r="AK10" i="11"/>
  <c r="AM10" i="11"/>
  <c r="AP10" i="11"/>
  <c r="AQ10" i="11" s="1"/>
  <c r="AR10" i="11"/>
  <c r="AS10" i="11"/>
  <c r="AX10" i="11"/>
  <c r="AY10" i="11"/>
  <c r="BA10" i="11"/>
  <c r="BD10" i="11"/>
  <c r="BF10" i="11"/>
  <c r="BH10" i="11"/>
  <c r="BK10" i="11"/>
  <c r="BM10" i="11"/>
  <c r="BU10" i="11"/>
  <c r="BW10" i="11"/>
  <c r="BY10" i="11"/>
  <c r="CB10" i="11"/>
  <c r="CC10" i="11" s="1"/>
  <c r="CD10" i="11"/>
  <c r="CF10" i="11"/>
  <c r="CH10" i="11"/>
  <c r="CI10" i="11"/>
  <c r="CM10" i="11"/>
  <c r="CP10" i="11"/>
  <c r="CQ10" i="11" s="1"/>
  <c r="CR10" i="11"/>
  <c r="CT10" i="11"/>
  <c r="CV10" i="11" s="1"/>
  <c r="CW10" i="11"/>
  <c r="CY10" i="11"/>
  <c r="CZ10" i="11"/>
  <c r="A2" i="11"/>
  <c r="A3" i="11"/>
  <c r="B11" i="17"/>
  <c r="C11" i="17"/>
  <c r="D11" i="17"/>
  <c r="E11" i="17"/>
  <c r="F11" i="17"/>
  <c r="G11" i="17"/>
  <c r="H11" i="17"/>
  <c r="I11" i="17"/>
  <c r="J11" i="17"/>
  <c r="L11" i="17"/>
  <c r="M11" i="17"/>
  <c r="N11" i="17" s="1"/>
  <c r="P11" i="17"/>
  <c r="Q11" i="17"/>
  <c r="W11" i="17"/>
  <c r="Y11" i="17"/>
  <c r="AB11" i="17"/>
  <c r="AD11" i="17"/>
  <c r="AG11" i="17"/>
  <c r="AJ11" i="17"/>
  <c r="AN11" i="17"/>
  <c r="AP11" i="17"/>
  <c r="AR11" i="17"/>
  <c r="AX11" i="17"/>
  <c r="AY11" i="17"/>
  <c r="AZ11" i="17"/>
  <c r="BA11" i="17"/>
  <c r="BG11" i="17"/>
  <c r="BI11" i="17"/>
  <c r="BK11" i="17"/>
  <c r="BL11" i="17"/>
  <c r="BM11" i="17"/>
  <c r="BO11" i="17"/>
  <c r="BR11" i="17"/>
  <c r="BT11" i="17"/>
  <c r="BU11" i="17"/>
  <c r="BW11" i="17"/>
  <c r="BY11" i="17"/>
  <c r="CB11" i="17"/>
  <c r="CC11" i="17"/>
  <c r="CE11" i="17"/>
  <c r="CF11" i="17"/>
  <c r="CG11" i="17"/>
  <c r="CH11" i="17"/>
  <c r="CK11" i="17"/>
  <c r="B5" i="17"/>
  <c r="C5" i="17"/>
  <c r="D5" i="17"/>
  <c r="E5" i="17"/>
  <c r="F5" i="17"/>
  <c r="G5" i="17"/>
  <c r="H5" i="17"/>
  <c r="I5" i="17"/>
  <c r="J5" i="17"/>
  <c r="L5" i="17"/>
  <c r="M5" i="17"/>
  <c r="N5" i="17" s="1"/>
  <c r="P5" i="17"/>
  <c r="Q5" i="17"/>
  <c r="W5" i="17"/>
  <c r="Y5" i="17"/>
  <c r="AB5" i="17"/>
  <c r="AD5" i="17"/>
  <c r="AG5" i="17"/>
  <c r="AJ5" i="17"/>
  <c r="AN5" i="17"/>
  <c r="AP5" i="17"/>
  <c r="AR5" i="17"/>
  <c r="AX5" i="17"/>
  <c r="AY5" i="17"/>
  <c r="AZ5" i="17"/>
  <c r="BA5" i="17"/>
  <c r="BG5" i="17"/>
  <c r="BI5" i="17"/>
  <c r="BK5" i="17"/>
  <c r="BL5" i="17"/>
  <c r="BM5" i="17"/>
  <c r="BO5" i="17"/>
  <c r="BR5" i="17"/>
  <c r="BT5" i="17"/>
  <c r="BU5" i="17"/>
  <c r="BW5" i="17"/>
  <c r="BY5" i="17"/>
  <c r="CB5" i="17"/>
  <c r="CC5" i="17"/>
  <c r="CE5" i="17"/>
  <c r="CF5" i="17"/>
  <c r="CG5" i="17"/>
  <c r="CH5" i="17"/>
  <c r="CK5" i="17"/>
  <c r="B6" i="17"/>
  <c r="C6" i="17"/>
  <c r="D6" i="17"/>
  <c r="E6" i="17"/>
  <c r="F6" i="17"/>
  <c r="G6" i="17"/>
  <c r="H6" i="17"/>
  <c r="I6" i="17"/>
  <c r="J6" i="17"/>
  <c r="L6" i="17"/>
  <c r="M6" i="17"/>
  <c r="N6" i="17" s="1"/>
  <c r="P6" i="17"/>
  <c r="Q6" i="17"/>
  <c r="W6" i="17"/>
  <c r="Y6" i="17"/>
  <c r="AB6" i="17"/>
  <c r="AD6" i="17"/>
  <c r="AG6" i="17"/>
  <c r="AJ6" i="17"/>
  <c r="AN6" i="17"/>
  <c r="AP6" i="17"/>
  <c r="AR6" i="17"/>
  <c r="AX6" i="17"/>
  <c r="AY6" i="17"/>
  <c r="AZ6" i="17"/>
  <c r="BA6" i="17"/>
  <c r="BF6" i="17" s="1"/>
  <c r="BG6" i="17"/>
  <c r="BI6" i="17"/>
  <c r="BK6" i="17"/>
  <c r="BL6" i="17"/>
  <c r="BM6" i="17"/>
  <c r="BO6" i="17"/>
  <c r="BR6" i="17"/>
  <c r="BT6" i="17"/>
  <c r="BU6" i="17"/>
  <c r="BW6" i="17"/>
  <c r="BY6" i="17"/>
  <c r="CB6" i="17"/>
  <c r="CC6" i="17"/>
  <c r="CE6" i="17"/>
  <c r="CF6" i="17"/>
  <c r="CG6" i="17"/>
  <c r="CH6" i="17"/>
  <c r="CK6" i="17"/>
  <c r="B2" i="17"/>
  <c r="C2" i="17"/>
  <c r="D2" i="17"/>
  <c r="E2" i="17"/>
  <c r="F2" i="17"/>
  <c r="G2" i="17"/>
  <c r="H2" i="17"/>
  <c r="I2" i="17"/>
  <c r="J2" i="17"/>
  <c r="L2" i="17"/>
  <c r="M2" i="17"/>
  <c r="N2" i="17" s="1"/>
  <c r="P2" i="17"/>
  <c r="Q2" i="17"/>
  <c r="W2" i="17"/>
  <c r="Y2" i="17"/>
  <c r="AB2" i="17"/>
  <c r="AD2" i="17"/>
  <c r="AG2" i="17"/>
  <c r="AJ2" i="17"/>
  <c r="AN2" i="17"/>
  <c r="AP2" i="17"/>
  <c r="AR2" i="17"/>
  <c r="AX2" i="17"/>
  <c r="AY2" i="17"/>
  <c r="AZ2" i="17"/>
  <c r="BA2" i="17"/>
  <c r="BG2" i="17"/>
  <c r="BI2" i="17"/>
  <c r="BK2" i="17"/>
  <c r="BL2" i="17"/>
  <c r="BM2" i="17"/>
  <c r="BO2" i="17"/>
  <c r="BR2" i="17"/>
  <c r="BT2" i="17"/>
  <c r="BU2" i="17"/>
  <c r="BW2" i="17"/>
  <c r="BY2" i="17"/>
  <c r="CB2" i="17"/>
  <c r="CC2" i="17"/>
  <c r="CE2" i="17"/>
  <c r="CF2" i="17"/>
  <c r="CG2" i="17"/>
  <c r="CH2" i="17"/>
  <c r="CK2" i="17"/>
  <c r="A2" i="17"/>
  <c r="A3" i="17"/>
  <c r="A4" i="17"/>
  <c r="A5" i="17"/>
  <c r="A6" i="17"/>
  <c r="A7" i="17"/>
  <c r="A8" i="17"/>
  <c r="A9" i="17"/>
  <c r="A10" i="17"/>
  <c r="A11" i="17"/>
  <c r="B10" i="17"/>
  <c r="C10" i="17"/>
  <c r="D10" i="17"/>
  <c r="E10" i="17"/>
  <c r="F10" i="17"/>
  <c r="G10" i="17"/>
  <c r="H10" i="17"/>
  <c r="I10" i="17"/>
  <c r="J10" i="17"/>
  <c r="L10" i="17"/>
  <c r="M10" i="17"/>
  <c r="P10" i="17"/>
  <c r="Q10" i="17"/>
  <c r="W10" i="17"/>
  <c r="Y10" i="17"/>
  <c r="AB10" i="17"/>
  <c r="AD10" i="17"/>
  <c r="AG10" i="17"/>
  <c r="AJ10" i="17"/>
  <c r="AN10" i="17"/>
  <c r="AP10" i="17"/>
  <c r="AR10" i="17"/>
  <c r="AX10" i="17"/>
  <c r="AY10" i="17"/>
  <c r="AZ10" i="17"/>
  <c r="BA10" i="17"/>
  <c r="BF10" i="17" s="1"/>
  <c r="BG10" i="17"/>
  <c r="BI10" i="17"/>
  <c r="BK10" i="17"/>
  <c r="BL10" i="17"/>
  <c r="BM10" i="17"/>
  <c r="BO10" i="17"/>
  <c r="BR10" i="17"/>
  <c r="BT10" i="17"/>
  <c r="BU10" i="17"/>
  <c r="BW10" i="17"/>
  <c r="BY10" i="17"/>
  <c r="CB10" i="17"/>
  <c r="CC10" i="17"/>
  <c r="CE10" i="17"/>
  <c r="CF10" i="17"/>
  <c r="CG10" i="17"/>
  <c r="CH10" i="17"/>
  <c r="CK10" i="17"/>
  <c r="B5" i="6"/>
  <c r="C5" i="6"/>
  <c r="D5" i="6"/>
  <c r="E5" i="6"/>
  <c r="F5" i="6"/>
  <c r="G5" i="6"/>
  <c r="H5" i="6"/>
  <c r="I5" i="6"/>
  <c r="K5" i="6"/>
  <c r="L5" i="6"/>
  <c r="M5" i="6" s="1"/>
  <c r="N5" i="6"/>
  <c r="O5" i="6"/>
  <c r="P5" i="6"/>
  <c r="S5" i="6"/>
  <c r="U5" i="6"/>
  <c r="W5" i="6"/>
  <c r="Y5" i="6"/>
  <c r="AC5" i="6"/>
  <c r="AD5" i="6"/>
  <c r="AG5" i="6"/>
  <c r="AI5" i="6"/>
  <c r="AM5" i="6" s="1"/>
  <c r="AK5" i="6"/>
  <c r="AN5" i="6"/>
  <c r="AP5" i="6"/>
  <c r="AR5" i="6"/>
  <c r="AU5" i="6"/>
  <c r="AW5" i="6"/>
  <c r="AZ5" i="6"/>
  <c r="BB5" i="6"/>
  <c r="BC5" i="6"/>
  <c r="BG5" i="6" s="1"/>
  <c r="BE5" i="6"/>
  <c r="BH5" i="6"/>
  <c r="BJ5" i="6"/>
  <c r="BM5" i="6"/>
  <c r="BO5" i="6"/>
  <c r="BP5" i="6"/>
  <c r="BQ5" i="6"/>
  <c r="BS5" i="6" s="1"/>
  <c r="BU5" i="6"/>
  <c r="BW5" i="6"/>
  <c r="BY5" i="6"/>
  <c r="CC5" i="6"/>
  <c r="CE5" i="6"/>
  <c r="CG5" i="6"/>
  <c r="CI5" i="6"/>
  <c r="CL5" i="6"/>
  <c r="CM5" i="6"/>
  <c r="CO5" i="6" s="1"/>
  <c r="CP5" i="6"/>
  <c r="CT5" i="6"/>
  <c r="CX5" i="6"/>
  <c r="DA5" i="6"/>
  <c r="DB5" i="6"/>
  <c r="DD5" i="6"/>
  <c r="DE5" i="6"/>
  <c r="B2" i="6"/>
  <c r="C2" i="6"/>
  <c r="D2" i="6"/>
  <c r="E2" i="6"/>
  <c r="F2" i="6"/>
  <c r="G2" i="6"/>
  <c r="H2" i="6"/>
  <c r="I2" i="6"/>
  <c r="K2" i="6"/>
  <c r="L2" i="6"/>
  <c r="M2" i="6" s="1"/>
  <c r="N2" i="6"/>
  <c r="O2" i="6"/>
  <c r="P2" i="6"/>
  <c r="S2" i="6"/>
  <c r="U2" i="6"/>
  <c r="W2" i="6"/>
  <c r="Y2" i="6"/>
  <c r="AC2" i="6"/>
  <c r="AD2" i="6"/>
  <c r="AG2" i="6"/>
  <c r="CA2" i="6" s="1"/>
  <c r="AI2" i="6"/>
  <c r="AK2" i="6"/>
  <c r="AN2" i="6"/>
  <c r="AP2" i="6"/>
  <c r="AR2" i="6"/>
  <c r="AU2" i="6"/>
  <c r="AW2" i="6"/>
  <c r="AZ2" i="6"/>
  <c r="BB2" i="6"/>
  <c r="BC2" i="6"/>
  <c r="BG2" i="6" s="1"/>
  <c r="BE2" i="6"/>
  <c r="BH2" i="6"/>
  <c r="BJ2" i="6"/>
  <c r="BM2" i="6"/>
  <c r="BO2" i="6"/>
  <c r="BP2" i="6"/>
  <c r="BQ2" i="6"/>
  <c r="BR2" i="6" s="1"/>
  <c r="BU2" i="6"/>
  <c r="BW2" i="6"/>
  <c r="BY2" i="6"/>
  <c r="CC2" i="6"/>
  <c r="CE2" i="6"/>
  <c r="CG2" i="6"/>
  <c r="CI2" i="6"/>
  <c r="CL2" i="6"/>
  <c r="CM2" i="6"/>
  <c r="CP2" i="6"/>
  <c r="CT2" i="6"/>
  <c r="CX2" i="6"/>
  <c r="DA2" i="6"/>
  <c r="DB2" i="6"/>
  <c r="DD2" i="6"/>
  <c r="DE2" i="6"/>
  <c r="B4" i="6"/>
  <c r="C4" i="6"/>
  <c r="D4" i="6"/>
  <c r="E4" i="6"/>
  <c r="F4" i="6"/>
  <c r="G4" i="6"/>
  <c r="H4" i="6"/>
  <c r="I4" i="6"/>
  <c r="K4" i="6"/>
  <c r="L4" i="6"/>
  <c r="M4" i="6" s="1"/>
  <c r="N4" i="6"/>
  <c r="O4" i="6"/>
  <c r="P4" i="6"/>
  <c r="S4" i="6"/>
  <c r="U4" i="6"/>
  <c r="W4" i="6"/>
  <c r="Y4" i="6"/>
  <c r="AC4" i="6"/>
  <c r="AD4" i="6"/>
  <c r="AG4" i="6"/>
  <c r="CA4" i="6" s="1"/>
  <c r="AI4" i="6"/>
  <c r="AK4" i="6"/>
  <c r="AN4" i="6"/>
  <c r="AP4" i="6"/>
  <c r="AR4" i="6"/>
  <c r="AU4" i="6"/>
  <c r="AW4" i="6"/>
  <c r="AZ4" i="6"/>
  <c r="BB4" i="6"/>
  <c r="BC4" i="6"/>
  <c r="BG4" i="6" s="1"/>
  <c r="BE4" i="6"/>
  <c r="BH4" i="6"/>
  <c r="BJ4" i="6"/>
  <c r="BM4" i="6"/>
  <c r="BO4" i="6"/>
  <c r="BP4" i="6"/>
  <c r="BQ4" i="6"/>
  <c r="BS4" i="6" s="1"/>
  <c r="BU4" i="6"/>
  <c r="BW4" i="6"/>
  <c r="BY4" i="6"/>
  <c r="CC4" i="6"/>
  <c r="CE4" i="6"/>
  <c r="CG4" i="6"/>
  <c r="CI4" i="6"/>
  <c r="CL4" i="6"/>
  <c r="CM4" i="6"/>
  <c r="CP4" i="6"/>
  <c r="CT4" i="6"/>
  <c r="CX4" i="6"/>
  <c r="DA4" i="6"/>
  <c r="DB4" i="6"/>
  <c r="DD4" i="6"/>
  <c r="DE4" i="6"/>
  <c r="B10" i="6"/>
  <c r="C10" i="6"/>
  <c r="D10" i="6"/>
  <c r="E10" i="6"/>
  <c r="F10" i="6"/>
  <c r="G10" i="6"/>
  <c r="H10" i="6"/>
  <c r="I10" i="6"/>
  <c r="K10" i="6"/>
  <c r="BI10" i="6" s="1"/>
  <c r="L10" i="6"/>
  <c r="M10" i="6" s="1"/>
  <c r="N10" i="6"/>
  <c r="O10" i="6"/>
  <c r="P10" i="6"/>
  <c r="S10" i="6"/>
  <c r="U10" i="6"/>
  <c r="W10" i="6"/>
  <c r="Y10" i="6"/>
  <c r="AC10" i="6"/>
  <c r="AD10" i="6"/>
  <c r="AG10" i="6"/>
  <c r="AI10" i="6"/>
  <c r="AK10" i="6"/>
  <c r="AN10" i="6"/>
  <c r="AP10" i="6"/>
  <c r="AR10" i="6"/>
  <c r="AU10" i="6"/>
  <c r="AW10" i="6"/>
  <c r="AZ10" i="6"/>
  <c r="BB10" i="6"/>
  <c r="BC10" i="6"/>
  <c r="BE10" i="6"/>
  <c r="BH10" i="6"/>
  <c r="BJ10" i="6"/>
  <c r="BM10" i="6"/>
  <c r="BO10" i="6"/>
  <c r="BP10" i="6"/>
  <c r="BQ10" i="6"/>
  <c r="BS10" i="6" s="1"/>
  <c r="BU10" i="6"/>
  <c r="BW10" i="6"/>
  <c r="BY10" i="6"/>
  <c r="CC10" i="6"/>
  <c r="CE10" i="6"/>
  <c r="CG10" i="6"/>
  <c r="CI10" i="6"/>
  <c r="CL10" i="6"/>
  <c r="CM10" i="6"/>
  <c r="CP10" i="6"/>
  <c r="CT10" i="6"/>
  <c r="CX10" i="6"/>
  <c r="DA10" i="6"/>
  <c r="DB10" i="6"/>
  <c r="DD10" i="6"/>
  <c r="DE10" i="6"/>
  <c r="B6" i="6"/>
  <c r="C6" i="6"/>
  <c r="D6" i="6"/>
  <c r="E6" i="6"/>
  <c r="F6" i="6"/>
  <c r="G6" i="6"/>
  <c r="H6" i="6"/>
  <c r="I6" i="6"/>
  <c r="K6" i="6"/>
  <c r="BI6" i="6" s="1"/>
  <c r="L6" i="6"/>
  <c r="M6" i="6" s="1"/>
  <c r="N6" i="6"/>
  <c r="O6" i="6"/>
  <c r="P6" i="6"/>
  <c r="S6" i="6"/>
  <c r="U6" i="6"/>
  <c r="W6" i="6"/>
  <c r="Y6" i="6"/>
  <c r="AC6" i="6"/>
  <c r="AD6" i="6"/>
  <c r="AG6" i="6"/>
  <c r="AI6" i="6"/>
  <c r="AK6" i="6"/>
  <c r="AN6" i="6"/>
  <c r="AP6" i="6"/>
  <c r="AR6" i="6"/>
  <c r="AU6" i="6"/>
  <c r="AW6" i="6"/>
  <c r="AZ6" i="6"/>
  <c r="BB6" i="6"/>
  <c r="BC6" i="6"/>
  <c r="BG6" i="6" s="1"/>
  <c r="BE6" i="6"/>
  <c r="BH6" i="6"/>
  <c r="BJ6" i="6"/>
  <c r="BM6" i="6"/>
  <c r="BO6" i="6"/>
  <c r="BP6" i="6"/>
  <c r="BQ6" i="6"/>
  <c r="BR6" i="6" s="1"/>
  <c r="BU6" i="6"/>
  <c r="BW6" i="6"/>
  <c r="BY6" i="6"/>
  <c r="CC6" i="6"/>
  <c r="CE6" i="6"/>
  <c r="CG6" i="6"/>
  <c r="CI6" i="6"/>
  <c r="CL6" i="6"/>
  <c r="CM6" i="6"/>
  <c r="CP6" i="6"/>
  <c r="CT6" i="6"/>
  <c r="CX6" i="6"/>
  <c r="DA6" i="6"/>
  <c r="DB6" i="6"/>
  <c r="DD6" i="6"/>
  <c r="DE6" i="6"/>
  <c r="B11" i="6"/>
  <c r="C11" i="6"/>
  <c r="D11" i="6"/>
  <c r="E11" i="6"/>
  <c r="F11" i="6"/>
  <c r="G11" i="6"/>
  <c r="H11" i="6"/>
  <c r="I11" i="6"/>
  <c r="K11" i="6"/>
  <c r="L11" i="6"/>
  <c r="M11" i="6" s="1"/>
  <c r="N11" i="6"/>
  <c r="O11" i="6"/>
  <c r="P11" i="6"/>
  <c r="S11" i="6"/>
  <c r="T11" i="6" s="1"/>
  <c r="U11" i="6"/>
  <c r="W11" i="6"/>
  <c r="Y11" i="6"/>
  <c r="AC11" i="6"/>
  <c r="AD11" i="6"/>
  <c r="AG11" i="6"/>
  <c r="AI11" i="6"/>
  <c r="AK11" i="6"/>
  <c r="AN11" i="6"/>
  <c r="AP11" i="6"/>
  <c r="AR11" i="6"/>
  <c r="AU11" i="6"/>
  <c r="AW11" i="6"/>
  <c r="AZ11" i="6"/>
  <c r="BA11" i="6" s="1"/>
  <c r="BB11" i="6"/>
  <c r="BC11" i="6"/>
  <c r="BD11" i="6" s="1"/>
  <c r="BE11" i="6"/>
  <c r="BH11" i="6"/>
  <c r="BI11" i="6"/>
  <c r="BJ11" i="6"/>
  <c r="BM11" i="6"/>
  <c r="BO11" i="6"/>
  <c r="BP11" i="6"/>
  <c r="BQ11" i="6"/>
  <c r="BS11" i="6" s="1"/>
  <c r="BT11" i="6" s="1"/>
  <c r="BU11" i="6"/>
  <c r="BW11" i="6"/>
  <c r="BY11" i="6"/>
  <c r="BZ11" i="6" s="1"/>
  <c r="CC11" i="6"/>
  <c r="CE11" i="6"/>
  <c r="CG11" i="6"/>
  <c r="CI11" i="6"/>
  <c r="CL11" i="6"/>
  <c r="CM11" i="6"/>
  <c r="CP11" i="6"/>
  <c r="CT11" i="6"/>
  <c r="CX11" i="6"/>
  <c r="DA11" i="6"/>
  <c r="DB11" i="6"/>
  <c r="DC11" i="6" s="1"/>
  <c r="DD11" i="6"/>
  <c r="DE11" i="6"/>
  <c r="BU3" i="6"/>
  <c r="BU7" i="6"/>
  <c r="BU9" i="6"/>
  <c r="BU8" i="6"/>
  <c r="BY3" i="6"/>
  <c r="BY7" i="6"/>
  <c r="BY9" i="6"/>
  <c r="BQ7" i="6"/>
  <c r="BR7" i="6" s="1"/>
  <c r="BQ3" i="6"/>
  <c r="BR3" i="6" s="1"/>
  <c r="BQ8" i="6"/>
  <c r="BR8" i="6" s="1"/>
  <c r="BQ9" i="6"/>
  <c r="BR9" i="6" s="1"/>
  <c r="BE3" i="6"/>
  <c r="BE8" i="6"/>
  <c r="BE9" i="6"/>
  <c r="BE7" i="6"/>
  <c r="BC3" i="6"/>
  <c r="BG3" i="6" s="1"/>
  <c r="BC8" i="6"/>
  <c r="BG8" i="6" s="1"/>
  <c r="BC9" i="6"/>
  <c r="BG9" i="6" s="1"/>
  <c r="BC7" i="6"/>
  <c r="BG7" i="6" s="1"/>
  <c r="Y3" i="6"/>
  <c r="Y8" i="6"/>
  <c r="Y9" i="6"/>
  <c r="Y7" i="6"/>
  <c r="W3" i="6"/>
  <c r="W8" i="6"/>
  <c r="W9" i="6"/>
  <c r="W7" i="6"/>
  <c r="U7" i="6"/>
  <c r="U3" i="6"/>
  <c r="U8" i="6"/>
  <c r="U9" i="6"/>
  <c r="H3" i="6"/>
  <c r="H8" i="6"/>
  <c r="H9" i="6"/>
  <c r="H7" i="6"/>
  <c r="B9" i="6"/>
  <c r="C9" i="6"/>
  <c r="D9" i="6"/>
  <c r="E9" i="6"/>
  <c r="F9" i="6"/>
  <c r="G9" i="6"/>
  <c r="I9" i="6"/>
  <c r="K9" i="6"/>
  <c r="L9" i="6"/>
  <c r="M9" i="6" s="1"/>
  <c r="N9" i="6"/>
  <c r="O9" i="6"/>
  <c r="P9" i="6"/>
  <c r="S9" i="6"/>
  <c r="AC9" i="6"/>
  <c r="AD9" i="6"/>
  <c r="AG9" i="6"/>
  <c r="AI9" i="6"/>
  <c r="AK9" i="6"/>
  <c r="AN9" i="6"/>
  <c r="AP9" i="6"/>
  <c r="AR9" i="6"/>
  <c r="AU9" i="6"/>
  <c r="AW9" i="6"/>
  <c r="AZ9" i="6"/>
  <c r="BB9" i="6"/>
  <c r="BH9" i="6"/>
  <c r="BJ9" i="6"/>
  <c r="BM9" i="6"/>
  <c r="BO9" i="6"/>
  <c r="BP9" i="6"/>
  <c r="BW9" i="6"/>
  <c r="CC9" i="6"/>
  <c r="CE9" i="6"/>
  <c r="CG9" i="6"/>
  <c r="CI9" i="6"/>
  <c r="CL9" i="6"/>
  <c r="CM9" i="6"/>
  <c r="CP9" i="6"/>
  <c r="CT9" i="6"/>
  <c r="CX9" i="6"/>
  <c r="DA9" i="6"/>
  <c r="DB9" i="6"/>
  <c r="DD9" i="6"/>
  <c r="DE9" i="6"/>
  <c r="DX2" i="16" l="1"/>
  <c r="DU7" i="16"/>
  <c r="DX10" i="16"/>
  <c r="BZ6" i="16"/>
  <c r="DX4" i="16"/>
  <c r="DX6" i="16"/>
  <c r="AR7" i="16"/>
  <c r="BC8" i="16"/>
  <c r="BB8" i="16"/>
  <c r="AS3" i="16"/>
  <c r="X8" i="16"/>
  <c r="AS5" i="16"/>
  <c r="BC2" i="16"/>
  <c r="BB2" i="16"/>
  <c r="X2" i="16"/>
  <c r="BZ4" i="16"/>
  <c r="BZ3" i="16"/>
  <c r="DU3" i="16"/>
  <c r="DX11" i="16"/>
  <c r="BZ10" i="16"/>
  <c r="BZ8" i="16"/>
  <c r="BZ5" i="16"/>
  <c r="DX9" i="16"/>
  <c r="BZ2" i="16"/>
  <c r="BC11" i="16"/>
  <c r="BB11" i="16"/>
  <c r="X11" i="16"/>
  <c r="BE11" i="16"/>
  <c r="BC10" i="16"/>
  <c r="BB10" i="16"/>
  <c r="X10" i="16"/>
  <c r="BE10" i="16"/>
  <c r="BB6" i="16"/>
  <c r="X6" i="16"/>
  <c r="BE6" i="16"/>
  <c r="BC6" i="16"/>
  <c r="BC5" i="16"/>
  <c r="BB5" i="16"/>
  <c r="X5" i="16"/>
  <c r="BE5" i="16"/>
  <c r="BC7" i="16"/>
  <c r="BB7" i="16"/>
  <c r="X7" i="16"/>
  <c r="BE7" i="16"/>
  <c r="DU5" i="16"/>
  <c r="DU8" i="16"/>
  <c r="AR4" i="16"/>
  <c r="AS4" i="16"/>
  <c r="AS9" i="16"/>
  <c r="AR9" i="16"/>
  <c r="AR8" i="16"/>
  <c r="AS8" i="16"/>
  <c r="BZ11" i="16"/>
  <c r="AR2" i="16"/>
  <c r="AS2" i="16"/>
  <c r="AR6" i="16"/>
  <c r="AS6" i="16"/>
  <c r="AR10" i="16"/>
  <c r="AS10" i="16"/>
  <c r="W10" i="15"/>
  <c r="AA10" i="15" s="1"/>
  <c r="CK2" i="15"/>
  <c r="Z10" i="15"/>
  <c r="CQ2" i="15"/>
  <c r="AA5" i="15"/>
  <c r="W11" i="15"/>
  <c r="Z11" i="15"/>
  <c r="AA6" i="15"/>
  <c r="AA11" i="15"/>
  <c r="CK15" i="15"/>
  <c r="CK11" i="15"/>
  <c r="AA12" i="15"/>
  <c r="AO14" i="15"/>
  <c r="W14" i="15"/>
  <c r="AA14" i="15" s="1"/>
  <c r="CS2" i="15"/>
  <c r="CS3" i="15"/>
  <c r="CH4" i="15"/>
  <c r="CK4" i="15"/>
  <c r="CQ11" i="15"/>
  <c r="CS11" i="15" s="1"/>
  <c r="CF13" i="15"/>
  <c r="CB9" i="15"/>
  <c r="AA2" i="15"/>
  <c r="CK12" i="15"/>
  <c r="CS6" i="15"/>
  <c r="Z4" i="15"/>
  <c r="W4" i="15"/>
  <c r="AA4" i="15" s="1"/>
  <c r="AO4" i="15"/>
  <c r="AA15" i="15"/>
  <c r="CQ12" i="15"/>
  <c r="CS12" i="15" s="1"/>
  <c r="CQ10" i="15"/>
  <c r="CS10" i="15" s="1"/>
  <c r="CH10" i="15"/>
  <c r="CQ8" i="15"/>
  <c r="CS8" i="15" s="1"/>
  <c r="CH8" i="15"/>
  <c r="AA7" i="15"/>
  <c r="CH6" i="15"/>
  <c r="CK6" i="15"/>
  <c r="CH7" i="15"/>
  <c r="CK7" i="15"/>
  <c r="CQ7" i="15"/>
  <c r="CS7" i="15" s="1"/>
  <c r="CH14" i="15"/>
  <c r="CK14" i="15"/>
  <c r="CQ14" i="15"/>
  <c r="CS14" i="15" s="1"/>
  <c r="CK8" i="15"/>
  <c r="AA3" i="15"/>
  <c r="CQ15" i="15"/>
  <c r="CS15" i="15" s="1"/>
  <c r="CK10" i="15"/>
  <c r="AA8" i="15"/>
  <c r="CF9" i="15"/>
  <c r="BX7" i="10"/>
  <c r="BU5" i="10"/>
  <c r="AG2" i="10"/>
  <c r="CC2" i="10"/>
  <c r="BX9" i="10"/>
  <c r="BX2" i="10"/>
  <c r="CI5" i="10"/>
  <c r="CL5" i="10"/>
  <c r="CM5" i="10" s="1"/>
  <c r="CE8" i="10"/>
  <c r="CE5" i="10"/>
  <c r="K2" i="10"/>
  <c r="K9" i="10"/>
  <c r="K11" i="10"/>
  <c r="AG6" i="10"/>
  <c r="K8" i="10"/>
  <c r="BY8" i="10"/>
  <c r="CC6" i="10"/>
  <c r="K7" i="10"/>
  <c r="K4" i="10"/>
  <c r="CL8" i="10"/>
  <c r="CM8" i="10" s="1"/>
  <c r="K5" i="10"/>
  <c r="CE4" i="10"/>
  <c r="BU4" i="10"/>
  <c r="BY2" i="10"/>
  <c r="CL4" i="10"/>
  <c r="CM4" i="10" s="1"/>
  <c r="DT8" i="10"/>
  <c r="CI4" i="10"/>
  <c r="DO10" i="10"/>
  <c r="DT10" i="10"/>
  <c r="CI9" i="10"/>
  <c r="CL9" i="10"/>
  <c r="CM9" i="10" s="1"/>
  <c r="BY9" i="10"/>
  <c r="CE9" i="10"/>
  <c r="CI10" i="10"/>
  <c r="CL10" i="10"/>
  <c r="CM10" i="10" s="1"/>
  <c r="CE10" i="10"/>
  <c r="BY10" i="10"/>
  <c r="BU9" i="10"/>
  <c r="CC8" i="10"/>
  <c r="AF8" i="10"/>
  <c r="DO11" i="10"/>
  <c r="DT11" i="10"/>
  <c r="AF4" i="10"/>
  <c r="CC4" i="10"/>
  <c r="BY11" i="10"/>
  <c r="CL11" i="10"/>
  <c r="CM11" i="10" s="1"/>
  <c r="CE11" i="10"/>
  <c r="CI11" i="10"/>
  <c r="BU10" i="10"/>
  <c r="DO7" i="10"/>
  <c r="DT7" i="10"/>
  <c r="CI7" i="10"/>
  <c r="CL7" i="10"/>
  <c r="CM7" i="10" s="1"/>
  <c r="CE7" i="10"/>
  <c r="BY7" i="10"/>
  <c r="AG4" i="10"/>
  <c r="AF5" i="10"/>
  <c r="AG5" i="10"/>
  <c r="CC5" i="10"/>
  <c r="DO9" i="10"/>
  <c r="DT9" i="10"/>
  <c r="BX6" i="10"/>
  <c r="BF10" i="2"/>
  <c r="AU9" i="2"/>
  <c r="AV9" i="2" s="1"/>
  <c r="BF2" i="2"/>
  <c r="BF11" i="2"/>
  <c r="K2" i="2"/>
  <c r="AU6" i="2"/>
  <c r="AV6" i="2" s="1"/>
  <c r="BF3" i="2"/>
  <c r="K3" i="2"/>
  <c r="AR5" i="2"/>
  <c r="K8" i="2"/>
  <c r="K11" i="2"/>
  <c r="K4" i="2"/>
  <c r="K5" i="2"/>
  <c r="K9" i="2"/>
  <c r="K10" i="2"/>
  <c r="BF8" i="2"/>
  <c r="K6" i="2"/>
  <c r="BF5" i="2"/>
  <c r="AR11" i="2"/>
  <c r="AU11" i="2"/>
  <c r="AV11" i="2" s="1"/>
  <c r="BF9" i="2"/>
  <c r="AU10" i="2"/>
  <c r="AV10" i="2" s="1"/>
  <c r="AR10" i="2"/>
  <c r="AR8" i="2"/>
  <c r="AU8" i="2"/>
  <c r="AV8" i="2" s="1"/>
  <c r="AV9" i="17"/>
  <c r="AV3" i="17"/>
  <c r="W2" i="19"/>
  <c r="G9" i="19"/>
  <c r="G4" i="19"/>
  <c r="G11" i="19"/>
  <c r="G2" i="19"/>
  <c r="G7" i="19"/>
  <c r="G8" i="19"/>
  <c r="G6" i="19"/>
  <c r="G5" i="19"/>
  <c r="AV4" i="17"/>
  <c r="BE3" i="17"/>
  <c r="AV8" i="17"/>
  <c r="BE4" i="17"/>
  <c r="K8" i="17"/>
  <c r="CJ7" i="17"/>
  <c r="K3" i="17"/>
  <c r="CJ3" i="17"/>
  <c r="K7" i="17"/>
  <c r="CJ8" i="17"/>
  <c r="K9" i="17"/>
  <c r="K4" i="17"/>
  <c r="CJ9" i="17"/>
  <c r="BE7" i="17"/>
  <c r="CJ4" i="17"/>
  <c r="BD7" i="2"/>
  <c r="DT6" i="10"/>
  <c r="K6" i="10"/>
  <c r="CI6" i="10"/>
  <c r="CL6" i="10"/>
  <c r="CM6" i="10" s="1"/>
  <c r="BY6" i="10"/>
  <c r="CE6" i="10"/>
  <c r="BC9" i="18"/>
  <c r="P10" i="19"/>
  <c r="M10" i="19"/>
  <c r="J10" i="19"/>
  <c r="O10" i="19"/>
  <c r="G10" i="19"/>
  <c r="V10" i="19"/>
  <c r="R10" i="19"/>
  <c r="DB7" i="2"/>
  <c r="AH7" i="2"/>
  <c r="BA7" i="2"/>
  <c r="AL7" i="2"/>
  <c r="R7" i="2"/>
  <c r="CW7" i="2"/>
  <c r="CS7" i="2"/>
  <c r="CF7" i="2"/>
  <c r="BN7" i="2"/>
  <c r="CY7" i="2"/>
  <c r="BZ7" i="2"/>
  <c r="CH7" i="2"/>
  <c r="CM7" i="2"/>
  <c r="U7" i="2"/>
  <c r="DC7" i="2"/>
  <c r="AO7" i="2"/>
  <c r="AU7" i="2"/>
  <c r="AV7" i="2" s="1"/>
  <c r="AR7" i="2"/>
  <c r="CK7" i="2"/>
  <c r="BK7" i="2"/>
  <c r="AK7" i="2"/>
  <c r="AM7" i="2"/>
  <c r="AX7" i="2"/>
  <c r="CU7" i="2"/>
  <c r="BU7" i="2"/>
  <c r="AT7" i="2"/>
  <c r="BR7" i="2"/>
  <c r="BS7" i="2" s="1"/>
  <c r="CP7" i="2"/>
  <c r="Y7" i="2"/>
  <c r="CN7" i="2"/>
  <c r="CO7" i="2" s="1"/>
  <c r="W7" i="2"/>
  <c r="BO7" i="2"/>
  <c r="CD7" i="2"/>
  <c r="AW7" i="2"/>
  <c r="CQ7" i="2"/>
  <c r="BV7" i="2"/>
  <c r="Z7" i="2"/>
  <c r="BE7" i="2"/>
  <c r="CJ7" i="2"/>
  <c r="CK3" i="10"/>
  <c r="BB3" i="10"/>
  <c r="DI3" i="10"/>
  <c r="AI3" i="10"/>
  <c r="AU3" i="10"/>
  <c r="AM3" i="10"/>
  <c r="ED3" i="10"/>
  <c r="AE3" i="10"/>
  <c r="CW3" i="10"/>
  <c r="BE3" i="10"/>
  <c r="CH3" i="10"/>
  <c r="DN3" i="10"/>
  <c r="DO3" i="10" s="1"/>
  <c r="EB3" i="10"/>
  <c r="EF3" i="10"/>
  <c r="DK3" i="10"/>
  <c r="CP3" i="10"/>
  <c r="AK3" i="10"/>
  <c r="BA3" i="10"/>
  <c r="AS3" i="10"/>
  <c r="AH3" i="10"/>
  <c r="R3" i="10"/>
  <c r="AJ3" i="10"/>
  <c r="DL3" i="10"/>
  <c r="EA3" i="10"/>
  <c r="DG3" i="10"/>
  <c r="DU3" i="10"/>
  <c r="DV3" i="10" s="1"/>
  <c r="DY3" i="10"/>
  <c r="DD3" i="10"/>
  <c r="DE3" i="10"/>
  <c r="BO3" i="10"/>
  <c r="AV3" i="10"/>
  <c r="DB3" i="10"/>
  <c r="CG3" i="10"/>
  <c r="Z3" i="10"/>
  <c r="DW3" i="10"/>
  <c r="BV3" i="10"/>
  <c r="BM3" i="10"/>
  <c r="W3" i="10"/>
  <c r="CY3" i="10"/>
  <c r="DR3" i="10"/>
  <c r="BK3" i="10"/>
  <c r="DQ3" i="10"/>
  <c r="T3" i="10"/>
  <c r="CV3" i="10"/>
  <c r="AO3" i="10"/>
  <c r="AQ3" i="10" s="1"/>
  <c r="S3" i="10"/>
  <c r="CT3" i="10"/>
  <c r="CR3" i="10"/>
  <c r="BF3" i="10"/>
  <c r="BH3" i="10"/>
  <c r="BI3" i="10" s="1"/>
  <c r="EH3" i="10"/>
  <c r="CQ3" i="10"/>
  <c r="BW3" i="10"/>
  <c r="CN3" i="10"/>
  <c r="BT5" i="11"/>
  <c r="CK5" i="11" s="1"/>
  <c r="CO5" i="11" s="1"/>
  <c r="BS5" i="11"/>
  <c r="CS2" i="11"/>
  <c r="BB6" i="11"/>
  <c r="CN11" i="11"/>
  <c r="AL2" i="11"/>
  <c r="BC6" i="11"/>
  <c r="BN5" i="11"/>
  <c r="BL5" i="11"/>
  <c r="CS5" i="11"/>
  <c r="BT8" i="11"/>
  <c r="CK8" i="11" s="1"/>
  <c r="CO8" i="11" s="1"/>
  <c r="CG9" i="11"/>
  <c r="BC11" i="11"/>
  <c r="BV2" i="11"/>
  <c r="CE9" i="11"/>
  <c r="AC9" i="11"/>
  <c r="R11" i="11"/>
  <c r="BX6" i="11"/>
  <c r="AO6" i="11"/>
  <c r="T5" i="11"/>
  <c r="AV9" i="11"/>
  <c r="AW9" i="11" s="1"/>
  <c r="AC7" i="11"/>
  <c r="AZ5" i="11"/>
  <c r="CS8" i="11"/>
  <c r="BI8" i="11"/>
  <c r="X8" i="11"/>
  <c r="BJ8" i="11"/>
  <c r="BT4" i="11"/>
  <c r="CK4" i="11" s="1"/>
  <c r="CO4" i="11" s="1"/>
  <c r="AL4" i="11"/>
  <c r="AC4" i="11"/>
  <c r="BB8" i="11"/>
  <c r="W9" i="11"/>
  <c r="AC6" i="11"/>
  <c r="AN11" i="11"/>
  <c r="CJ2" i="11"/>
  <c r="BG2" i="11"/>
  <c r="AL11" i="11"/>
  <c r="BE2" i="11"/>
  <c r="W5" i="11"/>
  <c r="CX11" i="11"/>
  <c r="AI11" i="11"/>
  <c r="CG2" i="11"/>
  <c r="AO8" i="11"/>
  <c r="BN11" i="11"/>
  <c r="AG11" i="11"/>
  <c r="BB2" i="11"/>
  <c r="CX8" i="11"/>
  <c r="BL11" i="11"/>
  <c r="AZ2" i="11"/>
  <c r="BV6" i="11"/>
  <c r="CU8" i="11"/>
  <c r="AT9" i="11"/>
  <c r="CO11" i="11"/>
  <c r="BX2" i="11"/>
  <c r="BL8" i="11"/>
  <c r="CJ11" i="11"/>
  <c r="X11" i="11"/>
  <c r="AV5" i="11"/>
  <c r="AW5" i="11" s="1"/>
  <c r="BE11" i="11"/>
  <c r="BT2" i="11"/>
  <c r="CK2" i="11" s="1"/>
  <c r="BG6" i="11"/>
  <c r="BB7" i="11"/>
  <c r="AC10" i="11"/>
  <c r="CE11" i="11"/>
  <c r="AZ11" i="11"/>
  <c r="CX2" i="11"/>
  <c r="CG8" i="11"/>
  <c r="CO6" i="11"/>
  <c r="CE8" i="11"/>
  <c r="T8" i="11"/>
  <c r="BV9" i="11"/>
  <c r="BN2" i="11"/>
  <c r="AI2" i="11"/>
  <c r="AV7" i="11"/>
  <c r="AW7" i="11" s="1"/>
  <c r="AC8" i="11"/>
  <c r="BZ11" i="11"/>
  <c r="CE6" i="11"/>
  <c r="AE5" i="11"/>
  <c r="AZ8" i="11"/>
  <c r="BL7" i="11"/>
  <c r="AC2" i="11"/>
  <c r="BI9" i="11"/>
  <c r="AO7" i="11"/>
  <c r="BS4" i="11"/>
  <c r="AE7" i="11"/>
  <c r="AE6" i="11"/>
  <c r="AE8" i="11"/>
  <c r="T6" i="11"/>
  <c r="AO5" i="11"/>
  <c r="R9" i="11"/>
  <c r="AW11" i="11"/>
  <c r="R2" i="11"/>
  <c r="CU6" i="11"/>
  <c r="BS6" i="11"/>
  <c r="BI7" i="11"/>
  <c r="BS9" i="11"/>
  <c r="AL9" i="11"/>
  <c r="CN7" i="11"/>
  <c r="BG7" i="11"/>
  <c r="AI4" i="11"/>
  <c r="CS6" i="11"/>
  <c r="W8" i="11"/>
  <c r="AI9" i="11"/>
  <c r="CJ7" i="11"/>
  <c r="CS4" i="11"/>
  <c r="BN4" i="11"/>
  <c r="AG4" i="11"/>
  <c r="BN6" i="11"/>
  <c r="AI6" i="11"/>
  <c r="BG5" i="11"/>
  <c r="AG9" i="11"/>
  <c r="BC7" i="11"/>
  <c r="BL4" i="11"/>
  <c r="AE4" i="11"/>
  <c r="CS11" i="11"/>
  <c r="BL2" i="11"/>
  <c r="CN6" i="11"/>
  <c r="CG5" i="11"/>
  <c r="X5" i="11"/>
  <c r="BV8" i="11"/>
  <c r="CX9" i="11"/>
  <c r="CG7" i="11"/>
  <c r="CN4" i="11"/>
  <c r="BI4" i="11"/>
  <c r="CU11" i="11"/>
  <c r="BJ2" i="11"/>
  <c r="BI6" i="11"/>
  <c r="CE5" i="11"/>
  <c r="BB5" i="11"/>
  <c r="CE7" i="11"/>
  <c r="CJ4" i="11"/>
  <c r="BE4" i="11"/>
  <c r="CG6" i="11"/>
  <c r="BZ5" i="11"/>
  <c r="BG9" i="11"/>
  <c r="CA7" i="11"/>
  <c r="CG4" i="11"/>
  <c r="BB4" i="11"/>
  <c r="AT5" i="11"/>
  <c r="BG8" i="11"/>
  <c r="AD9" i="11"/>
  <c r="BZ7" i="11"/>
  <c r="T7" i="11"/>
  <c r="CE4" i="11"/>
  <c r="AD4" i="11"/>
  <c r="AE11" i="11"/>
  <c r="X6" i="11"/>
  <c r="BB9" i="11"/>
  <c r="BT7" i="11"/>
  <c r="CK7" i="11" s="1"/>
  <c r="AN5" i="11"/>
  <c r="K2" i="11"/>
  <c r="AN7" i="11"/>
  <c r="BZ4" i="11"/>
  <c r="AT4" i="11"/>
  <c r="T4" i="11"/>
  <c r="BC8" i="11"/>
  <c r="AD8" i="11"/>
  <c r="CS9" i="11"/>
  <c r="BT9" i="11"/>
  <c r="CK9" i="11" s="1"/>
  <c r="CO9" i="11" s="1"/>
  <c r="AG7" i="11"/>
  <c r="BC2" i="11"/>
  <c r="X9" i="11"/>
  <c r="W4" i="11"/>
  <c r="AD2" i="11"/>
  <c r="CA5" i="11"/>
  <c r="BI5" i="11"/>
  <c r="AW8" i="11"/>
  <c r="CN9" i="11"/>
  <c r="BX7" i="11"/>
  <c r="BS2" i="11"/>
  <c r="CJ6" i="11"/>
  <c r="BL6" i="11"/>
  <c r="R6" i="11"/>
  <c r="AL5" i="11"/>
  <c r="R5" i="11"/>
  <c r="CN8" i="11"/>
  <c r="AT8" i="11"/>
  <c r="CJ9" i="11"/>
  <c r="AO9" i="11"/>
  <c r="T9" i="11"/>
  <c r="CU7" i="11"/>
  <c r="AZ7" i="11"/>
  <c r="BS11" i="11"/>
  <c r="AT11" i="11"/>
  <c r="AD11" i="11"/>
  <c r="X2" i="11"/>
  <c r="AJ6" i="11"/>
  <c r="AI5" i="11"/>
  <c r="CJ8" i="11"/>
  <c r="BP8" i="11"/>
  <c r="BN9" i="11"/>
  <c r="AJ4" i="11"/>
  <c r="CN2" i="11"/>
  <c r="BP2" i="11"/>
  <c r="AG6" i="11"/>
  <c r="CX5" i="11"/>
  <c r="BX5" i="11"/>
  <c r="AG5" i="11"/>
  <c r="BL9" i="11"/>
  <c r="CS7" i="11"/>
  <c r="BS7" i="11"/>
  <c r="R4" i="11"/>
  <c r="BV11" i="11"/>
  <c r="W11" i="11"/>
  <c r="T2" i="11"/>
  <c r="CU5" i="11"/>
  <c r="BV5" i="11"/>
  <c r="BE5" i="11"/>
  <c r="AT7" i="11"/>
  <c r="AN2" i="11"/>
  <c r="AD6" i="11"/>
  <c r="BC5" i="11"/>
  <c r="AD5" i="11"/>
  <c r="AJ9" i="11"/>
  <c r="W7" i="11"/>
  <c r="BG4" i="11"/>
  <c r="AN8" i="11"/>
  <c r="BV7" i="11"/>
  <c r="AJ11" i="11"/>
  <c r="CN5" i="11"/>
  <c r="CA8" i="11"/>
  <c r="AL8" i="11"/>
  <c r="R8" i="11"/>
  <c r="CG11" i="11"/>
  <c r="BG11" i="11"/>
  <c r="CE2" i="11"/>
  <c r="BZ6" i="11"/>
  <c r="AZ6" i="11"/>
  <c r="CJ5" i="11"/>
  <c r="BZ8" i="11"/>
  <c r="AI8" i="11"/>
  <c r="R7" i="11"/>
  <c r="BP5" i="11"/>
  <c r="AG8" i="11"/>
  <c r="BZ9" i="11"/>
  <c r="CV4" i="11"/>
  <c r="BX4" i="11"/>
  <c r="AZ4" i="11"/>
  <c r="BB11" i="11"/>
  <c r="CA2" i="11"/>
  <c r="AG2" i="11"/>
  <c r="CX6" i="11"/>
  <c r="AT6" i="11"/>
  <c r="BX8" i="11"/>
  <c r="BE8" i="11"/>
  <c r="CU9" i="11"/>
  <c r="BX9" i="11"/>
  <c r="AZ9" i="11"/>
  <c r="AI7" i="11"/>
  <c r="AT2" i="11"/>
  <c r="CL4" i="11"/>
  <c r="BP11" i="11"/>
  <c r="AN6" i="11"/>
  <c r="AO4" i="11"/>
  <c r="AN4" i="11"/>
  <c r="BE9" i="11"/>
  <c r="BJ9" i="11"/>
  <c r="BE7" i="11"/>
  <c r="BJ7" i="11"/>
  <c r="K4" i="11"/>
  <c r="K7" i="11"/>
  <c r="BE6" i="11"/>
  <c r="BJ6" i="11"/>
  <c r="CL8" i="11"/>
  <c r="K9" i="11"/>
  <c r="BJ11" i="11"/>
  <c r="K6" i="11"/>
  <c r="CL9" i="11"/>
  <c r="AU7" i="11"/>
  <c r="CL5" i="11"/>
  <c r="AJ2" i="11"/>
  <c r="AU9" i="11"/>
  <c r="X7" i="11"/>
  <c r="K11" i="11"/>
  <c r="AU8" i="11"/>
  <c r="AO11" i="11"/>
  <c r="AV2" i="11"/>
  <c r="AW2" i="11" s="1"/>
  <c r="AV6" i="11"/>
  <c r="AW6" i="11" s="1"/>
  <c r="AU5" i="11"/>
  <c r="CU2" i="11"/>
  <c r="AN9" i="11"/>
  <c r="BP6" i="11"/>
  <c r="BP9" i="11"/>
  <c r="BP7" i="11"/>
  <c r="BP4" i="11"/>
  <c r="K5" i="11"/>
  <c r="K8" i="11"/>
  <c r="AV4" i="11"/>
  <c r="BJ4" i="11"/>
  <c r="CV5" i="11"/>
  <c r="AJ5" i="11"/>
  <c r="CV8" i="11"/>
  <c r="AJ8" i="11"/>
  <c r="DW16" i="15"/>
  <c r="BH16" i="15"/>
  <c r="CB16" i="15"/>
  <c r="CE9" i="15"/>
  <c r="CA16" i="15"/>
  <c r="DK16" i="15"/>
  <c r="CE16" i="15"/>
  <c r="DK9" i="15"/>
  <c r="DK13" i="15"/>
  <c r="BS9" i="15"/>
  <c r="AF9" i="15"/>
  <c r="CE13" i="15"/>
  <c r="BB16" i="15"/>
  <c r="CM16" i="15"/>
  <c r="BH9" i="15"/>
  <c r="DE16" i="15"/>
  <c r="DF16" i="15" s="1"/>
  <c r="CA9" i="15"/>
  <c r="CF16" i="15"/>
  <c r="BF16" i="15"/>
  <c r="BY16" i="15"/>
  <c r="BY9" i="15"/>
  <c r="AT16" i="15"/>
  <c r="CW9" i="15"/>
  <c r="CU9" i="15"/>
  <c r="DQ9" i="15"/>
  <c r="CB13" i="15"/>
  <c r="BB9" i="15"/>
  <c r="AT9" i="15"/>
  <c r="CP16" i="15"/>
  <c r="CR16" i="15"/>
  <c r="AN9" i="15"/>
  <c r="AO9" i="15"/>
  <c r="W9" i="15"/>
  <c r="CM9" i="15"/>
  <c r="DN9" i="15"/>
  <c r="CP9" i="15"/>
  <c r="BD9" i="15"/>
  <c r="BI16" i="15"/>
  <c r="BJ16" i="15" s="1"/>
  <c r="Q16" i="15"/>
  <c r="AM16" i="15" s="1"/>
  <c r="AZ9" i="15"/>
  <c r="AC9" i="15"/>
  <c r="V13" i="15"/>
  <c r="V16" i="15"/>
  <c r="W16" i="15" s="1"/>
  <c r="EB9" i="15"/>
  <c r="BU9" i="15"/>
  <c r="DZ9" i="15"/>
  <c r="N9" i="15"/>
  <c r="DW9" i="15"/>
  <c r="BP9" i="15"/>
  <c r="AQ9" i="15"/>
  <c r="BP16" i="15"/>
  <c r="CY9" i="15"/>
  <c r="DC16" i="15"/>
  <c r="CZ16" i="15"/>
  <c r="BN16" i="15"/>
  <c r="DR9" i="15"/>
  <c r="CR9" i="15"/>
  <c r="BU16" i="15"/>
  <c r="BR16" i="15"/>
  <c r="BR9" i="15"/>
  <c r="AV9" i="15"/>
  <c r="AE16" i="15"/>
  <c r="CJ16" i="15"/>
  <c r="DZ16" i="15"/>
  <c r="DH16" i="15"/>
  <c r="Y16" i="15"/>
  <c r="DN16" i="15"/>
  <c r="AC16" i="15"/>
  <c r="AZ16" i="15"/>
  <c r="DU9" i="15"/>
  <c r="DV9" i="15"/>
  <c r="BN9" i="15"/>
  <c r="Q9" i="15"/>
  <c r="AM9" i="15" s="1"/>
  <c r="DU16" i="15"/>
  <c r="Y9" i="15"/>
  <c r="BD16" i="15"/>
  <c r="BW16" i="15"/>
  <c r="CY16" i="15"/>
  <c r="BA16" i="15"/>
  <c r="CU16" i="15"/>
  <c r="CG9" i="15"/>
  <c r="CH9" i="15" s="1"/>
  <c r="BF9" i="15"/>
  <c r="CO16" i="15"/>
  <c r="BS16" i="15"/>
  <c r="EB16" i="15"/>
  <c r="AQ16" i="15"/>
  <c r="N16" i="15"/>
  <c r="DC9" i="15"/>
  <c r="BA9" i="15"/>
  <c r="AE9" i="15"/>
  <c r="CZ9" i="15"/>
  <c r="BW9" i="15"/>
  <c r="CJ9" i="15"/>
  <c r="AU9" i="15"/>
  <c r="BI9" i="15"/>
  <c r="BJ9" i="15" s="1"/>
  <c r="Z9" i="15"/>
  <c r="T9" i="15"/>
  <c r="S9" i="15"/>
  <c r="DH9" i="15"/>
  <c r="R9" i="15"/>
  <c r="CO9" i="15"/>
  <c r="AF16" i="15"/>
  <c r="AU16" i="15"/>
  <c r="AV16" i="15"/>
  <c r="DR16" i="15"/>
  <c r="DQ16" i="15"/>
  <c r="T16" i="15"/>
  <c r="S16" i="15"/>
  <c r="CW16" i="15"/>
  <c r="CG16" i="15"/>
  <c r="R16" i="15"/>
  <c r="BC10" i="18"/>
  <c r="BC8" i="18"/>
  <c r="BC6" i="18"/>
  <c r="BC2" i="18"/>
  <c r="BC7" i="18"/>
  <c r="BC4" i="18"/>
  <c r="BC5" i="18"/>
  <c r="BC3" i="18"/>
  <c r="BC12" i="18"/>
  <c r="BC11" i="18"/>
  <c r="CS9" i="14"/>
  <c r="BF9" i="14"/>
  <c r="CM9" i="14"/>
  <c r="AU9" i="14"/>
  <c r="AX11" i="14"/>
  <c r="BS2" i="14"/>
  <c r="AX3" i="14"/>
  <c r="BP9" i="14"/>
  <c r="BG2" i="14"/>
  <c r="CU9" i="14"/>
  <c r="Z11" i="14"/>
  <c r="BZ11" i="14"/>
  <c r="V2" i="14"/>
  <c r="BW2" i="14"/>
  <c r="BV2" i="14" s="1"/>
  <c r="S2" i="14"/>
  <c r="CW9" i="14"/>
  <c r="BB9" i="14"/>
  <c r="AZ9" i="14"/>
  <c r="AS9" i="14"/>
  <c r="R2" i="14"/>
  <c r="AS11" i="14"/>
  <c r="AQ11" i="14"/>
  <c r="BG9" i="14"/>
  <c r="AU2" i="14"/>
  <c r="AO11" i="14"/>
  <c r="AJ11" i="14"/>
  <c r="CY9" i="14"/>
  <c r="AF11" i="14"/>
  <c r="AX9" i="14"/>
  <c r="DA11" i="14"/>
  <c r="BP11" i="14"/>
  <c r="CY11" i="14"/>
  <c r="BB11" i="14"/>
  <c r="CW11" i="14"/>
  <c r="DA2" i="14"/>
  <c r="CU11" i="14"/>
  <c r="V11" i="14"/>
  <c r="BW9" i="14"/>
  <c r="BV9" i="14" s="1"/>
  <c r="CS11" i="14"/>
  <c r="S11" i="14"/>
  <c r="CW2" i="14"/>
  <c r="BB2" i="14"/>
  <c r="R11" i="14"/>
  <c r="BS9" i="14"/>
  <c r="AV9" i="14"/>
  <c r="AW9" i="14" s="1"/>
  <c r="Z9" i="14"/>
  <c r="BX2" i="14"/>
  <c r="AS2" i="14"/>
  <c r="BS11" i="14"/>
  <c r="AF2" i="14"/>
  <c r="CU2" i="14"/>
  <c r="AA11" i="14"/>
  <c r="AB11" i="14" s="1"/>
  <c r="CD9" i="14"/>
  <c r="AJ9" i="14"/>
  <c r="CS2" i="14"/>
  <c r="AA2" i="14"/>
  <c r="Y2" i="14"/>
  <c r="Z2" i="14" s="1"/>
  <c r="CM11" i="14"/>
  <c r="BF11" i="14"/>
  <c r="X11" i="14"/>
  <c r="AF9" i="14"/>
  <c r="X2" i="14"/>
  <c r="BD11" i="14"/>
  <c r="CD11" i="14"/>
  <c r="AZ11" i="14"/>
  <c r="BZ9" i="14"/>
  <c r="X9" i="14"/>
  <c r="CJ2" i="14"/>
  <c r="CK2" i="14" s="1"/>
  <c r="BD9" i="14"/>
  <c r="BF2" i="14"/>
  <c r="BX9" i="14"/>
  <c r="BD2" i="14"/>
  <c r="DA9" i="14"/>
  <c r="BA9" i="14"/>
  <c r="BN9" i="14" s="1"/>
  <c r="S9" i="14"/>
  <c r="AX8" i="14"/>
  <c r="AB9" i="14"/>
  <c r="AC9" i="14"/>
  <c r="CG2" i="14"/>
  <c r="AG11" i="14"/>
  <c r="AH11" i="14" s="1"/>
  <c r="R9" i="14"/>
  <c r="AQ2" i="14"/>
  <c r="AO2" i="14"/>
  <c r="AV11" i="14"/>
  <c r="AW11" i="14" s="1"/>
  <c r="AG9" i="14"/>
  <c r="AH9" i="14" s="1"/>
  <c r="CQ11" i="14"/>
  <c r="BK11" i="14"/>
  <c r="BL11" i="14" s="1"/>
  <c r="BM11" i="14" s="1"/>
  <c r="AU11" i="14"/>
  <c r="CY2" i="14"/>
  <c r="CP11" i="14"/>
  <c r="CQ9" i="14"/>
  <c r="BK9" i="14"/>
  <c r="BL9" i="14" s="1"/>
  <c r="BM9" i="14" s="1"/>
  <c r="CP9" i="14"/>
  <c r="BA2" i="14"/>
  <c r="BN2" i="14" s="1"/>
  <c r="BX11" i="14"/>
  <c r="BP2" i="14"/>
  <c r="AZ2" i="14"/>
  <c r="AJ2" i="14"/>
  <c r="BW11" i="14"/>
  <c r="BV11" i="14" s="1"/>
  <c r="BG11" i="14"/>
  <c r="CE2" i="14"/>
  <c r="CF2" i="14" s="1"/>
  <c r="CD2" i="14"/>
  <c r="AX2" i="14"/>
  <c r="CM2" i="14"/>
  <c r="AG2" i="14"/>
  <c r="AH2" i="14" s="1"/>
  <c r="CJ11" i="14"/>
  <c r="CK11" i="14" s="1"/>
  <c r="AO9" i="14"/>
  <c r="AV2" i="14"/>
  <c r="AW2" i="14" s="1"/>
  <c r="CJ9" i="14"/>
  <c r="CK9" i="14" s="1"/>
  <c r="CQ2" i="14"/>
  <c r="BZ2" i="14"/>
  <c r="BA11" i="14"/>
  <c r="BN11" i="14" s="1"/>
  <c r="V9" i="14"/>
  <c r="AX5" i="14"/>
  <c r="AX6" i="14"/>
  <c r="AX7" i="14"/>
  <c r="AX10" i="14"/>
  <c r="AF10" i="14"/>
  <c r="BS3" i="14"/>
  <c r="BS4" i="14"/>
  <c r="BS7" i="14"/>
  <c r="BS6" i="14"/>
  <c r="BS8" i="14"/>
  <c r="CW8" i="14"/>
  <c r="AF3" i="14"/>
  <c r="CJ10" i="14"/>
  <c r="CK10" i="14" s="1"/>
  <c r="BS10" i="14"/>
  <c r="BS5" i="14"/>
  <c r="CQ8" i="14"/>
  <c r="CQ10" i="14"/>
  <c r="CQ7" i="14"/>
  <c r="CQ5" i="14"/>
  <c r="CQ3" i="14"/>
  <c r="CU7" i="14"/>
  <c r="CJ5" i="14"/>
  <c r="CK5" i="14" s="1"/>
  <c r="CJ7" i="14"/>
  <c r="CK7" i="14" s="1"/>
  <c r="AK3" i="14"/>
  <c r="AL3" i="14" s="1"/>
  <c r="CJ3" i="14"/>
  <c r="CK3" i="14" s="1"/>
  <c r="CJ8" i="14"/>
  <c r="CK8" i="14" s="1"/>
  <c r="CJ6" i="14"/>
  <c r="CK6" i="14" s="1"/>
  <c r="CJ4" i="14"/>
  <c r="CU8" i="14"/>
  <c r="BF3" i="14"/>
  <c r="BZ3" i="14"/>
  <c r="BX10" i="14"/>
  <c r="BX3" i="14"/>
  <c r="BX5" i="14"/>
  <c r="BX6" i="14"/>
  <c r="BX8" i="14"/>
  <c r="BX7" i="14"/>
  <c r="BP8" i="14"/>
  <c r="CM8" i="14"/>
  <c r="AZ8" i="14"/>
  <c r="AQ3" i="14"/>
  <c r="CE7" i="14"/>
  <c r="CF7" i="14" s="1"/>
  <c r="CE10" i="14"/>
  <c r="CF10" i="14" s="1"/>
  <c r="CP4" i="14"/>
  <c r="CE3" i="14"/>
  <c r="CF3" i="14" s="1"/>
  <c r="DA3" i="14"/>
  <c r="AB3" i="14"/>
  <c r="CE5" i="14"/>
  <c r="CF5" i="14" s="1"/>
  <c r="BB7" i="14"/>
  <c r="BF8" i="14"/>
  <c r="CE6" i="14"/>
  <c r="CF6" i="14" s="1"/>
  <c r="CM3" i="14"/>
  <c r="BD8" i="14"/>
  <c r="CP6" i="14"/>
  <c r="AH8" i="14"/>
  <c r="BF5" i="14"/>
  <c r="CW7" i="14"/>
  <c r="BP7" i="14"/>
  <c r="AU8" i="14"/>
  <c r="V3" i="14"/>
  <c r="AJ5" i="14"/>
  <c r="AQ8" i="14"/>
  <c r="V6" i="14"/>
  <c r="CM7" i="14"/>
  <c r="BD7" i="14"/>
  <c r="BZ8" i="14"/>
  <c r="AJ8" i="14"/>
  <c r="AS10" i="14"/>
  <c r="BB3" i="14"/>
  <c r="DA8" i="14"/>
  <c r="BZ7" i="14"/>
  <c r="CY8" i="14"/>
  <c r="BZ5" i="14"/>
  <c r="AF5" i="14"/>
  <c r="CM10" i="14"/>
  <c r="BD6" i="14"/>
  <c r="AU6" i="14"/>
  <c r="BP5" i="14"/>
  <c r="BW8" i="14"/>
  <c r="BV8" i="14" s="1"/>
  <c r="CS5" i="14"/>
  <c r="X10" i="14"/>
  <c r="BD5" i="14"/>
  <c r="BA8" i="14"/>
  <c r="BN8" i="14" s="1"/>
  <c r="CY10" i="14"/>
  <c r="BW7" i="14"/>
  <c r="BV7" i="14" s="1"/>
  <c r="R6" i="14"/>
  <c r="BB10" i="14"/>
  <c r="CY7" i="14"/>
  <c r="CW5" i="14"/>
  <c r="AS8" i="14"/>
  <c r="BG7" i="14"/>
  <c r="V10" i="14"/>
  <c r="BF6" i="14"/>
  <c r="CY3" i="14"/>
  <c r="AF8" i="14"/>
  <c r="AS6" i="14"/>
  <c r="CW3" i="14"/>
  <c r="CD5" i="14"/>
  <c r="CS8" i="14"/>
  <c r="X8" i="14"/>
  <c r="CU3" i="14"/>
  <c r="BK8" i="14"/>
  <c r="BL8" i="14" s="1"/>
  <c r="BM8" i="14" s="1"/>
  <c r="BZ6" i="14"/>
  <c r="AK7" i="14"/>
  <c r="AL7" i="14" s="1"/>
  <c r="CS3" i="14"/>
  <c r="AV5" i="14"/>
  <c r="AW5" i="14" s="1"/>
  <c r="DA7" i="14"/>
  <c r="DA6" i="14"/>
  <c r="AF6" i="14"/>
  <c r="CY6" i="14"/>
  <c r="AB6" i="14"/>
  <c r="CW6" i="14"/>
  <c r="X6" i="14"/>
  <c r="V7" i="14"/>
  <c r="BD3" i="14"/>
  <c r="R3" i="14"/>
  <c r="BW5" i="14"/>
  <c r="BV5" i="14" s="1"/>
  <c r="CU6" i="14"/>
  <c r="CS6" i="14"/>
  <c r="BB6" i="14"/>
  <c r="AK6" i="14"/>
  <c r="AL6" i="14" s="1"/>
  <c r="S7" i="14"/>
  <c r="R7" i="14"/>
  <c r="AJ7" i="14"/>
  <c r="BG10" i="14"/>
  <c r="Y7" i="14"/>
  <c r="Z7" i="14" s="1"/>
  <c r="AV10" i="14"/>
  <c r="AW10" i="14" s="1"/>
  <c r="AK8" i="14"/>
  <c r="AL8" i="14" s="1"/>
  <c r="AB8" i="14"/>
  <c r="AJ3" i="14"/>
  <c r="CU5" i="14"/>
  <c r="BB5" i="14"/>
  <c r="V8" i="14"/>
  <c r="AZ5" i="14"/>
  <c r="X5" i="14"/>
  <c r="S8" i="14"/>
  <c r="BA6" i="14"/>
  <c r="BN6" i="14" s="1"/>
  <c r="AZ7" i="14"/>
  <c r="BD10" i="14"/>
  <c r="CD3" i="14"/>
  <c r="AH3" i="14"/>
  <c r="S5" i="14"/>
  <c r="BB8" i="14"/>
  <c r="AS7" i="14"/>
  <c r="R8" i="14"/>
  <c r="AU5" i="14"/>
  <c r="R5" i="14"/>
  <c r="Z10" i="14"/>
  <c r="CM5" i="14"/>
  <c r="AS5" i="14"/>
  <c r="BG8" i="14"/>
  <c r="AV6" i="14"/>
  <c r="AW6" i="14" s="1"/>
  <c r="BZ10" i="14"/>
  <c r="X3" i="14"/>
  <c r="BW6" i="14"/>
  <c r="BV6" i="14" s="1"/>
  <c r="DA10" i="14"/>
  <c r="AU10" i="14"/>
  <c r="V5" i="14"/>
  <c r="BF10" i="14"/>
  <c r="BA5" i="14"/>
  <c r="BN5" i="14" s="1"/>
  <c r="BW10" i="14"/>
  <c r="BV10" i="14" s="1"/>
  <c r="BA3" i="14"/>
  <c r="BN3" i="14" s="1"/>
  <c r="BG5" i="14"/>
  <c r="AO5" i="14"/>
  <c r="CW10" i="14"/>
  <c r="BW3" i="14"/>
  <c r="BV3" i="14" s="1"/>
  <c r="S3" i="14"/>
  <c r="CU10" i="14"/>
  <c r="AV3" i="14"/>
  <c r="AW3" i="14" s="1"/>
  <c r="DA5" i="14"/>
  <c r="Y8" i="14"/>
  <c r="Z8" i="14" s="1"/>
  <c r="CS10" i="14"/>
  <c r="AK10" i="14"/>
  <c r="AL10" i="14" s="1"/>
  <c r="CY5" i="14"/>
  <c r="AH5" i="14"/>
  <c r="AH6" i="14"/>
  <c r="BM5" i="14"/>
  <c r="CG5" i="14"/>
  <c r="AB5" i="14"/>
  <c r="AB10" i="14"/>
  <c r="AC10" i="14"/>
  <c r="Y5" i="14"/>
  <c r="Z5" i="14" s="1"/>
  <c r="CG10" i="14"/>
  <c r="BA10" i="14"/>
  <c r="BN10" i="14" s="1"/>
  <c r="AU3" i="14"/>
  <c r="CG6" i="14"/>
  <c r="BP10" i="14"/>
  <c r="AZ10" i="14"/>
  <c r="AJ10" i="14"/>
  <c r="S10" i="14"/>
  <c r="BP6" i="14"/>
  <c r="AZ6" i="14"/>
  <c r="AJ6" i="14"/>
  <c r="S6" i="14"/>
  <c r="R10" i="14"/>
  <c r="AS3" i="14"/>
  <c r="AF7" i="14"/>
  <c r="AH7" i="14"/>
  <c r="CD7" i="14"/>
  <c r="AO7" i="14"/>
  <c r="CD10" i="14"/>
  <c r="AH10" i="14"/>
  <c r="AV8" i="14"/>
  <c r="AW8" i="14" s="1"/>
  <c r="BG3" i="14"/>
  <c r="AK5" i="14"/>
  <c r="AL5" i="14" s="1"/>
  <c r="BF7" i="14"/>
  <c r="AO3" i="14"/>
  <c r="AB7" i="14"/>
  <c r="Y3" i="14"/>
  <c r="Z3" i="14" s="1"/>
  <c r="AQ10" i="14"/>
  <c r="CG3" i="14"/>
  <c r="AO8" i="14"/>
  <c r="CM6" i="14"/>
  <c r="BG6" i="14"/>
  <c r="AQ6" i="14"/>
  <c r="CS7" i="14"/>
  <c r="X7" i="14"/>
  <c r="BP3" i="14"/>
  <c r="AZ3" i="14"/>
  <c r="Y6" i="14"/>
  <c r="AU7" i="14"/>
  <c r="AO10" i="14"/>
  <c r="AO6" i="14"/>
  <c r="AV7" i="14"/>
  <c r="AW7" i="14" s="1"/>
  <c r="CG7" i="14"/>
  <c r="BA7" i="14"/>
  <c r="BN7" i="14" s="1"/>
  <c r="BJ3" i="11"/>
  <c r="W3" i="11"/>
  <c r="AZ3" i="11"/>
  <c r="AN3" i="11"/>
  <c r="AL3" i="11"/>
  <c r="AG3" i="11"/>
  <c r="BP3" i="11"/>
  <c r="CN3" i="11"/>
  <c r="CX3" i="11"/>
  <c r="BN3" i="11"/>
  <c r="CU3" i="11"/>
  <c r="CJ3" i="11"/>
  <c r="AV3" i="11"/>
  <c r="AU3" i="11" s="1"/>
  <c r="BS10" i="11"/>
  <c r="X3" i="11"/>
  <c r="BN10" i="11"/>
  <c r="BS3" i="11"/>
  <c r="CG3" i="11"/>
  <c r="T3" i="11"/>
  <c r="R3" i="11"/>
  <c r="AG10" i="11"/>
  <c r="BT3" i="11"/>
  <c r="CK3" i="11" s="1"/>
  <c r="AE3" i="11"/>
  <c r="AZ10" i="11"/>
  <c r="AJ3" i="11"/>
  <c r="AI3" i="11"/>
  <c r="BC3" i="11"/>
  <c r="BB3" i="11"/>
  <c r="AD3" i="11"/>
  <c r="AT3" i="11"/>
  <c r="BZ3" i="11"/>
  <c r="K3" i="11"/>
  <c r="BV3" i="11"/>
  <c r="CE3" i="11"/>
  <c r="CV3" i="11"/>
  <c r="BL3" i="11"/>
  <c r="AO3" i="11"/>
  <c r="BI3" i="11"/>
  <c r="BG3" i="11"/>
  <c r="CS3" i="11"/>
  <c r="CA3" i="11"/>
  <c r="BE3" i="11"/>
  <c r="BX3" i="11"/>
  <c r="BP10" i="11"/>
  <c r="W10" i="11"/>
  <c r="CN10" i="11"/>
  <c r="BE10" i="11"/>
  <c r="BX10" i="11"/>
  <c r="CS10" i="11"/>
  <c r="BI10" i="11"/>
  <c r="CG10" i="11"/>
  <c r="BV10" i="11"/>
  <c r="BC10" i="11"/>
  <c r="X10" i="11"/>
  <c r="BZ10" i="11"/>
  <c r="AO10" i="11"/>
  <c r="R10" i="11"/>
  <c r="AJ10" i="11"/>
  <c r="AD10" i="11"/>
  <c r="BG10" i="11"/>
  <c r="BJ10" i="11"/>
  <c r="AV10" i="11"/>
  <c r="AW10" i="11" s="1"/>
  <c r="CU10" i="11"/>
  <c r="AI10" i="11"/>
  <c r="CA10" i="11"/>
  <c r="AL10" i="11"/>
  <c r="BB10" i="11"/>
  <c r="CX10" i="11"/>
  <c r="BT10" i="11"/>
  <c r="CK10" i="11" s="1"/>
  <c r="CO10" i="11" s="1"/>
  <c r="AE10" i="11"/>
  <c r="CJ10" i="11"/>
  <c r="AT10" i="11"/>
  <c r="CE10" i="11"/>
  <c r="AN10" i="11"/>
  <c r="BL10" i="11"/>
  <c r="T10" i="11"/>
  <c r="R11" i="17"/>
  <c r="AK11" i="17" s="1"/>
  <c r="V11" i="17"/>
  <c r="AH5" i="17"/>
  <c r="V6" i="17"/>
  <c r="AC10" i="17"/>
  <c r="AL6" i="17"/>
  <c r="BN5" i="17"/>
  <c r="R5" i="17"/>
  <c r="AK5" i="17" s="1"/>
  <c r="CI6" i="17"/>
  <c r="BJ11" i="17"/>
  <c r="BH11" i="17"/>
  <c r="BN11" i="17"/>
  <c r="BJ5" i="17"/>
  <c r="CA2" i="17"/>
  <c r="BS2" i="17"/>
  <c r="AQ11" i="17"/>
  <c r="BX11" i="17"/>
  <c r="BP10" i="17"/>
  <c r="BN10" i="17"/>
  <c r="X5" i="17"/>
  <c r="X10" i="17"/>
  <c r="AS2" i="17"/>
  <c r="BX2" i="17"/>
  <c r="AF2" i="17"/>
  <c r="BZ11" i="17"/>
  <c r="AS11" i="17"/>
  <c r="AO2" i="17"/>
  <c r="BB5" i="17"/>
  <c r="O10" i="17"/>
  <c r="BV11" i="17"/>
  <c r="AO11" i="17"/>
  <c r="CI2" i="17"/>
  <c r="BQ2" i="17"/>
  <c r="AE2" i="17"/>
  <c r="AS10" i="17"/>
  <c r="BZ10" i="17"/>
  <c r="AI10" i="17"/>
  <c r="CA10" i="17"/>
  <c r="AO10" i="17"/>
  <c r="AA11" i="17"/>
  <c r="S6" i="17"/>
  <c r="T6" i="17" s="1"/>
  <c r="AS6" i="17"/>
  <c r="BN2" i="17"/>
  <c r="BV6" i="17"/>
  <c r="BS11" i="17"/>
  <c r="AM11" i="17"/>
  <c r="AS5" i="17"/>
  <c r="BP11" i="17"/>
  <c r="AH11" i="17"/>
  <c r="Z6" i="17"/>
  <c r="BJ6" i="17"/>
  <c r="AE5" i="17"/>
  <c r="AF5" i="17"/>
  <c r="CD10" i="17"/>
  <c r="AT10" i="17"/>
  <c r="AL10" i="17"/>
  <c r="AU10" i="17"/>
  <c r="CI10" i="17"/>
  <c r="V10" i="17"/>
  <c r="BP2" i="17"/>
  <c r="X6" i="17"/>
  <c r="S11" i="17"/>
  <c r="T11" i="17" s="1"/>
  <c r="AQ5" i="17"/>
  <c r="CD6" i="17"/>
  <c r="U6" i="17"/>
  <c r="O2" i="17"/>
  <c r="AQ6" i="17"/>
  <c r="CD2" i="17"/>
  <c r="AO6" i="17"/>
  <c r="BQ5" i="17"/>
  <c r="BQ11" i="17"/>
  <c r="AH10" i="17"/>
  <c r="BS6" i="17"/>
  <c r="AM6" i="17"/>
  <c r="S10" i="17"/>
  <c r="T10" i="17" s="1"/>
  <c r="BQ10" i="17"/>
  <c r="AM10" i="17"/>
  <c r="BH10" i="17"/>
  <c r="AA10" i="17"/>
  <c r="Z10" i="17"/>
  <c r="BS10" i="17"/>
  <c r="U10" i="17"/>
  <c r="BF2" i="17"/>
  <c r="BC2" i="17"/>
  <c r="BD2" i="17" s="1"/>
  <c r="O6" i="17"/>
  <c r="AW5" i="17"/>
  <c r="CI5" i="17"/>
  <c r="CI11" i="17"/>
  <c r="AM2" i="17"/>
  <c r="BH6" i="17"/>
  <c r="AL2" i="17"/>
  <c r="AH6" i="17"/>
  <c r="BH5" i="17"/>
  <c r="AI2" i="17"/>
  <c r="AW6" i="17"/>
  <c r="AL11" i="17"/>
  <c r="O11" i="17"/>
  <c r="BB6" i="17"/>
  <c r="AE6" i="17"/>
  <c r="BC5" i="17"/>
  <c r="BD5" i="17" s="1"/>
  <c r="AC5" i="17"/>
  <c r="CD11" i="17"/>
  <c r="AI11" i="17"/>
  <c r="BJ2" i="17"/>
  <c r="BZ6" i="17"/>
  <c r="CD5" i="17"/>
  <c r="CA11" i="17"/>
  <c r="BH2" i="17"/>
  <c r="BX6" i="17"/>
  <c r="AC6" i="17"/>
  <c r="BZ5" i="17"/>
  <c r="AA5" i="17"/>
  <c r="AC2" i="17"/>
  <c r="Z5" i="17"/>
  <c r="AE11" i="17"/>
  <c r="BZ2" i="17"/>
  <c r="AA6" i="17"/>
  <c r="BV5" i="17"/>
  <c r="AC11" i="17"/>
  <c r="AU6" i="17"/>
  <c r="BS5" i="17"/>
  <c r="Z11" i="17"/>
  <c r="S2" i="17"/>
  <c r="T2" i="17" s="1"/>
  <c r="BQ6" i="17"/>
  <c r="BP5" i="17"/>
  <c r="X11" i="17"/>
  <c r="BP6" i="17"/>
  <c r="AT5" i="17"/>
  <c r="S5" i="17"/>
  <c r="T5" i="17" s="1"/>
  <c r="U11" i="17"/>
  <c r="AU2" i="17"/>
  <c r="BN6" i="17"/>
  <c r="AM5" i="17"/>
  <c r="AT11" i="17"/>
  <c r="AE10" i="17"/>
  <c r="AF10" i="17"/>
  <c r="BJ10" i="17"/>
  <c r="AQ10" i="17"/>
  <c r="BX10" i="17"/>
  <c r="BV10" i="17"/>
  <c r="R10" i="17"/>
  <c r="AK10" i="17" s="1"/>
  <c r="AW10" i="17"/>
  <c r="BC10" i="17"/>
  <c r="BD10" i="17" s="1"/>
  <c r="BB10" i="17"/>
  <c r="N10" i="17"/>
  <c r="X2" i="17"/>
  <c r="AA2" i="17"/>
  <c r="BB2" i="17"/>
  <c r="V2" i="17"/>
  <c r="U2" i="17"/>
  <c r="BX5" i="17"/>
  <c r="CA5" i="17"/>
  <c r="CA6" i="17"/>
  <c r="AT6" i="17"/>
  <c r="AH2" i="17"/>
  <c r="R2" i="17"/>
  <c r="AK2" i="17" s="1"/>
  <c r="AW2" i="17"/>
  <c r="AT2" i="17"/>
  <c r="BC6" i="17"/>
  <c r="BD6" i="17" s="1"/>
  <c r="R6" i="17"/>
  <c r="AK6" i="17" s="1"/>
  <c r="AI6" i="17"/>
  <c r="BB11" i="17"/>
  <c r="BC11" i="17"/>
  <c r="BD11" i="17" s="1"/>
  <c r="BF11" i="17"/>
  <c r="AQ2" i="17"/>
  <c r="BV2" i="17"/>
  <c r="Z2" i="17"/>
  <c r="AF6" i="17"/>
  <c r="BF5" i="17"/>
  <c r="AO5" i="17"/>
  <c r="AW11" i="17"/>
  <c r="AL5" i="17"/>
  <c r="V5" i="17"/>
  <c r="AF11" i="17"/>
  <c r="U5" i="17"/>
  <c r="AU11" i="17"/>
  <c r="AI5" i="17"/>
  <c r="AU5" i="17"/>
  <c r="O5" i="17"/>
  <c r="CQ11" i="6"/>
  <c r="AQ5" i="6"/>
  <c r="BV10" i="6"/>
  <c r="AL10" i="6"/>
  <c r="CF11" i="6"/>
  <c r="AX11" i="6"/>
  <c r="CO11" i="6"/>
  <c r="BZ10" i="6"/>
  <c r="AQ10" i="6"/>
  <c r="X11" i="6"/>
  <c r="AO5" i="6"/>
  <c r="AE4" i="6"/>
  <c r="BF11" i="6"/>
  <c r="V11" i="6"/>
  <c r="CH11" i="6"/>
  <c r="CJ11" i="6" s="1"/>
  <c r="CK11" i="6" s="1"/>
  <c r="Q4" i="6"/>
  <c r="R4" i="6" s="1"/>
  <c r="CD11" i="6"/>
  <c r="BV11" i="6"/>
  <c r="BX6" i="6"/>
  <c r="AO6" i="6"/>
  <c r="BX2" i="6"/>
  <c r="AQ2" i="6"/>
  <c r="BV6" i="6"/>
  <c r="AQ6" i="6"/>
  <c r="Q5" i="6"/>
  <c r="R5" i="6" s="1"/>
  <c r="AS6" i="6"/>
  <c r="BZ6" i="6"/>
  <c r="DC6" i="6"/>
  <c r="DC2" i="6"/>
  <c r="BN6" i="6"/>
  <c r="AO10" i="6"/>
  <c r="BX5" i="6"/>
  <c r="CY6" i="6"/>
  <c r="CD6" i="6"/>
  <c r="CU6" i="6"/>
  <c r="BT10" i="6"/>
  <c r="CU2" i="6"/>
  <c r="V6" i="6"/>
  <c r="AL5" i="6"/>
  <c r="DC10" i="6"/>
  <c r="V2" i="6"/>
  <c r="CZ10" i="6"/>
  <c r="CH6" i="6"/>
  <c r="CR6" i="6" s="1"/>
  <c r="BA6" i="6"/>
  <c r="CH2" i="6"/>
  <c r="AX6" i="6"/>
  <c r="BR4" i="6"/>
  <c r="AV6" i="6"/>
  <c r="CD5" i="6"/>
  <c r="AE10" i="6"/>
  <c r="AT4" i="6"/>
  <c r="DC5" i="6"/>
  <c r="BT5" i="6"/>
  <c r="BL6" i="6"/>
  <c r="AT11" i="6"/>
  <c r="AQ11" i="6"/>
  <c r="BN5" i="6"/>
  <c r="CQ5" i="6"/>
  <c r="CZ4" i="6"/>
  <c r="CN5" i="6"/>
  <c r="AL11" i="6"/>
  <c r="Q6" i="6"/>
  <c r="R6" i="6" s="1"/>
  <c r="CY4" i="6"/>
  <c r="BN4" i="6"/>
  <c r="AH11" i="6"/>
  <c r="CU11" i="6"/>
  <c r="BK11" i="6"/>
  <c r="CB2" i="6"/>
  <c r="CH5" i="6"/>
  <c r="T5" i="6"/>
  <c r="BL2" i="6"/>
  <c r="CY10" i="6"/>
  <c r="AM2" i="6"/>
  <c r="BN10" i="6"/>
  <c r="CQ10" i="6"/>
  <c r="BK10" i="6"/>
  <c r="AJ10" i="6"/>
  <c r="BK5" i="6"/>
  <c r="CN10" i="6"/>
  <c r="AE2" i="6"/>
  <c r="BL5" i="6"/>
  <c r="AJ5" i="6"/>
  <c r="BL10" i="6"/>
  <c r="AF10" i="6"/>
  <c r="CF5" i="6"/>
  <c r="AH5" i="6"/>
  <c r="BF10" i="6"/>
  <c r="CO2" i="6"/>
  <c r="BF5" i="6"/>
  <c r="BX11" i="6"/>
  <c r="AV11" i="6"/>
  <c r="AL6" i="6"/>
  <c r="BD5" i="6"/>
  <c r="AE5" i="6"/>
  <c r="CQ6" i="6"/>
  <c r="BK6" i="6"/>
  <c r="CF10" i="6"/>
  <c r="X10" i="6"/>
  <c r="Z5" i="6"/>
  <c r="CN6" i="6"/>
  <c r="CD10" i="6"/>
  <c r="V10" i="6"/>
  <c r="BZ5" i="6"/>
  <c r="X5" i="6"/>
  <c r="AE11" i="6"/>
  <c r="AO11" i="6"/>
  <c r="AE6" i="6"/>
  <c r="BA10" i="6"/>
  <c r="T10" i="6"/>
  <c r="AY2" i="6"/>
  <c r="BA5" i="6"/>
  <c r="V5" i="6"/>
  <c r="CZ5" i="6"/>
  <c r="CY11" i="6"/>
  <c r="AJ11" i="6"/>
  <c r="BF6" i="6"/>
  <c r="BX10" i="6"/>
  <c r="AV10" i="6"/>
  <c r="Q10" i="6"/>
  <c r="R10" i="6" s="1"/>
  <c r="CY5" i="6"/>
  <c r="BV5" i="6"/>
  <c r="AV5" i="6"/>
  <c r="CF6" i="6"/>
  <c r="X6" i="6"/>
  <c r="AS10" i="6"/>
  <c r="CU5" i="6"/>
  <c r="BR5" i="6"/>
  <c r="AS5" i="6"/>
  <c r="AY5" i="6"/>
  <c r="BD6" i="6"/>
  <c r="AF6" i="6"/>
  <c r="CO10" i="6"/>
  <c r="AS11" i="6"/>
  <c r="CH10" i="6"/>
  <c r="CJ10" i="6" s="1"/>
  <c r="CK10" i="6" s="1"/>
  <c r="AF2" i="6"/>
  <c r="CN11" i="6"/>
  <c r="CZ6" i="6"/>
  <c r="BD2" i="6"/>
  <c r="BN11" i="6"/>
  <c r="Q11" i="6"/>
  <c r="R11" i="6" s="1"/>
  <c r="Z6" i="6"/>
  <c r="AS4" i="6"/>
  <c r="X2" i="6"/>
  <c r="T6" i="6"/>
  <c r="BT4" i="6"/>
  <c r="AV2" i="6"/>
  <c r="BD10" i="6"/>
  <c r="DC4" i="6"/>
  <c r="AM4" i="6"/>
  <c r="Q2" i="6"/>
  <c r="R2" i="6" s="1"/>
  <c r="BG11" i="6"/>
  <c r="AM11" i="6"/>
  <c r="CA5" i="6"/>
  <c r="CB5" i="6" s="1"/>
  <c r="CU10" i="6"/>
  <c r="Z10" i="6"/>
  <c r="CU4" i="6"/>
  <c r="BL4" i="6"/>
  <c r="CZ11" i="6"/>
  <c r="CA11" i="6"/>
  <c r="CB11" i="6" s="1"/>
  <c r="AF11" i="6"/>
  <c r="CO6" i="6"/>
  <c r="BR10" i="6"/>
  <c r="CZ2" i="6"/>
  <c r="AL2" i="6"/>
  <c r="AX5" i="6"/>
  <c r="AF5" i="6"/>
  <c r="AA4" i="6"/>
  <c r="AB4" i="6" s="1"/>
  <c r="BS2" i="6"/>
  <c r="BT2" i="6" s="1"/>
  <c r="BR11" i="6"/>
  <c r="AA2" i="6"/>
  <c r="AB2" i="6" s="1"/>
  <c r="CA6" i="6"/>
  <c r="CB6" i="6" s="1"/>
  <c r="AH6" i="6"/>
  <c r="AQ4" i="6"/>
  <c r="CR2" i="6"/>
  <c r="CJ2" i="6"/>
  <c r="CK2" i="6" s="1"/>
  <c r="BI4" i="6"/>
  <c r="BZ4" i="6"/>
  <c r="BK4" i="6"/>
  <c r="AV4" i="6"/>
  <c r="T4" i="6"/>
  <c r="AJ4" i="6"/>
  <c r="CF4" i="6"/>
  <c r="V4" i="6"/>
  <c r="AL4" i="6"/>
  <c r="CH4" i="6"/>
  <c r="X4" i="6"/>
  <c r="BD4" i="6"/>
  <c r="AO4" i="6"/>
  <c r="AX10" i="6"/>
  <c r="AY10" i="6"/>
  <c r="AY6" i="6"/>
  <c r="CQ4" i="6"/>
  <c r="CB4" i="6"/>
  <c r="CN4" i="6"/>
  <c r="CO4" i="6"/>
  <c r="Z11" i="6"/>
  <c r="AA11" i="6"/>
  <c r="AB11" i="6" s="1"/>
  <c r="AA5" i="6"/>
  <c r="AB5" i="6" s="1"/>
  <c r="AA6" i="6"/>
  <c r="AB6" i="6" s="1"/>
  <c r="BF4" i="6"/>
  <c r="AS2" i="6"/>
  <c r="AT2" i="6"/>
  <c r="Z4" i="6"/>
  <c r="AT6" i="6"/>
  <c r="AH10" i="6"/>
  <c r="AM10" i="6"/>
  <c r="CA10" i="6"/>
  <c r="CB10" i="6" s="1"/>
  <c r="CD4" i="6"/>
  <c r="BA4" i="6"/>
  <c r="BL11" i="6"/>
  <c r="BX4" i="6"/>
  <c r="AX4" i="6"/>
  <c r="BI2" i="6"/>
  <c r="BZ2" i="6"/>
  <c r="BK2" i="6"/>
  <c r="CQ2" i="6"/>
  <c r="AH2" i="6"/>
  <c r="AX2" i="6"/>
  <c r="BN2" i="6"/>
  <c r="CD2" i="6"/>
  <c r="T2" i="6"/>
  <c r="AJ2" i="6"/>
  <c r="CF2" i="6"/>
  <c r="BA2" i="6"/>
  <c r="CY2" i="6"/>
  <c r="AO2" i="6"/>
  <c r="Z2" i="6"/>
  <c r="BF2" i="6"/>
  <c r="BV2" i="6"/>
  <c r="AJ6" i="6"/>
  <c r="AM6" i="6"/>
  <c r="BV4" i="6"/>
  <c r="CN2" i="6"/>
  <c r="AY11" i="6"/>
  <c r="BS6" i="6"/>
  <c r="BT6" i="6" s="1"/>
  <c r="AT10" i="6"/>
  <c r="BG10" i="6"/>
  <c r="AA10" i="6"/>
  <c r="AB10" i="6" s="1"/>
  <c r="AY4" i="6"/>
  <c r="AH4" i="6"/>
  <c r="AF4" i="6"/>
  <c r="AT5" i="6"/>
  <c r="BI5" i="6"/>
  <c r="Z9" i="6"/>
  <c r="BV9" i="6"/>
  <c r="BZ9" i="6"/>
  <c r="BS9" i="6"/>
  <c r="BT9" i="6" s="1"/>
  <c r="BS8" i="6"/>
  <c r="BS3" i="6"/>
  <c r="BS7" i="6"/>
  <c r="AF9" i="6"/>
  <c r="BD9" i="6"/>
  <c r="BF9" i="6"/>
  <c r="BX9" i="6"/>
  <c r="DC9" i="6"/>
  <c r="CY9" i="6"/>
  <c r="BL9" i="6"/>
  <c r="AX9" i="6"/>
  <c r="CD9" i="6"/>
  <c r="AS9" i="6"/>
  <c r="AQ9" i="6"/>
  <c r="AM9" i="6"/>
  <c r="AE9" i="6"/>
  <c r="Q9" i="6"/>
  <c r="R9" i="6" s="1"/>
  <c r="CQ9" i="6"/>
  <c r="CO9" i="6"/>
  <c r="X9" i="6"/>
  <c r="T9" i="6"/>
  <c r="AV9" i="6"/>
  <c r="AY9" i="6"/>
  <c r="CU9" i="6"/>
  <c r="CH9" i="6"/>
  <c r="CJ9" i="6" s="1"/>
  <c r="CK9" i="6" s="1"/>
  <c r="CZ9" i="6"/>
  <c r="BA9" i="6"/>
  <c r="V9" i="6"/>
  <c r="AL9" i="6"/>
  <c r="BI9" i="6"/>
  <c r="AO9" i="6"/>
  <c r="BK9" i="6"/>
  <c r="CN9" i="6"/>
  <c r="AJ9" i="6"/>
  <c r="AH9" i="6"/>
  <c r="BN9" i="6"/>
  <c r="CF9" i="6"/>
  <c r="AA9" i="6"/>
  <c r="AB9" i="6" s="1"/>
  <c r="CA9" i="6"/>
  <c r="CB9" i="6" s="1"/>
  <c r="AT9" i="6"/>
  <c r="CO4" i="14"/>
  <c r="CN4" i="14"/>
  <c r="CL4" i="14"/>
  <c r="B7" i="6"/>
  <c r="C7" i="6"/>
  <c r="D7" i="6"/>
  <c r="E7" i="6"/>
  <c r="F7" i="6"/>
  <c r="G7" i="6"/>
  <c r="I7" i="6"/>
  <c r="K7" i="6"/>
  <c r="BD7" i="6" s="1"/>
  <c r="L7" i="6"/>
  <c r="M7" i="6" s="1"/>
  <c r="N7" i="6"/>
  <c r="O7" i="6"/>
  <c r="P7" i="6"/>
  <c r="S7" i="6"/>
  <c r="AC7" i="6"/>
  <c r="AD7" i="6"/>
  <c r="AG7" i="6"/>
  <c r="CA7" i="6" s="1"/>
  <c r="AI7" i="6"/>
  <c r="AK7" i="6"/>
  <c r="AN7" i="6"/>
  <c r="AP7" i="6"/>
  <c r="AR7" i="6"/>
  <c r="AU7" i="6"/>
  <c r="AW7" i="6"/>
  <c r="AZ7" i="6"/>
  <c r="BB7" i="6"/>
  <c r="BH7" i="6"/>
  <c r="BJ7" i="6"/>
  <c r="BM7" i="6"/>
  <c r="BO7" i="6"/>
  <c r="BP7" i="6"/>
  <c r="BW7" i="6"/>
  <c r="CC7" i="6"/>
  <c r="CE7" i="6"/>
  <c r="CG7" i="6"/>
  <c r="CI7" i="6"/>
  <c r="CL7" i="6"/>
  <c r="CM7" i="6"/>
  <c r="CP7" i="6"/>
  <c r="CT7" i="6"/>
  <c r="CX7" i="6"/>
  <c r="DA7" i="6"/>
  <c r="DB7" i="6"/>
  <c r="DD7" i="6"/>
  <c r="DE7" i="6"/>
  <c r="B8" i="6"/>
  <c r="C8" i="6"/>
  <c r="D8" i="6"/>
  <c r="E8" i="6"/>
  <c r="F8" i="6"/>
  <c r="G8" i="6"/>
  <c r="I8" i="6"/>
  <c r="K8" i="6"/>
  <c r="L8" i="6"/>
  <c r="M8" i="6" s="1"/>
  <c r="N8" i="6"/>
  <c r="O8" i="6"/>
  <c r="P8" i="6"/>
  <c r="S8" i="6"/>
  <c r="AC8" i="6"/>
  <c r="AD8" i="6"/>
  <c r="AG8" i="6"/>
  <c r="AI8" i="6"/>
  <c r="AK8" i="6"/>
  <c r="AN8" i="6"/>
  <c r="AP8" i="6"/>
  <c r="AR8" i="6"/>
  <c r="AU8" i="6"/>
  <c r="AW8" i="6"/>
  <c r="AZ8" i="6"/>
  <c r="BB8" i="6"/>
  <c r="BH8" i="6"/>
  <c r="BJ8" i="6"/>
  <c r="BM8" i="6"/>
  <c r="BO8" i="6"/>
  <c r="BP8" i="6"/>
  <c r="BW8" i="6"/>
  <c r="BY8" i="6"/>
  <c r="CC8" i="6"/>
  <c r="CE8" i="6"/>
  <c r="CG8" i="6"/>
  <c r="CI8" i="6"/>
  <c r="CL8" i="6"/>
  <c r="CM8" i="6"/>
  <c r="CP8" i="6"/>
  <c r="CT8" i="6"/>
  <c r="CX8" i="6"/>
  <c r="DA8" i="6"/>
  <c r="DB8" i="6"/>
  <c r="DD8" i="6"/>
  <c r="DE8" i="6"/>
  <c r="A2" i="6"/>
  <c r="A3" i="6"/>
  <c r="A4" i="6"/>
  <c r="A5" i="6"/>
  <c r="A6" i="6"/>
  <c r="A7" i="6"/>
  <c r="A8" i="6"/>
  <c r="A9" i="6"/>
  <c r="A10" i="6"/>
  <c r="A11" i="6"/>
  <c r="B3" i="6"/>
  <c r="C3" i="6"/>
  <c r="D3" i="6"/>
  <c r="E3" i="6"/>
  <c r="F3" i="6"/>
  <c r="G3" i="6"/>
  <c r="I3" i="6"/>
  <c r="K3" i="6"/>
  <c r="L3" i="6"/>
  <c r="M3" i="6" s="1"/>
  <c r="N3" i="6"/>
  <c r="O3" i="6"/>
  <c r="P3" i="6"/>
  <c r="S3" i="6"/>
  <c r="AC3" i="6"/>
  <c r="AD3" i="6"/>
  <c r="AG3" i="6"/>
  <c r="AI3" i="6"/>
  <c r="AK3" i="6"/>
  <c r="AN3" i="6"/>
  <c r="AP3" i="6"/>
  <c r="AR3" i="6"/>
  <c r="AU3" i="6"/>
  <c r="AW3" i="6"/>
  <c r="AZ3" i="6"/>
  <c r="BB3" i="6"/>
  <c r="BH3" i="6"/>
  <c r="BJ3" i="6"/>
  <c r="BM3" i="6"/>
  <c r="BO3" i="6"/>
  <c r="BP3" i="6"/>
  <c r="BW3" i="6"/>
  <c r="CC3" i="6"/>
  <c r="CE3" i="6"/>
  <c r="CG3" i="6"/>
  <c r="CI3" i="6"/>
  <c r="CL3" i="6"/>
  <c r="CM3" i="6"/>
  <c r="CP3" i="6"/>
  <c r="CT3" i="6"/>
  <c r="CX3" i="6"/>
  <c r="DA3" i="6"/>
  <c r="DB3" i="6"/>
  <c r="DD3" i="6"/>
  <c r="DE3" i="6"/>
  <c r="A8" i="15"/>
  <c r="A9" i="15"/>
  <c r="A10" i="15"/>
  <c r="A11" i="15"/>
  <c r="A12" i="15"/>
  <c r="A13" i="15"/>
  <c r="A14" i="15"/>
  <c r="A15" i="15"/>
  <c r="A16" i="15"/>
  <c r="AH13" i="15"/>
  <c r="B13" i="15"/>
  <c r="C13" i="15"/>
  <c r="D13" i="15"/>
  <c r="E13" i="15"/>
  <c r="H13" i="15"/>
  <c r="BY13" i="15" s="1"/>
  <c r="I13" i="15"/>
  <c r="J13" i="15" s="1"/>
  <c r="K13" i="15"/>
  <c r="L13" i="15"/>
  <c r="M13" i="15"/>
  <c r="O13" i="15"/>
  <c r="P13" i="15"/>
  <c r="AB13" i="15"/>
  <c r="AD13" i="15"/>
  <c r="AG13" i="15"/>
  <c r="AI13" i="15"/>
  <c r="AJ13" i="15"/>
  <c r="AK13" i="15"/>
  <c r="AL13" i="15"/>
  <c r="AP13" i="15"/>
  <c r="AR13" i="15"/>
  <c r="AS13" i="15"/>
  <c r="AW13" i="15"/>
  <c r="AX13" i="15"/>
  <c r="AY13" i="15"/>
  <c r="BC13" i="15"/>
  <c r="BE13" i="15"/>
  <c r="BG13" i="15"/>
  <c r="BK13" i="15"/>
  <c r="BL13" i="15"/>
  <c r="BM13" i="15"/>
  <c r="BO13" i="15"/>
  <c r="BQ13" i="15"/>
  <c r="BT13" i="15"/>
  <c r="BV13" i="15"/>
  <c r="CL13" i="15"/>
  <c r="CN13" i="15"/>
  <c r="CT13" i="15"/>
  <c r="DA13" i="15"/>
  <c r="DB13" i="15"/>
  <c r="DI13" i="15"/>
  <c r="DJ13" i="15"/>
  <c r="DO13" i="15"/>
  <c r="DP13" i="15"/>
  <c r="DX13" i="15"/>
  <c r="DY13" i="15"/>
  <c r="EA13" i="15"/>
  <c r="EC13" i="15"/>
  <c r="A2" i="15"/>
  <c r="A3" i="15"/>
  <c r="A4" i="15"/>
  <c r="A5" i="15"/>
  <c r="A6" i="15"/>
  <c r="A7" i="15"/>
  <c r="G8" i="15" l="1"/>
  <c r="G2" i="15"/>
  <c r="G14" i="15"/>
  <c r="G7" i="15"/>
  <c r="G11" i="15"/>
  <c r="G10" i="15"/>
  <c r="G5" i="15"/>
  <c r="G12" i="15"/>
  <c r="G4" i="15"/>
  <c r="G6" i="15"/>
  <c r="G15" i="15"/>
  <c r="G3" i="15"/>
  <c r="BE2" i="17"/>
  <c r="BF7" i="2"/>
  <c r="W10" i="19"/>
  <c r="K7" i="2"/>
  <c r="BU3" i="10"/>
  <c r="BY3" i="10"/>
  <c r="CI3" i="10"/>
  <c r="CL3" i="10"/>
  <c r="CM3" i="10" s="1"/>
  <c r="DT3" i="10"/>
  <c r="BX3" i="10"/>
  <c r="K3" i="10"/>
  <c r="CE3" i="10"/>
  <c r="CC3" i="10"/>
  <c r="AF3" i="10"/>
  <c r="AG3" i="10"/>
  <c r="CL7" i="11"/>
  <c r="CO7" i="11"/>
  <c r="CL3" i="11"/>
  <c r="CO3" i="11"/>
  <c r="CL2" i="11"/>
  <c r="CO2" i="11"/>
  <c r="AU6" i="11"/>
  <c r="AU2" i="11"/>
  <c r="AU4" i="11"/>
  <c r="AW4" i="11"/>
  <c r="AO16" i="15"/>
  <c r="Z16" i="15"/>
  <c r="AA9" i="15"/>
  <c r="CA13" i="15"/>
  <c r="AA16" i="15"/>
  <c r="CK9" i="15"/>
  <c r="CQ9" i="15"/>
  <c r="CS9" i="15" s="1"/>
  <c r="G16" i="15"/>
  <c r="G9" i="15"/>
  <c r="CH16" i="15"/>
  <c r="CK16" i="15"/>
  <c r="CQ16" i="15"/>
  <c r="CS16" i="15" s="1"/>
  <c r="CM13" i="15"/>
  <c r="CO13" i="15"/>
  <c r="CJ13" i="15"/>
  <c r="CG13" i="15"/>
  <c r="CH13" i="15" s="1"/>
  <c r="DC13" i="15"/>
  <c r="DE13" i="15"/>
  <c r="DF13" i="15" s="1"/>
  <c r="DQ13" i="15"/>
  <c r="DR13" i="15"/>
  <c r="DU13" i="15"/>
  <c r="AC11" i="14"/>
  <c r="AK11" i="14"/>
  <c r="AL11" i="14" s="1"/>
  <c r="AK2" i="14"/>
  <c r="AL2" i="14" s="1"/>
  <c r="AC2" i="14"/>
  <c r="CG9" i="14"/>
  <c r="CH9" i="14" s="1"/>
  <c r="AB2" i="14"/>
  <c r="CE9" i="14"/>
  <c r="CF9" i="14" s="1"/>
  <c r="CG11" i="14"/>
  <c r="AK9" i="14"/>
  <c r="AL9" i="14" s="1"/>
  <c r="CH2" i="14"/>
  <c r="CI2" i="14"/>
  <c r="CE11" i="14"/>
  <c r="CF11" i="14" s="1"/>
  <c r="CG8" i="14"/>
  <c r="CH8" i="14" s="1"/>
  <c r="CE8" i="14"/>
  <c r="CF8" i="14" s="1"/>
  <c r="AC7" i="14"/>
  <c r="AC8" i="14"/>
  <c r="CH7" i="14"/>
  <c r="CI7" i="14"/>
  <c r="AC5" i="14"/>
  <c r="AC3" i="14"/>
  <c r="CI6" i="14"/>
  <c r="CH6" i="14"/>
  <c r="Z6" i="14"/>
  <c r="AC6" i="14"/>
  <c r="CH3" i="14"/>
  <c r="CI3" i="14"/>
  <c r="CH5" i="14"/>
  <c r="CI5" i="14"/>
  <c r="CI10" i="14"/>
  <c r="CH10" i="14"/>
  <c r="AW3" i="11"/>
  <c r="AU10" i="11"/>
  <c r="K10" i="11"/>
  <c r="CL10" i="11"/>
  <c r="BE11" i="17"/>
  <c r="BE10" i="17"/>
  <c r="AV2" i="17"/>
  <c r="AV6" i="17"/>
  <c r="AV5" i="17"/>
  <c r="AV11" i="17"/>
  <c r="BE5" i="17"/>
  <c r="BE6" i="17"/>
  <c r="AV10" i="17"/>
  <c r="CJ2" i="17"/>
  <c r="K5" i="17"/>
  <c r="CJ5" i="17"/>
  <c r="K10" i="17"/>
  <c r="K6" i="17"/>
  <c r="CJ11" i="17"/>
  <c r="K11" i="17"/>
  <c r="K2" i="17"/>
  <c r="CJ6" i="17"/>
  <c r="CJ10" i="17"/>
  <c r="CR11" i="6"/>
  <c r="CJ6" i="6"/>
  <c r="CK6" i="6" s="1"/>
  <c r="CR5" i="6"/>
  <c r="CJ5" i="6"/>
  <c r="CK5" i="6" s="1"/>
  <c r="J11" i="6"/>
  <c r="CR10" i="6"/>
  <c r="CS10" i="6" s="1"/>
  <c r="J10" i="6"/>
  <c r="J6" i="6"/>
  <c r="J4" i="6"/>
  <c r="J2" i="6"/>
  <c r="BK3" i="6"/>
  <c r="J5" i="6"/>
  <c r="CR4" i="6"/>
  <c r="CJ4" i="6"/>
  <c r="CK4" i="6" s="1"/>
  <c r="CV10" i="6"/>
  <c r="CW10" i="6"/>
  <c r="CS11" i="6"/>
  <c r="CV11" i="6"/>
  <c r="CW11" i="6"/>
  <c r="CS2" i="6"/>
  <c r="CV2" i="6"/>
  <c r="CW2" i="6"/>
  <c r="CV6" i="6"/>
  <c r="CW6" i="6"/>
  <c r="CS6" i="6"/>
  <c r="BV3" i="6"/>
  <c r="BD8" i="6"/>
  <c r="BV8" i="6"/>
  <c r="BV7" i="6"/>
  <c r="BZ3" i="6"/>
  <c r="BZ7" i="6"/>
  <c r="BT7" i="6"/>
  <c r="BT8" i="6"/>
  <c r="BT3" i="6"/>
  <c r="BD3" i="6"/>
  <c r="BF3" i="6"/>
  <c r="BF8" i="6"/>
  <c r="BF7" i="6"/>
  <c r="CD3" i="6"/>
  <c r="AS3" i="6"/>
  <c r="AS8" i="6"/>
  <c r="AM7" i="6"/>
  <c r="CF7" i="6"/>
  <c r="J9" i="6"/>
  <c r="CD7" i="6"/>
  <c r="AT7" i="6"/>
  <c r="CR9" i="6"/>
  <c r="AE8" i="6"/>
  <c r="BL8" i="6"/>
  <c r="AL7" i="6"/>
  <c r="CB7" i="6"/>
  <c r="T8" i="6"/>
  <c r="AF7" i="6"/>
  <c r="Z7" i="6"/>
  <c r="CU7" i="6"/>
  <c r="BN7" i="6"/>
  <c r="CQ7" i="6"/>
  <c r="CN7" i="6"/>
  <c r="DC8" i="6"/>
  <c r="CH7" i="6"/>
  <c r="CJ7" i="6" s="1"/>
  <c r="CK7" i="6" s="1"/>
  <c r="AA8" i="6"/>
  <c r="AB8" i="6" s="1"/>
  <c r="AM8" i="6"/>
  <c r="CU8" i="6"/>
  <c r="V8" i="6"/>
  <c r="BL7" i="6"/>
  <c r="CF8" i="6"/>
  <c r="AY8" i="6"/>
  <c r="Q8" i="6"/>
  <c r="R8" i="6" s="1"/>
  <c r="CD8" i="6"/>
  <c r="AT8" i="6"/>
  <c r="AQ7" i="6"/>
  <c r="AL8" i="6"/>
  <c r="AH8" i="6"/>
  <c r="AF8" i="6"/>
  <c r="AX8" i="6"/>
  <c r="AH7" i="6"/>
  <c r="BX8" i="6"/>
  <c r="AV8" i="6"/>
  <c r="CZ8" i="6"/>
  <c r="CY8" i="6"/>
  <c r="Z8" i="6"/>
  <c r="X8" i="6"/>
  <c r="BA7" i="6"/>
  <c r="AA7" i="6"/>
  <c r="AB7" i="6" s="1"/>
  <c r="AQ8" i="6"/>
  <c r="CQ8" i="6"/>
  <c r="AV7" i="6"/>
  <c r="CN8" i="6"/>
  <c r="BN8" i="6"/>
  <c r="DC7" i="6"/>
  <c r="BX7" i="6"/>
  <c r="AY7" i="6"/>
  <c r="V7" i="6"/>
  <c r="CZ7" i="6"/>
  <c r="CH8" i="6"/>
  <c r="CJ8" i="6" s="1"/>
  <c r="CK8" i="6" s="1"/>
  <c r="AS7" i="6"/>
  <c r="AE7" i="6"/>
  <c r="Q7" i="6"/>
  <c r="R7" i="6" s="1"/>
  <c r="BK7" i="6"/>
  <c r="J7" i="6"/>
  <c r="AO7" i="6"/>
  <c r="CA8" i="6"/>
  <c r="CB8" i="6" s="1"/>
  <c r="BK8" i="6"/>
  <c r="J8" i="6"/>
  <c r="CO7" i="6"/>
  <c r="BI7" i="6"/>
  <c r="X7" i="6"/>
  <c r="BZ8" i="6"/>
  <c r="AO8" i="6"/>
  <c r="CO8" i="6"/>
  <c r="BI8" i="6"/>
  <c r="AJ7" i="6"/>
  <c r="T7" i="6"/>
  <c r="BA8" i="6"/>
  <c r="AJ8" i="6"/>
  <c r="CY7" i="6"/>
  <c r="AX7" i="6"/>
  <c r="CF3" i="6"/>
  <c r="BI3" i="6"/>
  <c r="AQ3" i="6"/>
  <c r="BA3" i="6"/>
  <c r="Q3" i="6"/>
  <c r="R3" i="6" s="1"/>
  <c r="BX3" i="6"/>
  <c r="AO3" i="6"/>
  <c r="AL3" i="6"/>
  <c r="DC3" i="6"/>
  <c r="AE3" i="6"/>
  <c r="CY3" i="6"/>
  <c r="AX3" i="6"/>
  <c r="AV3" i="6"/>
  <c r="CU3" i="6"/>
  <c r="CQ3" i="6"/>
  <c r="V3" i="6"/>
  <c r="T3" i="6"/>
  <c r="CO3" i="6"/>
  <c r="AH3" i="6"/>
  <c r="Z3" i="6"/>
  <c r="BN3" i="6"/>
  <c r="X3" i="6"/>
  <c r="BL3" i="6"/>
  <c r="AF3" i="6"/>
  <c r="CA3" i="6"/>
  <c r="CB3" i="6" s="1"/>
  <c r="AY3" i="6"/>
  <c r="CN3" i="6"/>
  <c r="CH3" i="6"/>
  <c r="CJ3" i="6" s="1"/>
  <c r="CK3" i="6" s="1"/>
  <c r="AM3" i="6"/>
  <c r="AA3" i="6"/>
  <c r="AB3" i="6" s="1"/>
  <c r="AJ3" i="6"/>
  <c r="CZ3" i="6"/>
  <c r="AT3" i="6"/>
  <c r="AQ13" i="15"/>
  <c r="N13" i="15"/>
  <c r="BW13" i="15"/>
  <c r="BR13" i="15"/>
  <c r="DZ13" i="15"/>
  <c r="CW13" i="15"/>
  <c r="BU13" i="15"/>
  <c r="EB13" i="15"/>
  <c r="CZ13" i="15"/>
  <c r="DW13" i="15"/>
  <c r="BH13" i="15"/>
  <c r="BF13" i="15"/>
  <c r="Y13" i="15"/>
  <c r="W13" i="15"/>
  <c r="AU13" i="15"/>
  <c r="BS13" i="15"/>
  <c r="AV13" i="15"/>
  <c r="BI13" i="15"/>
  <c r="BJ13" i="15" s="1"/>
  <c r="AF13" i="15"/>
  <c r="CY13" i="15"/>
  <c r="BP13" i="15"/>
  <c r="T13" i="15"/>
  <c r="CU13" i="15"/>
  <c r="DN13" i="15"/>
  <c r="BD13" i="15"/>
  <c r="AZ13" i="15"/>
  <c r="AC13" i="15"/>
  <c r="BB13" i="15"/>
  <c r="BN13" i="15"/>
  <c r="S13" i="15"/>
  <c r="BA13" i="15"/>
  <c r="AE13" i="15"/>
  <c r="Q13" i="15"/>
  <c r="AM13" i="15" s="1"/>
  <c r="R13" i="15"/>
  <c r="AT13" i="15"/>
  <c r="DH13" i="15"/>
  <c r="CP13" i="15"/>
  <c r="Z13" i="15"/>
  <c r="AO13" i="15"/>
  <c r="CR13" i="15"/>
  <c r="G13" i="15"/>
  <c r="CI9" i="14" l="1"/>
  <c r="CH11" i="14"/>
  <c r="CI11" i="14"/>
  <c r="CI8" i="14"/>
  <c r="CS5" i="6"/>
  <c r="CV5" i="6"/>
  <c r="CW5" i="6"/>
  <c r="CS4" i="6"/>
  <c r="CV4" i="6"/>
  <c r="CW4" i="6"/>
  <c r="CW9" i="6"/>
  <c r="CS9" i="6"/>
  <c r="CV9" i="6"/>
  <c r="CR7" i="6"/>
  <c r="CW7" i="6" s="1"/>
  <c r="CR8" i="6"/>
  <c r="CV8" i="6" s="1"/>
  <c r="CR3" i="6"/>
  <c r="CV3" i="6" s="1"/>
  <c r="AA13" i="15"/>
  <c r="CQ13" i="15"/>
  <c r="CS13" i="15" s="1"/>
  <c r="CK13" i="15"/>
  <c r="CS7" i="6" l="1"/>
  <c r="CV7" i="6"/>
  <c r="CW8" i="6"/>
  <c r="CS8" i="6"/>
  <c r="CW3" i="6"/>
  <c r="CS3" i="6"/>
  <c r="A2" i="14"/>
  <c r="A3" i="14"/>
  <c r="A4" i="14"/>
  <c r="A5" i="14"/>
  <c r="A6" i="14"/>
  <c r="A7" i="14"/>
  <c r="A8" i="14"/>
  <c r="A9" i="14"/>
  <c r="AH4" i="18"/>
  <c r="AD4" i="18"/>
  <c r="AY12" i="18"/>
  <c r="AY8" i="18"/>
  <c r="AY11" i="18"/>
  <c r="AY3" i="18"/>
  <c r="AY2" i="18"/>
  <c r="AY6" i="18"/>
  <c r="AY10" i="18"/>
  <c r="AY4" i="18"/>
  <c r="AY7" i="18"/>
  <c r="AY5" i="18"/>
  <c r="V2" i="18" l="1"/>
  <c r="U2" i="18"/>
  <c r="AR4" i="14"/>
  <c r="AH5" i="18"/>
  <c r="AG5" i="18"/>
  <c r="AD5" i="18"/>
  <c r="J3" i="6" l="1"/>
  <c r="AX4" i="18"/>
  <c r="AX10" i="18"/>
  <c r="AX5" i="18"/>
  <c r="AX6" i="18"/>
  <c r="AX3" i="18"/>
  <c r="AX7" i="18"/>
  <c r="AX11" i="18"/>
  <c r="AX8" i="18"/>
  <c r="AX2" i="18"/>
  <c r="AX12" i="18"/>
  <c r="A6" i="18" l="1"/>
  <c r="U7" i="18" l="1"/>
  <c r="M2" i="18"/>
  <c r="M4" i="18"/>
  <c r="M12" i="18"/>
  <c r="M10" i="18"/>
  <c r="M6" i="18"/>
  <c r="M3" i="18"/>
  <c r="M11" i="18"/>
  <c r="M7" i="18"/>
  <c r="M9" i="18"/>
  <c r="M5" i="18"/>
  <c r="M8" i="18"/>
  <c r="A2" i="18" l="1"/>
  <c r="B2" i="18"/>
  <c r="E9" i="18"/>
  <c r="L9" i="18"/>
  <c r="N9" i="18"/>
  <c r="U9" i="18"/>
  <c r="V9" i="18"/>
  <c r="AG9" i="18"/>
  <c r="AH9" i="18"/>
  <c r="AI9" i="18"/>
  <c r="AK9" i="18"/>
  <c r="AO9" i="18"/>
  <c r="AQ9" i="18"/>
  <c r="BF9" i="18"/>
  <c r="BH9" i="18"/>
  <c r="BJ9" i="18"/>
  <c r="A3" i="18"/>
  <c r="B3" i="18"/>
  <c r="C3" i="18"/>
  <c r="E11" i="18"/>
  <c r="L11" i="18"/>
  <c r="N11" i="18"/>
  <c r="U11" i="18"/>
  <c r="V11" i="18"/>
  <c r="AD11" i="18"/>
  <c r="AG11" i="18"/>
  <c r="AH11" i="18"/>
  <c r="AI11" i="18"/>
  <c r="AK11" i="18"/>
  <c r="AO11" i="18"/>
  <c r="AQ11" i="18"/>
  <c r="BF11" i="18"/>
  <c r="BH11" i="18"/>
  <c r="BJ11" i="18"/>
  <c r="A4" i="18"/>
  <c r="B4" i="18"/>
  <c r="C4" i="18"/>
  <c r="E10" i="18"/>
  <c r="L10" i="18"/>
  <c r="N10" i="18"/>
  <c r="U10" i="18"/>
  <c r="V10" i="18"/>
  <c r="AD10" i="18"/>
  <c r="AG10" i="18"/>
  <c r="AH10" i="18"/>
  <c r="AI10" i="18"/>
  <c r="AK10" i="18"/>
  <c r="AO10" i="18"/>
  <c r="AQ10" i="18"/>
  <c r="BF10" i="18"/>
  <c r="BH10" i="18"/>
  <c r="BJ10" i="18"/>
  <c r="A5" i="18"/>
  <c r="B5" i="18"/>
  <c r="C5" i="18"/>
  <c r="E8" i="18"/>
  <c r="L8" i="18"/>
  <c r="N8" i="18"/>
  <c r="U8" i="18"/>
  <c r="V8" i="18"/>
  <c r="AD8" i="18"/>
  <c r="AG8" i="18"/>
  <c r="AH8" i="18"/>
  <c r="AI8" i="18"/>
  <c r="AK8" i="18"/>
  <c r="AO8" i="18"/>
  <c r="AQ8" i="18"/>
  <c r="BF8" i="18"/>
  <c r="BH8" i="18"/>
  <c r="BJ8" i="18"/>
  <c r="B6" i="18"/>
  <c r="C6" i="18"/>
  <c r="E4" i="18"/>
  <c r="L4" i="18"/>
  <c r="N4" i="18"/>
  <c r="U4" i="18"/>
  <c r="V4" i="18"/>
  <c r="AG4" i="18"/>
  <c r="AI4" i="18"/>
  <c r="AK4" i="18"/>
  <c r="AO4" i="18"/>
  <c r="AQ4" i="18"/>
  <c r="BF4" i="18"/>
  <c r="BH4" i="18"/>
  <c r="BJ4" i="18"/>
  <c r="A7" i="18"/>
  <c r="B7" i="18"/>
  <c r="C7" i="18"/>
  <c r="E2" i="18"/>
  <c r="L2" i="18"/>
  <c r="N2" i="18"/>
  <c r="R2" i="18"/>
  <c r="AD2" i="18"/>
  <c r="AG2" i="18"/>
  <c r="AH2" i="18"/>
  <c r="AI2" i="18"/>
  <c r="AK2" i="18"/>
  <c r="AO2" i="18"/>
  <c r="AQ2" i="18"/>
  <c r="BF2" i="18"/>
  <c r="BH2" i="18"/>
  <c r="BJ2" i="18"/>
  <c r="A8" i="18"/>
  <c r="B8" i="18"/>
  <c r="C8" i="18"/>
  <c r="E6" i="18"/>
  <c r="L6" i="18"/>
  <c r="N6" i="18"/>
  <c r="U6" i="18"/>
  <c r="V6" i="18"/>
  <c r="AD6" i="18"/>
  <c r="AG6" i="18"/>
  <c r="AH6" i="18"/>
  <c r="AI6" i="18"/>
  <c r="AK6" i="18"/>
  <c r="AO6" i="18"/>
  <c r="AQ6" i="18"/>
  <c r="BF6" i="18"/>
  <c r="BH6" i="18"/>
  <c r="BJ6" i="18"/>
  <c r="A9" i="18"/>
  <c r="B9" i="18"/>
  <c r="C9" i="18"/>
  <c r="E12" i="18"/>
  <c r="L12" i="18"/>
  <c r="N12" i="18"/>
  <c r="U12" i="18"/>
  <c r="V12" i="18"/>
  <c r="AD12" i="18"/>
  <c r="AG12" i="18"/>
  <c r="AH12" i="18"/>
  <c r="AI12" i="18"/>
  <c r="AK12" i="18"/>
  <c r="AO12" i="18"/>
  <c r="AQ12" i="18"/>
  <c r="BF12" i="18"/>
  <c r="BH12" i="18"/>
  <c r="BJ12" i="18"/>
  <c r="A10" i="18"/>
  <c r="B10" i="18"/>
  <c r="C10" i="18"/>
  <c r="E3" i="18"/>
  <c r="L3" i="18"/>
  <c r="N3" i="18"/>
  <c r="U3" i="18"/>
  <c r="V3" i="18"/>
  <c r="AD3" i="18"/>
  <c r="AG3" i="18"/>
  <c r="AH3" i="18"/>
  <c r="AI3" i="18"/>
  <c r="AK3" i="18"/>
  <c r="AO3" i="18"/>
  <c r="AQ3" i="18"/>
  <c r="BF3" i="18"/>
  <c r="BH3" i="18"/>
  <c r="BJ3" i="18"/>
  <c r="A11" i="18"/>
  <c r="B11" i="18"/>
  <c r="C11" i="18"/>
  <c r="E7" i="18"/>
  <c r="L7" i="18"/>
  <c r="N7" i="18"/>
  <c r="V7" i="18"/>
  <c r="AD7" i="18"/>
  <c r="AG7" i="18"/>
  <c r="AH7" i="18"/>
  <c r="AI7" i="18"/>
  <c r="AK7" i="18"/>
  <c r="AO7" i="18"/>
  <c r="AQ7" i="18"/>
  <c r="BF7" i="18"/>
  <c r="BH7" i="18"/>
  <c r="BJ7" i="18"/>
  <c r="A12" i="18"/>
  <c r="B12" i="18"/>
  <c r="C12" i="18"/>
  <c r="E5" i="18"/>
  <c r="L5" i="18"/>
  <c r="N5" i="18"/>
  <c r="U5" i="18"/>
  <c r="V5" i="18"/>
  <c r="AI5" i="18"/>
  <c r="AK5" i="18"/>
  <c r="AO5" i="18"/>
  <c r="AQ5" i="18"/>
  <c r="BF5" i="18"/>
  <c r="BH5" i="18"/>
  <c r="BJ5" i="18"/>
  <c r="D14" i="18"/>
  <c r="O9" i="18" l="1"/>
  <c r="D4" i="18"/>
  <c r="O3" i="18"/>
  <c r="D10" i="18"/>
  <c r="O4" i="18"/>
  <c r="D7" i="18"/>
  <c r="O10" i="18"/>
  <c r="D8" i="18"/>
  <c r="O12" i="18"/>
  <c r="D6" i="18"/>
  <c r="O7" i="18"/>
  <c r="D3" i="18"/>
  <c r="O11" i="18"/>
  <c r="D9" i="18"/>
  <c r="O8" i="18"/>
  <c r="D12" i="18"/>
  <c r="K12" i="18" s="1"/>
  <c r="O6" i="18"/>
  <c r="D5" i="18"/>
  <c r="O5" i="18"/>
  <c r="D11" i="18"/>
  <c r="O2" i="18"/>
  <c r="AB2" i="18"/>
  <c r="AM4" i="18"/>
  <c r="AM9" i="18"/>
  <c r="AM7" i="18"/>
  <c r="AM8" i="18"/>
  <c r="AM11" i="18"/>
  <c r="AM3" i="18"/>
  <c r="AM2" i="18"/>
  <c r="AM10" i="18"/>
  <c r="AM12" i="18"/>
  <c r="AM5" i="18"/>
  <c r="AM6" i="18"/>
  <c r="W9" i="18"/>
  <c r="W11" i="18"/>
  <c r="D22" i="18"/>
  <c r="AB8" i="18"/>
  <c r="W7" i="18"/>
  <c r="W2" i="18"/>
  <c r="AB10" i="18"/>
  <c r="W6" i="18"/>
  <c r="AS2" i="18"/>
  <c r="AS8" i="18"/>
  <c r="AS7" i="18"/>
  <c r="AB4" i="18"/>
  <c r="AS12" i="18"/>
  <c r="AB6" i="18"/>
  <c r="W4" i="18"/>
  <c r="W5" i="18"/>
  <c r="AB12" i="18"/>
  <c r="AS9" i="18"/>
  <c r="W12" i="18"/>
  <c r="AS5" i="18"/>
  <c r="AB9" i="18"/>
  <c r="AS3" i="18"/>
  <c r="AB11" i="18"/>
  <c r="D19" i="18"/>
  <c r="W10" i="18"/>
  <c r="AB7" i="18"/>
  <c r="W8" i="18"/>
  <c r="AB3" i="18"/>
  <c r="AB5" i="18"/>
  <c r="W3" i="18"/>
  <c r="AS10" i="18"/>
  <c r="AS11" i="18"/>
  <c r="AS4" i="18"/>
  <c r="AS6" i="18"/>
  <c r="Q3" i="18" l="1"/>
  <c r="K3" i="18"/>
  <c r="Q9" i="18"/>
  <c r="K9" i="18"/>
  <c r="Q8" i="18"/>
  <c r="K8" i="18"/>
  <c r="Q6" i="18"/>
  <c r="K6" i="18"/>
  <c r="Q7" i="18"/>
  <c r="K7" i="18"/>
  <c r="Q10" i="18"/>
  <c r="K10" i="18"/>
  <c r="Q5" i="18"/>
  <c r="K5" i="18"/>
  <c r="Q11" i="18"/>
  <c r="K11" i="18"/>
  <c r="Q4" i="18"/>
  <c r="K4" i="18"/>
  <c r="BG12" i="18"/>
  <c r="Q12" i="18"/>
  <c r="AC4" i="18"/>
  <c r="P6" i="18"/>
  <c r="BI8" i="18"/>
  <c r="AJ6" i="18"/>
  <c r="AU11" i="18"/>
  <c r="AU12" i="18"/>
  <c r="T3" i="18"/>
  <c r="AA3" i="18"/>
  <c r="AL10" i="18"/>
  <c r="AC2" i="18"/>
  <c r="BI4" i="18"/>
  <c r="AU2" i="18"/>
  <c r="F2" i="18"/>
  <c r="AA12" i="18"/>
  <c r="BI2" i="18"/>
  <c r="H2" i="18"/>
  <c r="AJ4" i="18"/>
  <c r="BE4" i="18"/>
  <c r="AU4" i="18"/>
  <c r="F4" i="18"/>
  <c r="P4" i="18"/>
  <c r="AE4" i="18"/>
  <c r="BG4" i="18"/>
  <c r="AF4" i="18"/>
  <c r="AA4" i="18"/>
  <c r="T4" i="18"/>
  <c r="AL4" i="18"/>
  <c r="AP4" i="18"/>
  <c r="AZ4" i="18"/>
  <c r="AW4" i="18"/>
  <c r="G4" i="18"/>
  <c r="H4" i="18"/>
  <c r="AA2" i="18"/>
  <c r="AR2" i="18"/>
  <c r="AW2" i="18"/>
  <c r="Y12" i="18"/>
  <c r="Q2" i="18"/>
  <c r="BE9" i="18"/>
  <c r="BG9" i="18"/>
  <c r="T2" i="18"/>
  <c r="BG10" i="18"/>
  <c r="AJ2" i="18"/>
  <c r="AF2" i="18"/>
  <c r="AJ9" i="18"/>
  <c r="P9" i="18"/>
  <c r="AA9" i="18"/>
  <c r="AZ10" i="18"/>
  <c r="AZ2" i="18"/>
  <c r="AL2" i="18"/>
  <c r="AZ9" i="18"/>
  <c r="AC9" i="18"/>
  <c r="T9" i="18"/>
  <c r="AP2" i="18"/>
  <c r="AE9" i="18"/>
  <c r="AF9" i="18"/>
  <c r="H9" i="18"/>
  <c r="AR9" i="18"/>
  <c r="G9" i="18"/>
  <c r="AL9" i="18"/>
  <c r="P2" i="18"/>
  <c r="AE2" i="18"/>
  <c r="BI12" i="18"/>
  <c r="T7" i="18"/>
  <c r="Y5" i="18"/>
  <c r="AU7" i="18"/>
  <c r="Y3" i="18"/>
  <c r="BE3" i="18"/>
  <c r="AU3" i="18"/>
  <c r="BG5" i="18"/>
  <c r="P3" i="18"/>
  <c r="AC3" i="18"/>
  <c r="F5" i="18"/>
  <c r="F9" i="18"/>
  <c r="BI9" i="18"/>
  <c r="AF3" i="18"/>
  <c r="AW3" i="18"/>
  <c r="AF7" i="18"/>
  <c r="AP9" i="18"/>
  <c r="AA5" i="18"/>
  <c r="AF5" i="18"/>
  <c r="AR5" i="18"/>
  <c r="AC5" i="18"/>
  <c r="AE5" i="18"/>
  <c r="AZ3" i="18"/>
  <c r="AP5" i="18"/>
  <c r="BI3" i="18"/>
  <c r="H3" i="18"/>
  <c r="AW5" i="18"/>
  <c r="AE3" i="18"/>
  <c r="AZ5" i="18"/>
  <c r="T5" i="18"/>
  <c r="AW10" i="18"/>
  <c r="F3" i="18"/>
  <c r="AR3" i="18"/>
  <c r="G5" i="18"/>
  <c r="Y2" i="18"/>
  <c r="AW9" i="18"/>
  <c r="AU9" i="18"/>
  <c r="AU5" i="18"/>
  <c r="G3" i="18"/>
  <c r="BE5" i="18"/>
  <c r="AJ5" i="18"/>
  <c r="AP3" i="18"/>
  <c r="AJ3" i="18"/>
  <c r="AL5" i="18"/>
  <c r="BI5" i="18"/>
  <c r="P5" i="18"/>
  <c r="BG3" i="18"/>
  <c r="AL3" i="18"/>
  <c r="H5" i="18"/>
  <c r="Y9" i="18"/>
  <c r="T10" i="18"/>
  <c r="BE10" i="18"/>
  <c r="AZ12" i="18"/>
  <c r="P12" i="18"/>
  <c r="AF10" i="18"/>
  <c r="F12" i="18"/>
  <c r="AE10" i="18"/>
  <c r="BE2" i="18"/>
  <c r="P11" i="18"/>
  <c r="BG2" i="18"/>
  <c r="G2" i="18"/>
  <c r="AR4" i="18"/>
  <c r="G10" i="18"/>
  <c r="AE12" i="18"/>
  <c r="AW7" i="18"/>
  <c r="AU10" i="18"/>
  <c r="AC7" i="18"/>
  <c r="AP7" i="18"/>
  <c r="AJ12" i="18"/>
  <c r="AL12" i="18"/>
  <c r="H11" i="18"/>
  <c r="G11" i="18"/>
  <c r="P7" i="18"/>
  <c r="P10" i="18"/>
  <c r="H7" i="18"/>
  <c r="H12" i="18"/>
  <c r="BI10" i="18"/>
  <c r="P8" i="18"/>
  <c r="AJ8" i="18"/>
  <c r="F11" i="18"/>
  <c r="BE7" i="18"/>
  <c r="AP11" i="18"/>
  <c r="T11" i="18"/>
  <c r="AL7" i="18"/>
  <c r="AE8" i="18"/>
  <c r="BG7" i="18"/>
  <c r="BG11" i="18"/>
  <c r="AW8" i="18"/>
  <c r="BI11" i="18"/>
  <c r="BE11" i="18"/>
  <c r="BI7" i="18"/>
  <c r="H10" i="18"/>
  <c r="AR10" i="18"/>
  <c r="AC12" i="18"/>
  <c r="AC10" i="18"/>
  <c r="Y4" i="18"/>
  <c r="AU6" i="18"/>
  <c r="BG8" i="18"/>
  <c r="AF6" i="18"/>
  <c r="AR8" i="18"/>
  <c r="Y11" i="18"/>
  <c r="AR12" i="18"/>
  <c r="AE6" i="18"/>
  <c r="G12" i="18"/>
  <c r="AW11" i="18"/>
  <c r="BG6" i="18"/>
  <c r="H6" i="18"/>
  <c r="AC11" i="18"/>
  <c r="AP12" i="18"/>
  <c r="AF11" i="18"/>
  <c r="AW12" i="18"/>
  <c r="T12" i="18"/>
  <c r="F10" i="18"/>
  <c r="AJ10" i="18"/>
  <c r="Y8" i="18"/>
  <c r="AF8" i="18"/>
  <c r="AL11" i="18"/>
  <c r="AW6" i="18"/>
  <c r="AR7" i="18"/>
  <c r="AF12" i="18"/>
  <c r="AP10" i="18"/>
  <c r="Y7" i="18"/>
  <c r="G6" i="18"/>
  <c r="AC8" i="18"/>
  <c r="F6" i="18"/>
  <c r="AZ6" i="18"/>
  <c r="H8" i="18"/>
  <c r="T8" i="18"/>
  <c r="AZ11" i="18"/>
  <c r="AL8" i="18"/>
  <c r="AA8" i="18"/>
  <c r="AZ8" i="18"/>
  <c r="AP6" i="18"/>
  <c r="AC6" i="18"/>
  <c r="AR6" i="18"/>
  <c r="AJ7" i="18"/>
  <c r="G7" i="18"/>
  <c r="BE8" i="18"/>
  <c r="AA11" i="18"/>
  <c r="AZ7" i="18"/>
  <c r="AJ11" i="18"/>
  <c r="AA6" i="18"/>
  <c r="AL6" i="18"/>
  <c r="AN6" i="18" s="1"/>
  <c r="F7" i="18"/>
  <c r="BE12" i="18"/>
  <c r="Y6" i="18"/>
  <c r="AA10" i="18"/>
  <c r="F8" i="18"/>
  <c r="AE11" i="18"/>
  <c r="BE6" i="18"/>
  <c r="T6" i="18"/>
  <c r="AE7" i="18"/>
  <c r="AR11" i="18"/>
  <c r="Y10" i="18"/>
  <c r="AA7" i="18"/>
  <c r="G8" i="18"/>
  <c r="AU8" i="18"/>
  <c r="AP8" i="18"/>
  <c r="BI6" i="18"/>
  <c r="AN9" i="18" l="1"/>
  <c r="AN10" i="18"/>
  <c r="I12" i="18"/>
  <c r="I2" i="18"/>
  <c r="I9" i="18"/>
  <c r="I4" i="18"/>
  <c r="AN4" i="18"/>
  <c r="AN2" i="18"/>
  <c r="AN12" i="18"/>
  <c r="I5" i="18"/>
  <c r="I3" i="18"/>
  <c r="AN5" i="18"/>
  <c r="AN3" i="18"/>
  <c r="I10" i="18"/>
  <c r="I11" i="18"/>
  <c r="AN8" i="18"/>
  <c r="I6" i="18"/>
  <c r="D16" i="18"/>
  <c r="D21" i="18"/>
  <c r="D20" i="18"/>
  <c r="AN11" i="18"/>
  <c r="B20" i="18"/>
  <c r="B16" i="18"/>
  <c r="D18" i="18"/>
  <c r="D17" i="18"/>
  <c r="B21" i="18"/>
  <c r="B18" i="18"/>
  <c r="I8" i="18"/>
  <c r="D15" i="18"/>
  <c r="B15" i="18"/>
  <c r="B19" i="18"/>
  <c r="B22" i="18"/>
  <c r="AN7" i="18"/>
  <c r="I7" i="18"/>
  <c r="B17" i="18" l="1"/>
  <c r="W4" i="14"/>
  <c r="L4" i="14" l="1"/>
  <c r="BJ4" i="14"/>
  <c r="CB4" i="14"/>
  <c r="CR4" i="14"/>
  <c r="CX4" i="14"/>
  <c r="CV4" i="14"/>
  <c r="CT4" i="14"/>
  <c r="CZ4" i="14"/>
  <c r="K11" i="14" l="1"/>
  <c r="K2" i="14"/>
  <c r="K9" i="14"/>
  <c r="CM4" i="14"/>
  <c r="K10" i="14"/>
  <c r="K5" i="14"/>
  <c r="K3" i="14"/>
  <c r="K7" i="14"/>
  <c r="K8" i="14"/>
  <c r="K6" i="14"/>
  <c r="X4" i="14"/>
  <c r="DA4" i="14"/>
  <c r="B4" i="14" l="1"/>
  <c r="C4" i="14"/>
  <c r="D4" i="14"/>
  <c r="E4" i="14"/>
  <c r="G4" i="14"/>
  <c r="I4" i="14"/>
  <c r="J4" i="14"/>
  <c r="P4" i="14"/>
  <c r="Y4" i="14" s="1"/>
  <c r="Q4" i="14"/>
  <c r="AA4" i="14" s="1"/>
  <c r="AH4" i="14"/>
  <c r="T4" i="14"/>
  <c r="U4" i="14"/>
  <c r="AM4" i="14"/>
  <c r="AO4" i="14" s="1"/>
  <c r="AP4" i="14"/>
  <c r="AT4" i="14"/>
  <c r="BC4" i="14"/>
  <c r="BE4" i="14"/>
  <c r="BH4" i="14"/>
  <c r="BI4" i="14"/>
  <c r="AY4" i="14"/>
  <c r="AZ4" i="14" s="1"/>
  <c r="BO4" i="14"/>
  <c r="BT4" i="14"/>
  <c r="BU4" i="14"/>
  <c r="BX4" i="14" s="1"/>
  <c r="BY4" i="14"/>
  <c r="CA4" i="14"/>
  <c r="CC4" i="14"/>
  <c r="DC4" i="14"/>
  <c r="AU4" i="14" l="1"/>
  <c r="AX4" i="14"/>
  <c r="R4" i="14"/>
  <c r="V4" i="14"/>
  <c r="BW4" i="14"/>
  <c r="BV4" i="14" s="1"/>
  <c r="AV4" i="14"/>
  <c r="AW4" i="14" s="1"/>
  <c r="BA4" i="14"/>
  <c r="BN4" i="14" s="1"/>
  <c r="BK4" i="14"/>
  <c r="AQ4" i="14"/>
  <c r="CY4" i="14"/>
  <c r="CK4" i="14"/>
  <c r="BD4" i="14"/>
  <c r="BB4" i="14"/>
  <c r="BG4" i="14"/>
  <c r="S4" i="14"/>
  <c r="CU4" i="14"/>
  <c r="AJ4" i="14"/>
  <c r="AK4" i="14"/>
  <c r="AL4" i="14" s="1"/>
  <c r="Z4" i="14"/>
  <c r="BZ4" i="14"/>
  <c r="CS4" i="14"/>
  <c r="AN4" i="14"/>
  <c r="AF4" i="14"/>
  <c r="AS4" i="14"/>
  <c r="BF4" i="14"/>
  <c r="CW4" i="14"/>
  <c r="CD4" i="14"/>
  <c r="AB4" i="14"/>
  <c r="BP4" i="14"/>
  <c r="AC4" i="14"/>
  <c r="BL4" i="14" l="1"/>
  <c r="CG4" i="14" s="1"/>
  <c r="CE4" i="14"/>
  <c r="CF4" i="14" s="1"/>
  <c r="BM4" i="14"/>
  <c r="CH4" i="14" l="1"/>
  <c r="CI4" i="14"/>
  <c r="K4" i="14" l="1"/>
  <c r="AX9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Allan Ferracioli</author>
  </authors>
  <commentList>
    <comment ref="BE1" authorId="0" shapeId="0" xr:uid="{25326FD7-7603-439F-B026-4FCD331AF9E1}">
      <text>
        <r>
          <rPr>
            <b/>
            <sz val="9"/>
            <color indexed="81"/>
            <rFont val="Segoe UI"/>
            <family val="2"/>
          </rPr>
          <t>Mais um cálculo Moneyball-Mustermann.
É um cálculo que mede o "xG defendido por jogo" dividido pela "quantidade de clean sheets a cada 90 minutos".
Combinada com a métrica Expected Goals Prevented pode te entregar um goleiro de elite.</t>
        </r>
      </text>
    </comment>
    <comment ref="BF1" authorId="0" shapeId="0" xr:uid="{5DA1E79E-4736-4538-9696-4A6CD67AD7C7}">
      <text>
        <r>
          <rPr>
            <b/>
            <sz val="9"/>
            <color indexed="81"/>
            <rFont val="Segoe UI"/>
            <family val="2"/>
          </rPr>
          <t xml:space="preserve">O xGP ou Expected Goals Prevented </t>
        </r>
        <r>
          <rPr>
            <sz val="9"/>
            <color indexed="81"/>
            <rFont val="Segoe UI"/>
            <family val="2"/>
          </rPr>
          <t xml:space="preserve">é uma relação entre </t>
        </r>
        <r>
          <rPr>
            <b/>
            <sz val="9"/>
            <color indexed="81"/>
            <rFont val="Segoe UI"/>
            <family val="2"/>
          </rPr>
          <t>Clean Sheets (Sem gol)</t>
        </r>
        <r>
          <rPr>
            <sz val="9"/>
            <color indexed="81"/>
            <rFont val="Segoe UI"/>
            <family val="2"/>
          </rPr>
          <t xml:space="preserve"> e os </t>
        </r>
        <r>
          <rPr>
            <b/>
            <sz val="9"/>
            <color indexed="81"/>
            <rFont val="Segoe UI"/>
            <family val="2"/>
          </rPr>
          <t>xG defendidos</t>
        </r>
        <r>
          <rPr>
            <sz val="9"/>
            <color indexed="81"/>
            <rFont val="Segoe UI"/>
            <family val="2"/>
          </rPr>
          <t>.</t>
        </r>
        <r>
          <rPr>
            <b/>
            <sz val="9"/>
            <color indexed="81"/>
            <rFont val="Segoe UI"/>
            <family val="2"/>
          </rPr>
          <t xml:space="preserve">
Por exemplo: 
</t>
        </r>
        <r>
          <rPr>
            <sz val="9"/>
            <color indexed="81"/>
            <rFont val="Segoe UI"/>
            <family val="2"/>
          </rPr>
          <t>Se um goleiro enfrenta</t>
        </r>
        <r>
          <rPr>
            <b/>
            <sz val="9"/>
            <color indexed="81"/>
            <rFont val="Segoe UI"/>
            <family val="2"/>
          </rPr>
          <t xml:space="preserve"> 1.0 xG</t>
        </r>
        <r>
          <rPr>
            <sz val="9"/>
            <color indexed="81"/>
            <rFont val="Segoe UI"/>
            <family val="2"/>
          </rPr>
          <t xml:space="preserve"> por 90 minutos mas previne </t>
        </r>
        <r>
          <rPr>
            <b/>
            <sz val="9"/>
            <color indexed="81"/>
            <rFont val="Segoe UI"/>
            <family val="2"/>
          </rPr>
          <t>0.2</t>
        </r>
        <r>
          <rPr>
            <sz val="9"/>
            <color indexed="81"/>
            <rFont val="Segoe UI"/>
            <family val="2"/>
          </rPr>
          <t xml:space="preserve"> de</t>
        </r>
        <r>
          <rPr>
            <b/>
            <sz val="9"/>
            <color indexed="81"/>
            <rFont val="Segoe UI"/>
            <family val="2"/>
          </rPr>
          <t xml:space="preserve"> xG</t>
        </r>
        <r>
          <rPr>
            <sz val="9"/>
            <color indexed="81"/>
            <rFont val="Segoe UI"/>
            <family val="2"/>
          </rPr>
          <t xml:space="preserve">, ele preveniu </t>
        </r>
        <r>
          <rPr>
            <b/>
            <sz val="9"/>
            <color indexed="81"/>
            <rFont val="Segoe UI"/>
            <family val="2"/>
          </rPr>
          <t>20%</t>
        </r>
        <r>
          <rPr>
            <sz val="9"/>
            <color indexed="81"/>
            <rFont val="Segoe UI"/>
            <family val="2"/>
          </rPr>
          <t xml:space="preserve"> então o cálculo será </t>
        </r>
        <r>
          <rPr>
            <b/>
            <sz val="9"/>
            <color indexed="81"/>
            <rFont val="Segoe UI"/>
            <family val="2"/>
          </rPr>
          <t>20%</t>
        </r>
        <r>
          <rPr>
            <sz val="9"/>
            <color indexed="81"/>
            <rFont val="Segoe UI"/>
            <family val="2"/>
          </rPr>
          <t xml:space="preserve">.
</t>
        </r>
        <r>
          <rPr>
            <b/>
            <sz val="9"/>
            <color indexed="81"/>
            <rFont val="Segoe UI"/>
            <family val="2"/>
          </rPr>
          <t>Nota: Não é um valor 100% preciso, mas ajuda a contextualizar a métrica.</t>
        </r>
        <r>
          <rPr>
            <sz val="9"/>
            <color indexed="81"/>
            <rFont val="Segoe UI"/>
            <family val="2"/>
          </rPr>
          <t xml:space="preserve">
Créditos a </t>
        </r>
        <r>
          <rPr>
            <b/>
            <sz val="9"/>
            <color indexed="81"/>
            <rFont val="Segoe UI"/>
            <family val="2"/>
          </rPr>
          <t>MustermannFM</t>
        </r>
        <r>
          <rPr>
            <sz val="9"/>
            <color indexed="81"/>
            <rFont val="Segoe UI"/>
            <family val="2"/>
          </rPr>
          <t xml:space="preserve"> por esse cálculo.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Allan Ferracioli</author>
  </authors>
  <commentList>
    <comment ref="AV1" authorId="0" shapeId="0" xr:uid="{E567B958-6D25-4C65-AF51-6798EA1969D1}">
      <text>
        <r>
          <rPr>
            <b/>
            <sz val="9"/>
            <color indexed="81"/>
            <rFont val="Segoe UI"/>
            <charset val="1"/>
          </rPr>
          <t xml:space="preserve">Nota:
</t>
        </r>
        <r>
          <rPr>
            <sz val="9"/>
            <color indexed="81"/>
            <rFont val="Segoe UI"/>
            <family val="2"/>
          </rPr>
          <t>Isso é uma estimativa. Não da pra ter 100% de certeza de quantos remates foram em cabeceio ou foram feitos com os pés.
Pode ter uma diferença de entre 5 a 15% para menos.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  <author>Allan Ferracioli</author>
  </authors>
  <commentList>
    <comment ref="W1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>Desarmes certos + Pressões certas + Interceptações Feitas</t>
        </r>
      </text>
    </comment>
    <comment ref="CP1" authorId="1" shapeId="0" xr:uid="{7DF87762-A113-40F4-AC09-B191672DA1AC}">
      <text>
        <r>
          <rPr>
            <b/>
            <sz val="9"/>
            <color indexed="81"/>
            <rFont val="Segoe UI"/>
            <family val="2"/>
          </rPr>
          <t>Assistências esperadas - Assistências reais
Quantidade de assistências que eram esperadas para se consolidarem, e que se consolidaram ou não.
Quando negativo: Ele tem assistências que não eram esperadas.
Quando positivo: Desperdiçaram chances que se converteriam em assistências.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Allan Ferracioli</author>
    <author>Usuario</author>
  </authors>
  <commentList>
    <comment ref="V1" authorId="0" shapeId="0" xr:uid="{B8017AEC-5D93-4A9F-A679-532EF4156F71}">
      <text>
        <r>
          <rPr>
            <b/>
            <sz val="9"/>
            <color indexed="81"/>
            <rFont val="Segoe UI"/>
            <family val="2"/>
          </rPr>
          <t>Nota: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As bolas paradas podem ser:</t>
        </r>
        <r>
          <rPr>
            <sz val="9"/>
            <color indexed="81"/>
            <rFont val="Segoe UI"/>
            <family val="2"/>
          </rPr>
          <t xml:space="preserve">
- Laterais
- Escanteios
- Faltas (Livres)
Então não se limita apenas a escanteios.
Por isso podem haver casos de números bem elevados.</t>
        </r>
      </text>
    </comment>
    <comment ref="BN1" authorId="0" shapeId="0" xr:uid="{EF11CA76-042D-402A-BEBB-932F3D1576F5}">
      <text>
        <r>
          <rPr>
            <b/>
            <sz val="9"/>
            <color indexed="81"/>
            <rFont val="Segoe UI"/>
            <family val="2"/>
          </rPr>
          <t>Assistências esperadas - Assistências reais
Quantidade de assistências que eram esperadas para se consolidarem, e que se consolidaram ou não.
Quando negativo: Ele tem assistências que não eram esperadas.
Quando positivo: Desperdiçaram chances que se converteriam em assistências.</t>
        </r>
      </text>
    </comment>
    <comment ref="CG1" authorId="1" shapeId="0" xr:uid="{00000000-0006-0000-0500-000001000000}">
      <text>
        <r>
          <rPr>
            <b/>
            <sz val="9"/>
            <color indexed="81"/>
            <rFont val="Segoe UI"/>
            <family val="2"/>
          </rPr>
          <t>Ações com Bola: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Cruzamentos Tentados, Remates tentados, Fintas, Passes decisivos em jogo aberto.</t>
        </r>
      </text>
    </comment>
    <comment ref="CK1" authorId="1" shapeId="0" xr:uid="{00000000-0006-0000-0500-000002000000}">
      <text>
        <r>
          <rPr>
            <b/>
            <sz val="9"/>
            <color indexed="81"/>
            <rFont val="Segoe UI"/>
            <family val="2"/>
          </rPr>
          <t>Nota: Nem sempre o melhor jogador é o que tem a melhor %.
A taxa de cruzamentos pode variar, pois depende de um segundo jogador pra completar a ação. Então não necesseriamente uma baixa % significaria que o jogador em questão erra muito.
Foque em consistência de tentativas e acertos.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Allan Ferracioli</author>
    <author>Usuario</author>
  </authors>
  <commentList>
    <comment ref="AR1" authorId="0" shapeId="0" xr:uid="{7FC317A3-031A-4963-A307-8457A8B217E4}">
      <text>
        <r>
          <rPr>
            <b/>
            <sz val="9"/>
            <color indexed="81"/>
            <rFont val="Segoe UI"/>
            <family val="2"/>
          </rPr>
          <t>Nota: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As bolas paradas podem ser:</t>
        </r>
        <r>
          <rPr>
            <sz val="9"/>
            <color indexed="81"/>
            <rFont val="Segoe UI"/>
            <family val="2"/>
          </rPr>
          <t xml:space="preserve">
- Laterais
- Escanteios
- Faltas (Livres)
Então não se limita apenas a escanteios.
Por isso podem haver casos de números bem elevados.</t>
        </r>
      </text>
    </comment>
    <comment ref="BU1" authorId="1" shapeId="0" xr:uid="{00000000-0006-0000-0600-000001000000}">
      <text>
        <r>
          <rPr>
            <b/>
            <sz val="9"/>
            <color indexed="81"/>
            <rFont val="Segoe UI"/>
            <family val="2"/>
          </rPr>
          <t>GPI:
O GPI (Goal Probability Index) é uma métrica que avalia a eficácia de um atacante em converter chances de gol e contribuir para o desempenho ofensivo do time. Ele considera tanto a qualidade das oportunidades criadas quanto a eficiência do jogador em transformá-las em gols.
Interpretação:
Eficiência: A relação entre Gols Marcados e xG mostra se o atacante está convertendo as chances conforme o esperado ou se está superando as expectativas.
Identifica atacantes com alta eficiência e contribuição ofensiva, mesmo que não sejam os que mais marcam gols.
Ajuda na decisão de contratações, valorizando jogadores com desempenho sólido e consistente.
É um cálculo inspirado e com base nos cálculos utilizados no método "Moneyball".</t>
        </r>
      </text>
    </comment>
    <comment ref="CR1" authorId="0" shapeId="0" xr:uid="{ABC0FB5B-599E-42B5-B071-DCACE7146682}">
      <text>
        <r>
          <rPr>
            <b/>
            <sz val="9"/>
            <color indexed="81"/>
            <rFont val="Segoe UI"/>
            <family val="2"/>
          </rPr>
          <t xml:space="preserve">Quando negativos:
</t>
        </r>
        <r>
          <rPr>
            <sz val="9"/>
            <color indexed="81"/>
            <rFont val="Segoe UI"/>
            <family val="2"/>
          </rPr>
          <t>A Equipe desperdiçou</t>
        </r>
        <r>
          <rPr>
            <b/>
            <sz val="9"/>
            <color indexed="81"/>
            <rFont val="Segoe UI"/>
            <family val="2"/>
          </rPr>
          <t xml:space="preserve">
Quando positivos:
</t>
        </r>
        <r>
          <rPr>
            <sz val="9"/>
            <color indexed="81"/>
            <rFont val="Segoe UI"/>
            <family val="2"/>
          </rPr>
          <t>A equipe concluiu chances não esperadas.</t>
        </r>
      </text>
    </comment>
    <comment ref="DX1" authorId="1" shapeId="0" xr:uid="{00000000-0006-0000-0600-000002000000}">
      <text>
        <r>
          <rPr>
            <b/>
            <sz val="9"/>
            <color indexed="81"/>
            <rFont val="Segoe UI"/>
            <family val="2"/>
          </rPr>
          <t>Ações com Bola: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Cruzamentos Tentados, Remates tentados, Fintas, Passes decisivos em jogo aberto.</t>
        </r>
      </text>
    </comment>
    <comment ref="EB1" authorId="1" shapeId="0" xr:uid="{00000000-0006-0000-0600-000003000000}">
      <text>
        <r>
          <rPr>
            <b/>
            <sz val="9"/>
            <color indexed="81"/>
            <rFont val="Segoe UI"/>
            <family val="2"/>
          </rPr>
          <t>Nota: Nem sempre o melhor jogador é o que tem a melhor %.
A taxa de cruzamentos pode variar, pois depende de um segundo jogador pra completar a ação. Então não necesseriamente uma baixa % significaria que o jogador em questão erra muito.
Foque em consistência de tentativas e acertos.</t>
        </r>
      </text>
    </comment>
    <comment ref="EC1" authorId="1" shapeId="0" xr:uid="{00000000-0006-0000-0600-000004000000}">
      <text>
        <r>
          <rPr>
            <b/>
            <sz val="9"/>
            <color indexed="81"/>
            <rFont val="Segoe UI"/>
            <family val="2"/>
          </rPr>
          <t xml:space="preserve">Nessa lista:
</t>
        </r>
        <r>
          <rPr>
            <sz val="9"/>
            <color indexed="81"/>
            <rFont val="Segoe UI"/>
            <family val="2"/>
          </rPr>
          <t>- Remates tentados
- Fintas feitas
- Cruzamentos feitos
- Passes decisivos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>- Oportunidades claras de gol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O1" authorId="0" shapeId="0" xr:uid="{00000000-0006-0000-0800-000001000000}">
      <text>
        <r>
          <rPr>
            <b/>
            <sz val="9"/>
            <color indexed="81"/>
            <rFont val="Segoe UI"/>
            <family val="2"/>
          </rPr>
          <t>Ações com Bola: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Cruzamentos Tentados, Remates tentados, Fintas, Passes decisivos em jogo aberto.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DM1" authorId="0" shapeId="0" xr:uid="{00000000-0006-0000-0700-000001000000}">
      <text>
        <r>
          <rPr>
            <b/>
            <sz val="9"/>
            <color indexed="81"/>
            <rFont val="Segoe UI"/>
            <family val="2"/>
          </rPr>
          <t>Ações com Bola: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Cruzamentos Tentados, Remates tentados, Fintas, Passes decisivos em jogo aberto.</t>
        </r>
      </text>
    </comment>
    <comment ref="EB1" authorId="0" shapeId="0" xr:uid="{00000000-0006-0000-0700-000002000000}">
      <text>
        <r>
          <rPr>
            <b/>
            <sz val="9"/>
            <color indexed="81"/>
            <rFont val="Segoe UI"/>
            <family val="2"/>
          </rPr>
          <t>Usuario:</t>
        </r>
        <r>
          <rPr>
            <sz val="9"/>
            <color indexed="81"/>
            <rFont val="Segoe UI"/>
            <family val="2"/>
          </rPr>
          <t xml:space="preserve">
A soma de todas as notas que o jogador recebeu até então.
Exemplo: Duas partidas nota 7,0 equivalem a uma Pontuação recebida de 14,0.</t>
        </r>
      </text>
    </comment>
  </commentList>
</comments>
</file>

<file path=xl/sharedStrings.xml><?xml version="1.0" encoding="utf-8"?>
<sst xmlns="http://schemas.openxmlformats.org/spreadsheetml/2006/main" count="2437" uniqueCount="1202">
  <si>
    <t>Clube</t>
  </si>
  <si>
    <t>Idade</t>
  </si>
  <si>
    <t>Valor Estimado</t>
  </si>
  <si>
    <t>Salário</t>
  </si>
  <si>
    <t>OCG</t>
  </si>
  <si>
    <t>Pens</t>
  </si>
  <si>
    <t>Golos DS</t>
  </si>
  <si>
    <t>xG</t>
  </si>
  <si>
    <t>Remates</t>
  </si>
  <si>
    <t>Rem %</t>
  </si>
  <si>
    <t>Fnt</t>
  </si>
  <si>
    <t>Cab A</t>
  </si>
  <si>
    <t>Fj</t>
  </si>
  <si>
    <t>BRA</t>
  </si>
  <si>
    <t>Inf</t>
  </si>
  <si>
    <t>Pas A</t>
  </si>
  <si>
    <t>Ps C</t>
  </si>
  <si>
    <t>Cabs</t>
  </si>
  <si>
    <t>Distância</t>
  </si>
  <si>
    <t>Prt</t>
  </si>
  <si>
    <t>Jogador</t>
  </si>
  <si>
    <t>Valor</t>
  </si>
  <si>
    <t>Gols</t>
  </si>
  <si>
    <t>Gols+Ass</t>
  </si>
  <si>
    <t>Assist</t>
  </si>
  <si>
    <t>Nota média</t>
  </si>
  <si>
    <t>Faltas sofridas</t>
  </si>
  <si>
    <t>Passes errados</t>
  </si>
  <si>
    <t>Equipe</t>
  </si>
  <si>
    <t>Altura</t>
  </si>
  <si>
    <t>HdJ</t>
  </si>
  <si>
    <t>Ds</t>
  </si>
  <si>
    <t>Dft</t>
  </si>
  <si>
    <t>Dfa</t>
  </si>
  <si>
    <t>Sem golos sofridos</t>
  </si>
  <si>
    <t>Sofridos / jogo</t>
  </si>
  <si>
    <t>Defesas totais / Jogo</t>
  </si>
  <si>
    <t>Clean Sheet</t>
  </si>
  <si>
    <t>Man of the match</t>
  </si>
  <si>
    <t>Falhas</t>
  </si>
  <si>
    <t>Pé Preferido</t>
  </si>
  <si>
    <t>Crt</t>
  </si>
  <si>
    <t>Int/90</t>
  </si>
  <si>
    <t>Desarmes ganhos</t>
  </si>
  <si>
    <t>Passes errados / 90</t>
  </si>
  <si>
    <t>Fintas / 90</t>
  </si>
  <si>
    <t>Passes certos</t>
  </si>
  <si>
    <t>Cruzamentos</t>
  </si>
  <si>
    <t>Crt D</t>
  </si>
  <si>
    <t>Alívios</t>
  </si>
  <si>
    <t>Interceptações /90</t>
  </si>
  <si>
    <t>Interceptações feitas</t>
  </si>
  <si>
    <t>% passes certos</t>
  </si>
  <si>
    <t>Passes completados</t>
  </si>
  <si>
    <t>Gols sem pênalti</t>
  </si>
  <si>
    <t>Média gols / partida</t>
  </si>
  <si>
    <t>Cabeceios disputados</t>
  </si>
  <si>
    <t>Ganhos</t>
  </si>
  <si>
    <t>Perdidos</t>
  </si>
  <si>
    <t>% Cabs perdidos</t>
  </si>
  <si>
    <t>% Cabs ganhos</t>
  </si>
  <si>
    <t>Finalizações pra um gol</t>
  </si>
  <si>
    <t>Gols não esperados</t>
  </si>
  <si>
    <t>Amr</t>
  </si>
  <si>
    <t>Vermelhos</t>
  </si>
  <si>
    <t>Assistências</t>
  </si>
  <si>
    <t>Gols + Ass</t>
  </si>
  <si>
    <t>Amarelos</t>
  </si>
  <si>
    <t>Total cartões</t>
  </si>
  <si>
    <t>Faltas cometidas</t>
  </si>
  <si>
    <t>Int / 90</t>
  </si>
  <si>
    <t>% Des Ganhos</t>
  </si>
  <si>
    <t>Cabs disputados</t>
  </si>
  <si>
    <t>Cabs ganhos</t>
  </si>
  <si>
    <t>Cabs perdidos</t>
  </si>
  <si>
    <t>Chances criadas / 90</t>
  </si>
  <si>
    <t>Passes decisivos</t>
  </si>
  <si>
    <t>% Passes certos</t>
  </si>
  <si>
    <t>Passes tentados</t>
  </si>
  <si>
    <t>Passes certos  - errados / Jogo</t>
  </si>
  <si>
    <t>Passes decisivos / jogos</t>
  </si>
  <si>
    <t>Dist / 90</t>
  </si>
  <si>
    <t>Passes Tentados</t>
  </si>
  <si>
    <t>% passes errados</t>
  </si>
  <si>
    <t>Defesas totais</t>
  </si>
  <si>
    <t>Passes certos - errados</t>
  </si>
  <si>
    <t>Finalizações certas pra um gol</t>
  </si>
  <si>
    <t>%Passes errados</t>
  </si>
  <si>
    <t>Data Final do contrato</t>
  </si>
  <si>
    <t>Expira</t>
  </si>
  <si>
    <t>Data final de contrato</t>
  </si>
  <si>
    <t>Fim de contrato</t>
  </si>
  <si>
    <t>Fintas</t>
  </si>
  <si>
    <t>Cr T</t>
  </si>
  <si>
    <t>Cr C</t>
  </si>
  <si>
    <t>Bolas enfrentadas</t>
  </si>
  <si>
    <t>Valor estimado</t>
  </si>
  <si>
    <t>%Faltas limpas (Sem cartão)</t>
  </si>
  <si>
    <t>Faltas sem cartão</t>
  </si>
  <si>
    <t>Lances disputados</t>
  </si>
  <si>
    <t>% Lances disputados e ganhos de forma limpa</t>
  </si>
  <si>
    <t>Lances disputados e ganhos de forma limpa</t>
  </si>
  <si>
    <t>Cartões por falta cometida</t>
  </si>
  <si>
    <t>Pens M</t>
  </si>
  <si>
    <t>T Desa</t>
  </si>
  <si>
    <t>% Cabs</t>
  </si>
  <si>
    <t>Pass D / 90</t>
  </si>
  <si>
    <t>Pass D /90</t>
  </si>
  <si>
    <t>Des/90</t>
  </si>
  <si>
    <t>Chances criadas e não aproveitadas pela equipe / 90</t>
  </si>
  <si>
    <t>% Des</t>
  </si>
  <si>
    <t>Desarmes Ganhos</t>
  </si>
  <si>
    <t>Lances disputados e ganhos sem falta</t>
  </si>
  <si>
    <t>% Lances disputados e ganhos</t>
  </si>
  <si>
    <t>% Def Seguras</t>
  </si>
  <si>
    <t>xG / chute</t>
  </si>
  <si>
    <t>xG / Jogo</t>
  </si>
  <si>
    <t>Passes Tentados / 90</t>
  </si>
  <si>
    <t>Média de gols em toda a Carreira</t>
  </si>
  <si>
    <t>Jogos DS</t>
  </si>
  <si>
    <t>Faltas Sof / jogo</t>
  </si>
  <si>
    <t>Jogos completos</t>
  </si>
  <si>
    <t>Data Final de Contrato</t>
  </si>
  <si>
    <t>Gols na carreira</t>
  </si>
  <si>
    <t>% Gols (sem penalti)</t>
  </si>
  <si>
    <t>% Ass</t>
  </si>
  <si>
    <t>% Pênaltis</t>
  </si>
  <si>
    <t>Média gols + ass / partida</t>
  </si>
  <si>
    <t>Ass / 90</t>
  </si>
  <si>
    <t>Passes Completados / 90</t>
  </si>
  <si>
    <t>Média de passes errados / 90</t>
  </si>
  <si>
    <t>Jogos Completos</t>
  </si>
  <si>
    <t>Criação / 90</t>
  </si>
  <si>
    <t>Participação / 90</t>
  </si>
  <si>
    <t>Participação em passes / 90</t>
  </si>
  <si>
    <t>Tentativas de marcar um gol / 90</t>
  </si>
  <si>
    <t>Participação do jogador a cada 90 minutos</t>
  </si>
  <si>
    <t>Des Tentados / 90</t>
  </si>
  <si>
    <t>Desarmes Conseguidos / 90</t>
  </si>
  <si>
    <t>% Cabeceios ganhos</t>
  </si>
  <si>
    <t>Cruzamentos Conseguidos</t>
  </si>
  <si>
    <t>Bolas roubadas / 90</t>
  </si>
  <si>
    <t>Lances defensivos tentados</t>
  </si>
  <si>
    <t>Lances defensivos conseguidos</t>
  </si>
  <si>
    <t>Eficácia defensiva</t>
  </si>
  <si>
    <t>Lances DEF tentados / 90</t>
  </si>
  <si>
    <t>Lances DEF conseguidos / 90</t>
  </si>
  <si>
    <t>Taxa de acerto</t>
  </si>
  <si>
    <t>Acertos/90</t>
  </si>
  <si>
    <t>Ganhos /90</t>
  </si>
  <si>
    <t>Gols/90</t>
  </si>
  <si>
    <t>Bolas enf /90</t>
  </si>
  <si>
    <t>Participação por jogo (passes, fnt, fin, criação, roubadas de bola, etc)</t>
  </si>
  <si>
    <t>Gols / 90</t>
  </si>
  <si>
    <t>Participação do jogador a cada 90 minutos (fnt, cabs, pass, finalizaçõs)</t>
  </si>
  <si>
    <t>Ast/90</t>
  </si>
  <si>
    <t>Pass C / 90</t>
  </si>
  <si>
    <t>Bolas enfrentadas pra sofrer um gol</t>
  </si>
  <si>
    <t>Bolas dificeis enfrentadas pra sofrer 1 gol</t>
  </si>
  <si>
    <t>Cabs Disputados /90</t>
  </si>
  <si>
    <t>Tentativas de marcar um gol (finalização e oportunidades criadas)</t>
  </si>
  <si>
    <t>xG Defendidos</t>
  </si>
  <si>
    <t>xG defendidos / 90</t>
  </si>
  <si>
    <t>xGD</t>
  </si>
  <si>
    <t>Posse Ganha/90</t>
  </si>
  <si>
    <t>Poss Con/90</t>
  </si>
  <si>
    <t>xA</t>
  </si>
  <si>
    <t>Sprints/90</t>
  </si>
  <si>
    <t>Sprints / 90</t>
  </si>
  <si>
    <t>Assistências Esperadas xA</t>
  </si>
  <si>
    <t>Passes Tentados /90</t>
  </si>
  <si>
    <t>Fintas/90</t>
  </si>
  <si>
    <t>Pênaltis enfrentados</t>
  </si>
  <si>
    <t>% Pênaltis defendidos</t>
  </si>
  <si>
    <t>Minutos pra sofrer um gol</t>
  </si>
  <si>
    <t>nPen xG (xG=0,79)</t>
  </si>
  <si>
    <t>Fora de jogo</t>
  </si>
  <si>
    <t>Sprints de alta intensidade/90</t>
  </si>
  <si>
    <t>Um passe errado a cada...</t>
  </si>
  <si>
    <t>Poss Perd/90</t>
  </si>
  <si>
    <t>Posse perdida /90</t>
  </si>
  <si>
    <t>Fintas /90</t>
  </si>
  <si>
    <t>Desarmes Tentados</t>
  </si>
  <si>
    <t>Movimentos ofensivos tentados</t>
  </si>
  <si>
    <t>Movimentos ofensivos conseguidos</t>
  </si>
  <si>
    <t>Movimentos ofensivos com sucesso</t>
  </si>
  <si>
    <t>Mov Of / 90</t>
  </si>
  <si>
    <t>Cab Dec/90</t>
  </si>
  <si>
    <t>Sucesso (Overall)</t>
  </si>
  <si>
    <t>Press. tent.</t>
  </si>
  <si>
    <t>Press. conc.</t>
  </si>
  <si>
    <t>Gols + A/90</t>
  </si>
  <si>
    <t>Assistência /90</t>
  </si>
  <si>
    <t>Lances ofensivos Tentados</t>
  </si>
  <si>
    <t>Lances ofensivos tentados/90</t>
  </si>
  <si>
    <t>Lances OF conseguidos</t>
  </si>
  <si>
    <t>Lances OF conseguidos/90</t>
  </si>
  <si>
    <t>% Lances ofensivos conseguidos</t>
  </si>
  <si>
    <t>Lances defensivos Tentados</t>
  </si>
  <si>
    <t>Lances defensivos tentados/90</t>
  </si>
  <si>
    <t>Lances DEF conseguidos</t>
  </si>
  <si>
    <t>Lances DEF conseguidos/90</t>
  </si>
  <si>
    <t>% Lances defensivos conseguidos</t>
  </si>
  <si>
    <t>Lances Tentados (Ataque e Defesa)</t>
  </si>
  <si>
    <t>Lances Conseguidos (ATA e DEF)</t>
  </si>
  <si>
    <t>% Acertos Global</t>
  </si>
  <si>
    <t>Criação/90</t>
  </si>
  <si>
    <t>Tentativas de marcar um gol</t>
  </si>
  <si>
    <t>Ações no último terço / 90</t>
  </si>
  <si>
    <t>Proporção de posse Ganha - Perdida</t>
  </si>
  <si>
    <t>% Pressão pra roubar a bola com sucesso</t>
  </si>
  <si>
    <t>Lances ganhos</t>
  </si>
  <si>
    <t>%Des Ganhos</t>
  </si>
  <si>
    <t>Distância percorrida/90</t>
  </si>
  <si>
    <t>NAC</t>
  </si>
  <si>
    <t>Gols + Assist</t>
  </si>
  <si>
    <t>Fora de jogo/90</t>
  </si>
  <si>
    <t>Finalização ou Cabeceio pra um gol</t>
  </si>
  <si>
    <t>Posse Perdida/90</t>
  </si>
  <si>
    <t>Des disputados /90</t>
  </si>
  <si>
    <t>Lances Conseguidos</t>
  </si>
  <si>
    <t>% Acerto</t>
  </si>
  <si>
    <t>Passes Completados /90</t>
  </si>
  <si>
    <t>% Passes</t>
  </si>
  <si>
    <t>Chances de Sofrer um gol/90</t>
  </si>
  <si>
    <t>Movimentos de pressão tentados</t>
  </si>
  <si>
    <t>Mov Press T/90</t>
  </si>
  <si>
    <t>Movimentos de pressão ganhos</t>
  </si>
  <si>
    <t>Mov Press Ganhos /90</t>
  </si>
  <si>
    <t>% Pressão ganha/90</t>
  </si>
  <si>
    <t>Finalizações pra marcar um gol</t>
  </si>
  <si>
    <t>Média de jogos</t>
  </si>
  <si>
    <t>Pé preferido</t>
  </si>
  <si>
    <t>Ações tentadas</t>
  </si>
  <si>
    <t>Ações com sucesso</t>
  </si>
  <si>
    <t>% Acerto do goleiro</t>
  </si>
  <si>
    <t>Rems Bloq</t>
  </si>
  <si>
    <t>Interceptação + Recuperação de bola/90</t>
  </si>
  <si>
    <t>Pênaltis marcados</t>
  </si>
  <si>
    <t>Pênaltis perdidos</t>
  </si>
  <si>
    <t>% Conversão de pênalti</t>
  </si>
  <si>
    <t>Pênaltis batidos</t>
  </si>
  <si>
    <t>Gols de Penaltis</t>
  </si>
  <si>
    <t>Tentativas de Remates de fora da área /90</t>
  </si>
  <si>
    <t>Participações do jogador</t>
  </si>
  <si>
    <t>Dribles sofridos</t>
  </si>
  <si>
    <t>Dribles sofridos /90</t>
  </si>
  <si>
    <t>Dribles Sofridos</t>
  </si>
  <si>
    <t>Ações que geraram finalizações ao gol</t>
  </si>
  <si>
    <t>Ações que geraram finalizações ao gol /90</t>
  </si>
  <si>
    <t>Finalizações no gol</t>
  </si>
  <si>
    <t>Finalizações (Total)</t>
  </si>
  <si>
    <t>Dribles Sofridos /90</t>
  </si>
  <si>
    <t>Blq</t>
  </si>
  <si>
    <t>Faltas cometidas /90</t>
  </si>
  <si>
    <t>Lances disputados /90</t>
  </si>
  <si>
    <t>Lances disputados e ganhos sem falta /90</t>
  </si>
  <si>
    <t>Lances Tentados /90</t>
  </si>
  <si>
    <t>Lances Tentados (Remate, Passe, Finta, etc)</t>
  </si>
  <si>
    <t>Lances Conseguidos /90</t>
  </si>
  <si>
    <t>Sprints /90</t>
  </si>
  <si>
    <t>% Faltas que geraram um cartão</t>
  </si>
  <si>
    <t>Cartões /90</t>
  </si>
  <si>
    <t>Cartões recebidos</t>
  </si>
  <si>
    <t>Cartões vermelhos</t>
  </si>
  <si>
    <t>Cartões amarelos</t>
  </si>
  <si>
    <t>% de disputas perdidas</t>
  </si>
  <si>
    <t>Faltas cometidas/90</t>
  </si>
  <si>
    <t>Bolas disputadas e perdidas /90</t>
  </si>
  <si>
    <t>Bolas disputadas e perdidas com o adversário</t>
  </si>
  <si>
    <t>% Bolas disputadas e ganhas</t>
  </si>
  <si>
    <t>Bolas disputadas e ganhas /90</t>
  </si>
  <si>
    <t>Bolas disputadas e ganhas do adversário</t>
  </si>
  <si>
    <t>Bolas disputadas /90</t>
  </si>
  <si>
    <t>Bolas disputadas com o adversário</t>
  </si>
  <si>
    <t>Bolas roubadas /90</t>
  </si>
  <si>
    <t>Bolas roubadas do adversário</t>
  </si>
  <si>
    <t>Bolas interceptadas /90</t>
  </si>
  <si>
    <t>Bolas interceptadas</t>
  </si>
  <si>
    <t>Tentativa de criar um gol ou jogada ofensiva/ 90</t>
  </si>
  <si>
    <t>% Passes errados</t>
  </si>
  <si>
    <t>Passes Errados /90</t>
  </si>
  <si>
    <t>Passes Errados</t>
  </si>
  <si>
    <t>% Passes em progressão em relação aos curtos</t>
  </si>
  <si>
    <t>Passes em progressão/90</t>
  </si>
  <si>
    <t>Passe que são em progressão</t>
  </si>
  <si>
    <t>Passes que são curtos</t>
  </si>
  <si>
    <t>% Acerto dos passes</t>
  </si>
  <si>
    <t>Passes Certos /90</t>
  </si>
  <si>
    <t>Passes Certos</t>
  </si>
  <si>
    <t>Desarmes Ganhos/90</t>
  </si>
  <si>
    <t>Desarmes Tentados /90</t>
  </si>
  <si>
    <t>Rem Bloqueados, Interceptações  e Bloqueios/90</t>
  </si>
  <si>
    <t>Remates bloqueados /90</t>
  </si>
  <si>
    <t>Remates bloqueados</t>
  </si>
  <si>
    <t>% Cabeceios perdidos</t>
  </si>
  <si>
    <t>Cabeceios Perdidos /90</t>
  </si>
  <si>
    <t>Cabeceios Perdidos</t>
  </si>
  <si>
    <t>% Cabeceios Ganhos</t>
  </si>
  <si>
    <t>Cabeceios Ganhos /90</t>
  </si>
  <si>
    <t>Cabeceios Ganhos (Total)</t>
  </si>
  <si>
    <t>Cabeceios Tentados /90</t>
  </si>
  <si>
    <t>Cabeceios Tentados (Total)</t>
  </si>
  <si>
    <t>Erros que originaram gols /90</t>
  </si>
  <si>
    <t>Erros que geraram gol adversário</t>
  </si>
  <si>
    <t>Gols + Ast/90</t>
  </si>
  <si>
    <t>Gols+Ast</t>
  </si>
  <si>
    <t xml:space="preserve"> </t>
  </si>
  <si>
    <t>% de jogos sem sofrer gol</t>
  </si>
  <si>
    <t>Bolas roubadas</t>
  </si>
  <si>
    <t>Bolas int/90</t>
  </si>
  <si>
    <t>Chances de perigo criadas</t>
  </si>
  <si>
    <t>Chances de perigo criadas /90</t>
  </si>
  <si>
    <t>Passes em construção de jogada ofensiva</t>
  </si>
  <si>
    <t>Passes em construção de jog OF /90</t>
  </si>
  <si>
    <t>Passes curtos certos /90</t>
  </si>
  <si>
    <t>Gols /90</t>
  </si>
  <si>
    <t>Assist /90</t>
  </si>
  <si>
    <t>Gols de fora da área</t>
  </si>
  <si>
    <t>% Conclusão dos chutes de fora da área</t>
  </si>
  <si>
    <t>Gols de pen/90</t>
  </si>
  <si>
    <t>Pênaltis Defendidos</t>
  </si>
  <si>
    <t>Soma de todas as bolas enfrentadas</t>
  </si>
  <si>
    <t>Faltas Sofridas</t>
  </si>
  <si>
    <t>Faltas Sof/90</t>
  </si>
  <si>
    <t>Passes C / 90</t>
  </si>
  <si>
    <t>xA (assistências esperadas)</t>
  </si>
  <si>
    <t>xA + xG /90</t>
  </si>
  <si>
    <t>Finalizações realizadas</t>
  </si>
  <si>
    <t>Finalizações no Gol</t>
  </si>
  <si>
    <t>Finalizações /90</t>
  </si>
  <si>
    <t>Finalizações no Gol /90</t>
  </si>
  <si>
    <t>Gols esperados (xG)</t>
  </si>
  <si>
    <t>xG /90</t>
  </si>
  <si>
    <t>xG (Sem pênaltis)</t>
  </si>
  <si>
    <t>xG (Sem pênaltis) /90</t>
  </si>
  <si>
    <t>Assistências Esperadas (xA)</t>
  </si>
  <si>
    <t>xA /90</t>
  </si>
  <si>
    <t>% Finalizações Certas</t>
  </si>
  <si>
    <t>Interceptações</t>
  </si>
  <si>
    <t>Cabeceios Disputados</t>
  </si>
  <si>
    <t>Cabeceios Ganhos</t>
  </si>
  <si>
    <t>% Cabs Ganhos</t>
  </si>
  <si>
    <t>Cabeceios Disputados /90</t>
  </si>
  <si>
    <t>Bolas Interceptadas /90</t>
  </si>
  <si>
    <t>xG + xA</t>
  </si>
  <si>
    <t>xG + xA /90</t>
  </si>
  <si>
    <t>Distância percorrida (Total)</t>
  </si>
  <si>
    <t>Distância percorrida</t>
  </si>
  <si>
    <t>Distância /90</t>
  </si>
  <si>
    <t>Minutos pra fazer um Passe Decisivo</t>
  </si>
  <si>
    <t>Minutos pra criar uma chance perigosa</t>
  </si>
  <si>
    <t>xG Defendidos sem pênalti</t>
  </si>
  <si>
    <t>xG Defendidos sem pênalti /90</t>
  </si>
  <si>
    <t>Gols convertidos /90</t>
  </si>
  <si>
    <t>Over xG / Under xG per 90</t>
  </si>
  <si>
    <t>xA + xG (sem pen)</t>
  </si>
  <si>
    <t>xA + xG sem pen</t>
  </si>
  <si>
    <t>% Gols Sofridos comparado aos outros goleiros</t>
  </si>
  <si>
    <t>Gols Sofridos</t>
  </si>
  <si>
    <t>Cartões Amarelos</t>
  </si>
  <si>
    <t>Cartões Vermelhos</t>
  </si>
  <si>
    <t>Proporção de Defesas vs Chutes</t>
  </si>
  <si>
    <t>Defesas Seguras</t>
  </si>
  <si>
    <t>Defesas Seguras /90</t>
  </si>
  <si>
    <t>Defesas Com a Ponta dos Dedos</t>
  </si>
  <si>
    <t>Defesas com a ponta dos dedos /90</t>
  </si>
  <si>
    <t>Defesas Desviadas</t>
  </si>
  <si>
    <t>Defesas Desviadas /90</t>
  </si>
  <si>
    <t>% Def Desviadas</t>
  </si>
  <si>
    <t>% Def com a ponta dos dedos</t>
  </si>
  <si>
    <t>Minutos pra tentar uma finalização</t>
  </si>
  <si>
    <t>Minutos pra acertar um remate no gol</t>
  </si>
  <si>
    <t>Tentativas de marcar um gol  /90</t>
  </si>
  <si>
    <t>Desarme + Pressões Tentadas</t>
  </si>
  <si>
    <t>Desarme + Pressões Concluídas</t>
  </si>
  <si>
    <t>Des + Pres T /90</t>
  </si>
  <si>
    <t>% Des + Pressões concluídas</t>
  </si>
  <si>
    <t>Des + Pres C /90</t>
  </si>
  <si>
    <t>Interceptação + Recuperação de bola</t>
  </si>
  <si>
    <t>Cabeceios Ganhos/90</t>
  </si>
  <si>
    <t>Des Ganhos/90</t>
  </si>
  <si>
    <t>Dribles Sofridos/90</t>
  </si>
  <si>
    <t>Movimentos de pressão Tentados</t>
  </si>
  <si>
    <t>Movimentos de pressão Concretizados</t>
  </si>
  <si>
    <t>Lances disputados/90</t>
  </si>
  <si>
    <t>Lances ganhos/90</t>
  </si>
  <si>
    <t>Bolas Interceptadas</t>
  </si>
  <si>
    <t>Bolas Int / 90</t>
  </si>
  <si>
    <t>Minutos pra acertar uma finalização no gol</t>
  </si>
  <si>
    <t>Cruzamentos Tentados</t>
  </si>
  <si>
    <t>Cruzamentos com sucesso</t>
  </si>
  <si>
    <t>% Cruzamentos certos</t>
  </si>
  <si>
    <t>Ações no último terço (Fintas, chances criadas, remates)</t>
  </si>
  <si>
    <t>Chances criadas</t>
  </si>
  <si>
    <t>Último terço/90</t>
  </si>
  <si>
    <t>Chances criadas /90</t>
  </si>
  <si>
    <t>Criação (Jogadas Ofensivas)</t>
  </si>
  <si>
    <t>Tentativas totais de remate de fora da área</t>
  </si>
  <si>
    <t>Finalizações que se converteram em gols</t>
  </si>
  <si>
    <t>Desarmes Tentados/90</t>
  </si>
  <si>
    <t>Desarmes ganhos/90</t>
  </si>
  <si>
    <t>Bolas disputadas com o adversário /90</t>
  </si>
  <si>
    <t>Bolas disputadas e ganhas</t>
  </si>
  <si>
    <t>%Faltas Sem Cartão</t>
  </si>
  <si>
    <t>% Finalizações que converteram em gol</t>
  </si>
  <si>
    <t>Tentativas de Saída do gol pra 1v1</t>
  </si>
  <si>
    <t>Tentativas de saída do gol /90</t>
  </si>
  <si>
    <t>Saídas do gol com sucesso</t>
  </si>
  <si>
    <t>Saídas do gol com sucesso /90</t>
  </si>
  <si>
    <t>Saídas do gol falhas</t>
  </si>
  <si>
    <t>Saídas do gol falhas /90</t>
  </si>
  <si>
    <t>% De Acerto nas Saídas do gol</t>
  </si>
  <si>
    <t>Não está à venda</t>
  </si>
  <si>
    <t>Posse Desperdiçada</t>
  </si>
  <si>
    <t>Posse Desperdiçada /90</t>
  </si>
  <si>
    <t>% de vezes que foi eleito o Homem do Jogo</t>
  </si>
  <si>
    <t>Minutos pra ser o homem do jogo</t>
  </si>
  <si>
    <t>Pontuação recebida</t>
  </si>
  <si>
    <t>% Def Dificeis</t>
  </si>
  <si>
    <t>Jogos Totais</t>
  </si>
  <si>
    <t>Minutos por partida</t>
  </si>
  <si>
    <t>Jogadas de Criação</t>
  </si>
  <si>
    <t>Tentativas de marcar um gol/90</t>
  </si>
  <si>
    <t>Jogos como Titular</t>
  </si>
  <si>
    <t>Participações do jogador /90</t>
  </si>
  <si>
    <t>Finalizações</t>
  </si>
  <si>
    <t>Distância Percorrida</t>
  </si>
  <si>
    <t>Ações com Bola</t>
  </si>
  <si>
    <t>Ações com Bola/90</t>
  </si>
  <si>
    <t>Velocidade Média (em km/h)</t>
  </si>
  <si>
    <t>Sprints de alta intensidade</t>
  </si>
  <si>
    <t>Gols+ Assist / 90</t>
  </si>
  <si>
    <t>Passes Decisivos</t>
  </si>
  <si>
    <t>Passes Decisivos /90</t>
  </si>
  <si>
    <t>% Finalizações que foram no gol</t>
  </si>
  <si>
    <t>Finalizações no gol/90</t>
  </si>
  <si>
    <r>
      <rPr>
        <b/>
        <sz val="8"/>
        <color theme="5" tint="0.39997558519241921"/>
        <rFont val="Verdana"/>
        <family val="2"/>
      </rPr>
      <t xml:space="preserve">Gols </t>
    </r>
    <r>
      <rPr>
        <b/>
        <sz val="8"/>
        <color theme="0" tint="0.79998168889431442"/>
        <rFont val="Verdana"/>
        <family val="2"/>
      </rPr>
      <t>de fora da área /90</t>
    </r>
  </si>
  <si>
    <r>
      <rPr>
        <b/>
        <sz val="8"/>
        <color theme="5" tint="0.39997558519241921"/>
        <rFont val="Verdana"/>
        <family val="2"/>
      </rPr>
      <t xml:space="preserve">Chutes </t>
    </r>
    <r>
      <rPr>
        <b/>
        <sz val="8"/>
        <color theme="0" tint="0.79998168889431442"/>
        <rFont val="Verdana"/>
        <family val="2"/>
      </rPr>
      <t>de fora da área /90</t>
    </r>
  </si>
  <si>
    <r>
      <rPr>
        <b/>
        <sz val="8"/>
        <color theme="5" tint="0.39997558519241921"/>
        <rFont val="Verdana"/>
        <family val="2"/>
      </rPr>
      <t>Gols</t>
    </r>
    <r>
      <rPr>
        <b/>
        <sz val="8"/>
        <color theme="0" tint="0.79998168889431442"/>
        <rFont val="Verdana"/>
        <family val="2"/>
      </rPr>
      <t xml:space="preserve"> de dentro da área</t>
    </r>
  </si>
  <si>
    <r>
      <rPr>
        <b/>
        <sz val="8"/>
        <color theme="5" tint="0.39997558519241921"/>
        <rFont val="Verdana"/>
        <family val="2"/>
      </rPr>
      <t>Gols</t>
    </r>
    <r>
      <rPr>
        <b/>
        <sz val="8"/>
        <color theme="0" tint="0.79998168889431442"/>
        <rFont val="Verdana"/>
        <family val="2"/>
      </rPr>
      <t xml:space="preserve"> de dentro da área /90</t>
    </r>
  </si>
  <si>
    <t>% Bolas disputadas e ganhas (sem falta)</t>
  </si>
  <si>
    <t>Passes Decisivos (Total)</t>
  </si>
  <si>
    <t>Assistências Claras que a Equipe desperdiçou</t>
  </si>
  <si>
    <t>Passes Decisivos pra uma assistência</t>
  </si>
  <si>
    <t>Pass Decisivos que se converteram em assistências</t>
  </si>
  <si>
    <t>Chances Criadas em Bola Parada</t>
  </si>
  <si>
    <t>Minutos pra criar uma chance de perigo</t>
  </si>
  <si>
    <t>Sprints (Total)</t>
  </si>
  <si>
    <t>Assistências Desperdiçadas pela Equipe</t>
  </si>
  <si>
    <t>xA / Passe Decisivo</t>
  </si>
  <si>
    <t>Erros Defensivos</t>
  </si>
  <si>
    <t>Erros Defensivos /90</t>
  </si>
  <si>
    <t>Tentativas (Cabs, Desarmes, Pressão)</t>
  </si>
  <si>
    <t>Tentativas Cabs, Des, Pres /90</t>
  </si>
  <si>
    <t>Acertos (Cabs, Des, Pres)</t>
  </si>
  <si>
    <t>Erros</t>
  </si>
  <si>
    <t>xA por passe decisivo</t>
  </si>
  <si>
    <t>Lances ofensivos tentados</t>
  </si>
  <si>
    <t>Lances ofensivos conseguidos</t>
  </si>
  <si>
    <t>Posse Perdida /90</t>
  </si>
  <si>
    <t>Posse Perdida</t>
  </si>
  <si>
    <t>Eficácia ofensiva</t>
  </si>
  <si>
    <t>Cabeceios que evitaram jogada ofensiva</t>
  </si>
  <si>
    <t>Cabs que evitaram jogada ofensiva /90</t>
  </si>
  <si>
    <t>Desarmes Decisivos</t>
  </si>
  <si>
    <t>Desarmes Decisivos / 90</t>
  </si>
  <si>
    <t>Desarmes Decisivos /90</t>
  </si>
  <si>
    <t>Ações no último terço (Finta, Pass D, OGC, etc)</t>
  </si>
  <si>
    <t>xA por Passes Decisivos</t>
  </si>
  <si>
    <t>Tentativa de criar um gol ou jogada ofensiva</t>
  </si>
  <si>
    <t>GPI (Goal Probability Index)</t>
  </si>
  <si>
    <t>Índice de Defesas Críticas</t>
  </si>
  <si>
    <t>xG sem pênalti</t>
  </si>
  <si>
    <t>non Pen xG/90</t>
  </si>
  <si>
    <t>xG sem pênaltis</t>
  </si>
  <si>
    <t>non Pen xG /90</t>
  </si>
  <si>
    <t>Gols não esperados SEM PÊNALTI</t>
  </si>
  <si>
    <t>ARG</t>
  </si>
  <si>
    <t>Soma de todos os desarmes</t>
  </si>
  <si>
    <t>% Des em relação a media</t>
  </si>
  <si>
    <t>Ações no último terço</t>
  </si>
  <si>
    <t>CHI</t>
  </si>
  <si>
    <t>Minutos pra PARTICIPAR de um gol</t>
  </si>
  <si>
    <t>Minutos pra MARCAR um gol</t>
  </si>
  <si>
    <t>Cruzamentos T /90</t>
  </si>
  <si>
    <t>Cruzamentos C/90</t>
  </si>
  <si>
    <t>Ações com Bola (Completadas)</t>
  </si>
  <si>
    <t>Ações com Bola Tentadas</t>
  </si>
  <si>
    <t>Ações com Bola T/90</t>
  </si>
  <si>
    <t>Ações com Bola Comp /90</t>
  </si>
  <si>
    <t>% Sucesso de ações com bola</t>
  </si>
  <si>
    <t>Bolas recuperadas</t>
  </si>
  <si>
    <t>Bolas recuperadas / 90</t>
  </si>
  <si>
    <t>Faltas/90</t>
  </si>
  <si>
    <t xml:space="preserve">Ações no último terço </t>
  </si>
  <si>
    <t>Lances ofensivos / 90</t>
  </si>
  <si>
    <t>Lances ofensivos conseguidos / 90</t>
  </si>
  <si>
    <t>Alívios /90</t>
  </si>
  <si>
    <t>Média de altura</t>
  </si>
  <si>
    <t>Gols+Ast /90</t>
  </si>
  <si>
    <t>% Fin</t>
  </si>
  <si>
    <t>% Passes certos/90</t>
  </si>
  <si>
    <t>Cabs Ganhos / 90</t>
  </si>
  <si>
    <t>Passes completados/90</t>
  </si>
  <si>
    <t>Lances aéreos disputados /90</t>
  </si>
  <si>
    <t>Passes tentados/90</t>
  </si>
  <si>
    <t>Média de idade</t>
  </si>
  <si>
    <t>Análise da Equipe</t>
  </si>
  <si>
    <t>Dist/90</t>
  </si>
  <si>
    <t>Posição</t>
  </si>
  <si>
    <t>% Desarmes</t>
  </si>
  <si>
    <t>Desarmes G/90</t>
  </si>
  <si>
    <t>Des T /90</t>
  </si>
  <si>
    <t>Cabeceios Disputados/90</t>
  </si>
  <si>
    <t>Conversão de Gols</t>
  </si>
  <si>
    <t>% Finalizações certas</t>
  </si>
  <si>
    <t>Finalizações Certas /90</t>
  </si>
  <si>
    <t>Fin/90</t>
  </si>
  <si>
    <t>xA + xG sem pen /90</t>
  </si>
  <si>
    <t>Cruzamentos %</t>
  </si>
  <si>
    <t>Perda de posse /90 minutos</t>
  </si>
  <si>
    <t>Perda da posse de bola</t>
  </si>
  <si>
    <t>% Passes certos /90</t>
  </si>
  <si>
    <t>Passes errados /90</t>
  </si>
  <si>
    <t>Pass Certos / 90</t>
  </si>
  <si>
    <t>Altura           (em metros)</t>
  </si>
  <si>
    <t>Minutos Jogados</t>
  </si>
  <si>
    <t>Non Pen xG/90</t>
  </si>
  <si>
    <t>Posse Ganha Total</t>
  </si>
  <si>
    <t>Posse Ganha /90</t>
  </si>
  <si>
    <t>Posse Perdida Total</t>
  </si>
  <si>
    <t>Falhas/90</t>
  </si>
  <si>
    <t>Clean Sheets/90</t>
  </si>
  <si>
    <t>Passes em progressão</t>
  </si>
  <si>
    <t>Pass Progr /90</t>
  </si>
  <si>
    <t>% Passes em progressão</t>
  </si>
  <si>
    <t>Pass D/90</t>
  </si>
  <si>
    <t>Passes Curtos</t>
  </si>
  <si>
    <t>Passes Curtos /90</t>
  </si>
  <si>
    <t>Expected Goals Prevented xGP</t>
  </si>
  <si>
    <t>xG Conclusion</t>
  </si>
  <si>
    <t>xA Conclusion</t>
  </si>
  <si>
    <t>% Passes Certos</t>
  </si>
  <si>
    <t>Passes Completados</t>
  </si>
  <si>
    <t>Passes completados /90</t>
  </si>
  <si>
    <t>182 cm</t>
  </si>
  <si>
    <t>xPG Ratio</t>
  </si>
  <si>
    <t>-</t>
  </si>
  <si>
    <t>192 cm</t>
  </si>
  <si>
    <t>178 cm</t>
  </si>
  <si>
    <t>Gols + Ast</t>
  </si>
  <si>
    <t>188 cm</t>
  </si>
  <si>
    <t>COL</t>
  </si>
  <si>
    <t>Grêmio</t>
  </si>
  <si>
    <t>Bragantino</t>
  </si>
  <si>
    <t>150m € - 1,5M €</t>
  </si>
  <si>
    <t>Atlético Mineiro</t>
  </si>
  <si>
    <t>Remo</t>
  </si>
  <si>
    <t>275m € - 2,8M €</t>
  </si>
  <si>
    <t>''''''''''''''''''</t>
  </si>
  <si>
    <t>% Finalizações em direção ao gol</t>
  </si>
  <si>
    <t>Cartão Amarelo/90</t>
  </si>
  <si>
    <t>Cartão Vermelho</t>
  </si>
  <si>
    <t>Cartão Vermelho/90</t>
  </si>
  <si>
    <t>% Cartões por falta cometida</t>
  </si>
  <si>
    <t>Cartões Recebidos no Total</t>
  </si>
  <si>
    <t>Posse perdida</t>
  </si>
  <si>
    <t>CT-JA</t>
  </si>
  <si>
    <t>CC-JA</t>
  </si>
  <si>
    <t>Gols Sem Pênalti</t>
  </si>
  <si>
    <t>Gols Sem Pênalti /90</t>
  </si>
  <si>
    <t>Pen Def/90</t>
  </si>
  <si>
    <t>Pen Enf/90</t>
  </si>
  <si>
    <t>184 cm</t>
  </si>
  <si>
    <t>186 cm</t>
  </si>
  <si>
    <t>Passes que são em progressão</t>
  </si>
  <si>
    <t>Cabs ganhos /90</t>
  </si>
  <si>
    <t>Cabs perdidos /90</t>
  </si>
  <si>
    <t>176 cm</t>
  </si>
  <si>
    <t>Bahia</t>
  </si>
  <si>
    <t>Cruzeiro</t>
  </si>
  <si>
    <t>Fluminense</t>
  </si>
  <si>
    <t>Vasco da Gama</t>
  </si>
  <si>
    <t>Internacional</t>
  </si>
  <si>
    <t>João Pedro</t>
  </si>
  <si>
    <t>183 cm</t>
  </si>
  <si>
    <t>185 cm</t>
  </si>
  <si>
    <t>175 cm</t>
  </si>
  <si>
    <t>180 cm</t>
  </si>
  <si>
    <t>Gustavo Henrique</t>
  </si>
  <si>
    <t>Gols + Assist /90</t>
  </si>
  <si>
    <t>Vitória</t>
  </si>
  <si>
    <t>189 cm</t>
  </si>
  <si>
    <t>URU</t>
  </si>
  <si>
    <t>191 cm</t>
  </si>
  <si>
    <t>Finalizações no gol pra marcar um gol</t>
  </si>
  <si>
    <t>Finalizações no gol /90</t>
  </si>
  <si>
    <t>% dos cabeceios que são ofensivos</t>
  </si>
  <si>
    <t>xG Esperados SEM PÊNALTI</t>
  </si>
  <si>
    <t>Cabeceios Ofensivos (Tentados)</t>
  </si>
  <si>
    <t>Cabeceios ofensivos T /90</t>
  </si>
  <si>
    <t>Cabeceios Ofensivos que foram no gol</t>
  </si>
  <si>
    <t>% Cabeceios que foram em direção ao gol</t>
  </si>
  <si>
    <t>xG por Remate ou Cabeceio</t>
  </si>
  <si>
    <t>Cabs Of. que foram no gol /90</t>
  </si>
  <si>
    <t>181 cm</t>
  </si>
  <si>
    <t>Passe Tentados/ 90</t>
  </si>
  <si>
    <t>Cruzamentos T/90</t>
  </si>
  <si>
    <t>Erros que originaram gol</t>
  </si>
  <si>
    <t>Erros que geraram gol/90</t>
  </si>
  <si>
    <t>Participações do jogador (Fintas, passes, etc)</t>
  </si>
  <si>
    <t>Cabeceios Disp /90</t>
  </si>
  <si>
    <t>Cabeceios G/90</t>
  </si>
  <si>
    <t>Athletico Paranaense</t>
  </si>
  <si>
    <t>João Lucas</t>
  </si>
  <si>
    <t>179 cm</t>
  </si>
  <si>
    <t>Mateusinho</t>
  </si>
  <si>
    <t>VEN</t>
  </si>
  <si>
    <t>160m € - 1,6M €</t>
  </si>
  <si>
    <t>Nação</t>
  </si>
  <si>
    <t>Minutos</t>
  </si>
  <si>
    <t>Des Dec/90</t>
  </si>
  <si>
    <t>EPG</t>
  </si>
  <si>
    <t>Recomendação</t>
  </si>
  <si>
    <t>Observação</t>
  </si>
  <si>
    <t>Nenhuma</t>
  </si>
  <si>
    <t>Completa</t>
  </si>
  <si>
    <t>Bruno Gomes</t>
  </si>
  <si>
    <t>650m € - 8M €</t>
  </si>
  <si>
    <t>26,5m € p/m</t>
  </si>
  <si>
    <t>Pressões Tentadas</t>
  </si>
  <si>
    <t>Pressões concluídas</t>
  </si>
  <si>
    <t>Pressões T /90</t>
  </si>
  <si>
    <t>Pressões C /90</t>
  </si>
  <si>
    <t>Des C</t>
  </si>
  <si>
    <t>Desarmes Conseguidos</t>
  </si>
  <si>
    <t>Desarmes C/90</t>
  </si>
  <si>
    <t>Placar de Esforço</t>
  </si>
  <si>
    <t>Les</t>
  </si>
  <si>
    <t>15m € p/m</t>
  </si>
  <si>
    <t>Golos Sofridos</t>
  </si>
  <si>
    <t>Classificação</t>
  </si>
  <si>
    <t>Pé Direito</t>
  </si>
  <si>
    <t>Somente Pé Direito</t>
  </si>
  <si>
    <t>Faltas Cometidas</t>
  </si>
  <si>
    <t>Faltas Contra</t>
  </si>
  <si>
    <t>PeP</t>
  </si>
  <si>
    <t>Passes Ch</t>
  </si>
  <si>
    <t>Somente Pé Esquerdo</t>
  </si>
  <si>
    <t>41,5m € p/m</t>
  </si>
  <si>
    <t>Pé Esquerdo</t>
  </si>
  <si>
    <t>65m € - 650m €</t>
  </si>
  <si>
    <t>Opç</t>
  </si>
  <si>
    <t>Everton Ribeiro</t>
  </si>
  <si>
    <t>553,3 km</t>
  </si>
  <si>
    <t>6m € - 22m €</t>
  </si>
  <si>
    <t>244m € p/m</t>
  </si>
  <si>
    <t>Coritiba</t>
  </si>
  <si>
    <t>41m € p/m</t>
  </si>
  <si>
    <t>Mirassol</t>
  </si>
  <si>
    <t>130m € - 1,3M €</t>
  </si>
  <si>
    <t>Erick</t>
  </si>
  <si>
    <t>418,2 km</t>
  </si>
  <si>
    <t>37,5m € p/m</t>
  </si>
  <si>
    <t>4,7m € p/m</t>
  </si>
  <si>
    <t>32,5m € p/m</t>
  </si>
  <si>
    <t>Sebastián Gómez</t>
  </si>
  <si>
    <t>19m € p/m</t>
  </si>
  <si>
    <t>457,2 km</t>
  </si>
  <si>
    <t>Lucas Silva</t>
  </si>
  <si>
    <t>442,1 km</t>
  </si>
  <si>
    <t>55m €</t>
  </si>
  <si>
    <t>55,5m € p/m</t>
  </si>
  <si>
    <t>12,5m € p/m</t>
  </si>
  <si>
    <t>Neto Moura</t>
  </si>
  <si>
    <t>440,7 km</t>
  </si>
  <si>
    <t>10,75m € p/m</t>
  </si>
  <si>
    <t>18m € - 65m €</t>
  </si>
  <si>
    <t>195 cm</t>
  </si>
  <si>
    <t>6,25m € p/m</t>
  </si>
  <si>
    <t>190 cm</t>
  </si>
  <si>
    <t>Presenças</t>
  </si>
  <si>
    <t>Golos</t>
  </si>
  <si>
    <t>Assist.</t>
  </si>
  <si>
    <t>Remates em livres</t>
  </si>
  <si>
    <t>Maicon</t>
  </si>
  <si>
    <t>210m € - 2,1M €</t>
  </si>
  <si>
    <t>14,5m € p/m</t>
  </si>
  <si>
    <t>Gustavo Martins</t>
  </si>
  <si>
    <t>6,4M € - 7,6M €</t>
  </si>
  <si>
    <t>16,5m € p/m</t>
  </si>
  <si>
    <t>2m € p/m</t>
  </si>
  <si>
    <t>6m € p/m</t>
  </si>
  <si>
    <t>39 (1)</t>
  </si>
  <si>
    <t>Pedro Henrique</t>
  </si>
  <si>
    <t>35m € p/m</t>
  </si>
  <si>
    <t>5M €</t>
  </si>
  <si>
    <t>42 (3)</t>
  </si>
  <si>
    <t>Pass Decisivos / 90</t>
  </si>
  <si>
    <t>83,5m € p/m</t>
  </si>
  <si>
    <t>53 (3)</t>
  </si>
  <si>
    <t>554,6 km</t>
  </si>
  <si>
    <t>Lucas Esquivel</t>
  </si>
  <si>
    <t>1,4M €</t>
  </si>
  <si>
    <t>25 (25)</t>
  </si>
  <si>
    <t>464,4 km</t>
  </si>
  <si>
    <t>4,5m € p/m</t>
  </si>
  <si>
    <t>17 (19)</t>
  </si>
  <si>
    <t>242,2 km</t>
  </si>
  <si>
    <t>Cuiabano</t>
  </si>
  <si>
    <t>9,2M € - 15,5M €</t>
  </si>
  <si>
    <t>97,5m € p/m</t>
  </si>
  <si>
    <t>40 (1)</t>
  </si>
  <si>
    <t>Guilherme Arana</t>
  </si>
  <si>
    <t>5,6M € - 9,4M €</t>
  </si>
  <si>
    <t>128m € p/m</t>
  </si>
  <si>
    <t>48 (3)</t>
  </si>
  <si>
    <t>511,3 km</t>
  </si>
  <si>
    <t>Braian Cufré</t>
  </si>
  <si>
    <t>43 (2)</t>
  </si>
  <si>
    <t>490,4 km</t>
  </si>
  <si>
    <t>Fágner</t>
  </si>
  <si>
    <t>168 cm</t>
  </si>
  <si>
    <t>150m € p/m</t>
  </si>
  <si>
    <t>23 (22)</t>
  </si>
  <si>
    <t>313,0 km</t>
  </si>
  <si>
    <t>Paulo Henrique</t>
  </si>
  <si>
    <t>2,1M € - 4,7M €</t>
  </si>
  <si>
    <t>41 (3)</t>
  </si>
  <si>
    <t>453,2 km</t>
  </si>
  <si>
    <t>22 (21)</t>
  </si>
  <si>
    <t>287,0 km</t>
  </si>
  <si>
    <t>Vanderlan</t>
  </si>
  <si>
    <t>5,8M €</t>
  </si>
  <si>
    <t>9,5m € p/m</t>
  </si>
  <si>
    <t>18 (29)</t>
  </si>
  <si>
    <t>276,5 km</t>
  </si>
  <si>
    <t>Passes curtos e certos /90</t>
  </si>
  <si>
    <t>1,95</t>
  </si>
  <si>
    <t>2,47</t>
  </si>
  <si>
    <t>2,97</t>
  </si>
  <si>
    <t>6,23</t>
  </si>
  <si>
    <t>6,92</t>
  </si>
  <si>
    <t>8,88</t>
  </si>
  <si>
    <t>0,96</t>
  </si>
  <si>
    <t>1,05</t>
  </si>
  <si>
    <t>2,73</t>
  </si>
  <si>
    <t>1,77</t>
  </si>
  <si>
    <t>3,2</t>
  </si>
  <si>
    <t>2,36</t>
  </si>
  <si>
    <t>2,29</t>
  </si>
  <si>
    <t>5,3</t>
  </si>
  <si>
    <t>5,21</t>
  </si>
  <si>
    <t>5,07</t>
  </si>
  <si>
    <t>4,08</t>
  </si>
  <si>
    <t>9,4</t>
  </si>
  <si>
    <t>5,56</t>
  </si>
  <si>
    <t>3,82</t>
  </si>
  <si>
    <t>500 € p/m</t>
  </si>
  <si>
    <t>30m € - 300m €</t>
  </si>
  <si>
    <t>8,5m € p/m</t>
  </si>
  <si>
    <t>Carabobo</t>
  </si>
  <si>
    <t>80m € - 800m €</t>
  </si>
  <si>
    <t>198 cm</t>
  </si>
  <si>
    <t>140m € - 1,4M €</t>
  </si>
  <si>
    <t>Lanús</t>
  </si>
  <si>
    <t>Universidad de Chile</t>
  </si>
  <si>
    <t>170m € - 1,7M €</t>
  </si>
  <si>
    <t>Londrina</t>
  </si>
  <si>
    <t>14,25m € p/m</t>
  </si>
  <si>
    <t>América Mineiro</t>
  </si>
  <si>
    <t>172 cm</t>
  </si>
  <si>
    <t>173 cm</t>
  </si>
  <si>
    <t>41 (2)</t>
  </si>
  <si>
    <t>174 cm</t>
  </si>
  <si>
    <t>Juventude</t>
  </si>
  <si>
    <t>20m € - 200m €</t>
  </si>
  <si>
    <t>47 (5)</t>
  </si>
  <si>
    <t>56,5m € p/m</t>
  </si>
  <si>
    <t>30 (26)</t>
  </si>
  <si>
    <t>171 cm</t>
  </si>
  <si>
    <t>3.74</t>
  </si>
  <si>
    <t>32m € p/m</t>
  </si>
  <si>
    <t>165 cm</t>
  </si>
  <si>
    <t>30 (3)</t>
  </si>
  <si>
    <t>Remates de fora da área em cada 90 minutes</t>
  </si>
  <si>
    <t>POR</t>
  </si>
  <si>
    <t>Josué</t>
  </si>
  <si>
    <t>10m € - 110m €</t>
  </si>
  <si>
    <t>461,0 km</t>
  </si>
  <si>
    <t>Juan Camilo Pérez</t>
  </si>
  <si>
    <t>40 (5)</t>
  </si>
  <si>
    <t>431,9 km</t>
  </si>
  <si>
    <t>Israel Poblete</t>
  </si>
  <si>
    <t>425,9 km</t>
  </si>
  <si>
    <t>Marcelino Moreno</t>
  </si>
  <si>
    <t>420,5 km</t>
  </si>
  <si>
    <t>Pablo Roberto</t>
  </si>
  <si>
    <t>6M € - 9,2M €</t>
  </si>
  <si>
    <t>392,6 km</t>
  </si>
  <si>
    <t>Bruno Zapelli</t>
  </si>
  <si>
    <t>3,5M €</t>
  </si>
  <si>
    <t>391,6 km</t>
  </si>
  <si>
    <t>11,25m € p/m</t>
  </si>
  <si>
    <t>1.4</t>
  </si>
  <si>
    <t>Taxa de Conversão %</t>
  </si>
  <si>
    <t>Matheuzinho</t>
  </si>
  <si>
    <t>1M € - 2,3M €</t>
  </si>
  <si>
    <t>336,2 km</t>
  </si>
  <si>
    <t>Golos marcados de fora da área</t>
  </si>
  <si>
    <t>Miguel Monsalve</t>
  </si>
  <si>
    <t>3,1M € - 6,2M €</t>
  </si>
  <si>
    <t>David Terans</t>
  </si>
  <si>
    <t>48m € p/m</t>
  </si>
  <si>
    <t>72m € p/m</t>
  </si>
  <si>
    <t>Chances Criadas em  Bolas Paradas</t>
  </si>
  <si>
    <t>Cobranças de falta (Diretas)</t>
  </si>
  <si>
    <t>Hulk</t>
  </si>
  <si>
    <t>375m € p/m</t>
  </si>
  <si>
    <t>Carlinhos</t>
  </si>
  <si>
    <t>GNB</t>
  </si>
  <si>
    <t>Tentativas de  Criar  uma chance em Bola Parada</t>
  </si>
  <si>
    <t>% Aproveitamento das Tentativas de Criar chance em  BP</t>
  </si>
  <si>
    <t>6,66</t>
  </si>
  <si>
    <t>Tentativas/90</t>
  </si>
  <si>
    <t>Chances C /90</t>
  </si>
  <si>
    <t>Conversão dos chutes de fora da  área</t>
  </si>
  <si>
    <t>Gols dentro da área</t>
  </si>
  <si>
    <t>Gols de pênalti</t>
  </si>
  <si>
    <t>Escolhido</t>
  </si>
  <si>
    <t>Tchoca</t>
  </si>
  <si>
    <t>196 cm</t>
  </si>
  <si>
    <t>André</t>
  </si>
  <si>
    <t>Rodrigo Garro</t>
  </si>
  <si>
    <t>Yuri Alberto</t>
  </si>
  <si>
    <t>0.14</t>
  </si>
  <si>
    <t>Yago Pikachu</t>
  </si>
  <si>
    <t>169 cm</t>
  </si>
  <si>
    <t>47m € p/m</t>
  </si>
  <si>
    <t>Felipe Amaral</t>
  </si>
  <si>
    <t>350m € - 3,4M €</t>
  </si>
  <si>
    <t>6,5m € p/m</t>
  </si>
  <si>
    <t>33 (5)</t>
  </si>
  <si>
    <t>5.11</t>
  </si>
  <si>
    <t>379,6 km</t>
  </si>
  <si>
    <t>Vicente Pizarro</t>
  </si>
  <si>
    <t>Rosario Central</t>
  </si>
  <si>
    <t>500m € - 5,2M €</t>
  </si>
  <si>
    <t>36 (3)</t>
  </si>
  <si>
    <t>302,4 km</t>
  </si>
  <si>
    <t>Ignacio Sosa</t>
  </si>
  <si>
    <t>400m € - 4M €</t>
  </si>
  <si>
    <t>38 (10)</t>
  </si>
  <si>
    <t>5.69</t>
  </si>
  <si>
    <t>395,5 km</t>
  </si>
  <si>
    <t>Johan Caicedo</t>
  </si>
  <si>
    <t>Deportivo Pasto</t>
  </si>
  <si>
    <t>1,6M € - 3,4M €</t>
  </si>
  <si>
    <t>10,25m € p/m</t>
  </si>
  <si>
    <t>32 (2)</t>
  </si>
  <si>
    <t>2.29</t>
  </si>
  <si>
    <t>330,2 km</t>
  </si>
  <si>
    <t>ECU</t>
  </si>
  <si>
    <t>Sergio Vásquez</t>
  </si>
  <si>
    <t>Orense</t>
  </si>
  <si>
    <t>325m € - 3,2M €</t>
  </si>
  <si>
    <t>2.71</t>
  </si>
  <si>
    <t>393,1 km</t>
  </si>
  <si>
    <t>José Mercado</t>
  </si>
  <si>
    <t>Unión Magdalena</t>
  </si>
  <si>
    <t>375m € - 1,3M €</t>
  </si>
  <si>
    <t>3,5m € p/m</t>
  </si>
  <si>
    <t>34 (4)</t>
  </si>
  <si>
    <t>6.87</t>
  </si>
  <si>
    <t>38,1 km</t>
  </si>
  <si>
    <t>Jhojan Torres</t>
  </si>
  <si>
    <t>Independiente Santa Fe</t>
  </si>
  <si>
    <t>750m € - 1,7M €</t>
  </si>
  <si>
    <t>22m € p/m</t>
  </si>
  <si>
    <t>37 (4)</t>
  </si>
  <si>
    <t>4.73</t>
  </si>
  <si>
    <t>243,9 km</t>
  </si>
  <si>
    <t>1,6m € p/m</t>
  </si>
  <si>
    <t>João Tavares</t>
  </si>
  <si>
    <t>55m € - 550m €</t>
  </si>
  <si>
    <t>1,1m € p/m</t>
  </si>
  <si>
    <t>33 (8)</t>
  </si>
  <si>
    <t>4.13</t>
  </si>
  <si>
    <t>326,5 km</t>
  </si>
  <si>
    <t>Cauan Barros</t>
  </si>
  <si>
    <t>4,9M € - 9,2M €</t>
  </si>
  <si>
    <t>32 (10)</t>
  </si>
  <si>
    <t>4.57</t>
  </si>
  <si>
    <t>371,3 km</t>
  </si>
  <si>
    <t>Zé Lucas</t>
  </si>
  <si>
    <t>Sport Recife</t>
  </si>
  <si>
    <t>1,6M €</t>
  </si>
  <si>
    <t>34 (7)</t>
  </si>
  <si>
    <t>6.09</t>
  </si>
  <si>
    <t>360,8 km</t>
  </si>
  <si>
    <t>Santos</t>
  </si>
  <si>
    <t>2.39</t>
  </si>
  <si>
    <t>53 (2)</t>
  </si>
  <si>
    <t>7,75m € p/m</t>
  </si>
  <si>
    <t>45 (1)</t>
  </si>
  <si>
    <t>3,4m € p/m</t>
  </si>
  <si>
    <t>Rafael Santos Borré</t>
  </si>
  <si>
    <t>319m € p/m</t>
  </si>
  <si>
    <t>194 cm</t>
  </si>
  <si>
    <t>187 cm</t>
  </si>
  <si>
    <t>110m € - 1,1M €</t>
  </si>
  <si>
    <t>10,5m € p/m</t>
  </si>
  <si>
    <t>1,8m € p/m</t>
  </si>
  <si>
    <t>1.65</t>
  </si>
  <si>
    <t>Renan Peixoto</t>
  </si>
  <si>
    <t>550m €</t>
  </si>
  <si>
    <t>600m € - 5,8M €</t>
  </si>
  <si>
    <t>9.56</t>
  </si>
  <si>
    <t>0 € - 35m €</t>
  </si>
  <si>
    <t>Rodrigo Rodrigues</t>
  </si>
  <si>
    <t>Mateo Cassierra</t>
  </si>
  <si>
    <t>79m € p/m</t>
  </si>
  <si>
    <t>Impedimentos</t>
  </si>
  <si>
    <t>Impedimentos / 90</t>
  </si>
  <si>
    <t>1.92</t>
  </si>
  <si>
    <t>141m € p/m</t>
  </si>
  <si>
    <t>Pro</t>
  </si>
  <si>
    <t>1.62</t>
  </si>
  <si>
    <t>11,5m € p/m</t>
  </si>
  <si>
    <t>5,6M € - 8,4M €</t>
  </si>
  <si>
    <t>4.99</t>
  </si>
  <si>
    <t>10m € p/m</t>
  </si>
  <si>
    <t>5.02</t>
  </si>
  <si>
    <t>Lucas Barbosa</t>
  </si>
  <si>
    <t>4,1M €</t>
  </si>
  <si>
    <t>2,7M € - 6M €</t>
  </si>
  <si>
    <t>ESP</t>
  </si>
  <si>
    <t>6.07</t>
  </si>
  <si>
    <t>1.91</t>
  </si>
  <si>
    <t>7.48</t>
  </si>
  <si>
    <t>7.01</t>
  </si>
  <si>
    <t>850m € - 8,4M €</t>
  </si>
  <si>
    <t>1.3</t>
  </si>
  <si>
    <t>2.16</t>
  </si>
  <si>
    <t>168,9 km</t>
  </si>
  <si>
    <t>Rodrigo Nestor</t>
  </si>
  <si>
    <t>40m € p/m</t>
  </si>
  <si>
    <t>ITA</t>
  </si>
  <si>
    <t>4.53</t>
  </si>
  <si>
    <t>2.89</t>
  </si>
  <si>
    <t>246,4 km</t>
  </si>
  <si>
    <t>250m € - 2,5M €</t>
  </si>
  <si>
    <t>8.71</t>
  </si>
  <si>
    <t>240m € - 2,4M €</t>
  </si>
  <si>
    <t>6.06</t>
  </si>
  <si>
    <t>180m € - 1,8M €</t>
  </si>
  <si>
    <t>28m € p/m</t>
  </si>
  <si>
    <t>2.74</t>
  </si>
  <si>
    <t>2.59</t>
  </si>
  <si>
    <t>2.72</t>
  </si>
  <si>
    <t>15,75m € p/m</t>
  </si>
  <si>
    <t>395,2 km</t>
  </si>
  <si>
    <t>22,5m € p/m</t>
  </si>
  <si>
    <t>43 (3)</t>
  </si>
  <si>
    <t>461,6 km</t>
  </si>
  <si>
    <t>5.03</t>
  </si>
  <si>
    <t>70m € - 700m €</t>
  </si>
  <si>
    <t>60m € - 200m €</t>
  </si>
  <si>
    <t>1.08</t>
  </si>
  <si>
    <t>39 (5)</t>
  </si>
  <si>
    <t>40 (3)</t>
  </si>
  <si>
    <t>35m € - 325m €</t>
  </si>
  <si>
    <t>0.48</t>
  </si>
  <si>
    <t>5.74</t>
  </si>
  <si>
    <t>43 (1)</t>
  </si>
  <si>
    <t>5.61</t>
  </si>
  <si>
    <t>16 (22)</t>
  </si>
  <si>
    <t>65,5m € p/m</t>
  </si>
  <si>
    <t>Gols de dentro da área</t>
  </si>
  <si>
    <t>13,25m € p/m</t>
  </si>
  <si>
    <t>Juan Camilo Portilla</t>
  </si>
  <si>
    <t>32M €</t>
  </si>
  <si>
    <t>850m € - 8,6M €</t>
  </si>
  <si>
    <t>4.24</t>
  </si>
  <si>
    <t>4.96</t>
  </si>
  <si>
    <t>Dudu</t>
  </si>
  <si>
    <t>Ignacio</t>
  </si>
  <si>
    <t>Kanu</t>
  </si>
  <si>
    <t>1.56</t>
  </si>
  <si>
    <t>Juan Pablo Freytes</t>
  </si>
  <si>
    <t>2,1M € - 4,2M €</t>
  </si>
  <si>
    <t>500 € - 7m €</t>
  </si>
  <si>
    <t>Víctor Cantillo</t>
  </si>
  <si>
    <t>24M €</t>
  </si>
  <si>
    <t>0.56</t>
  </si>
  <si>
    <t>2.64</t>
  </si>
  <si>
    <t>6.63</t>
  </si>
  <si>
    <t>FRA</t>
  </si>
  <si>
    <t>Santa Clara</t>
  </si>
  <si>
    <t>Cremonese</t>
  </si>
  <si>
    <t>27,5m € p/m</t>
  </si>
  <si>
    <t>2.81</t>
  </si>
  <si>
    <t>1.25</t>
  </si>
  <si>
    <t>Sassuolo</t>
  </si>
  <si>
    <t>Angers</t>
  </si>
  <si>
    <t>Parma</t>
  </si>
  <si>
    <t>Real Oviedo</t>
  </si>
  <si>
    <t>16 (6)</t>
  </si>
  <si>
    <t>Burnley</t>
  </si>
  <si>
    <t>2,9M € - 5,8M €</t>
  </si>
  <si>
    <t>ROU</t>
  </si>
  <si>
    <t>219,3 km</t>
  </si>
  <si>
    <t>159m € p/m</t>
  </si>
  <si>
    <t>Osasuna</t>
  </si>
  <si>
    <t>53,5m € p/m</t>
  </si>
  <si>
    <t>Auxerre</t>
  </si>
  <si>
    <t>Pen. Enfrentados</t>
  </si>
  <si>
    <t>Pen. Defendidos</t>
  </si>
  <si>
    <t>IDN</t>
  </si>
  <si>
    <t>Emil Audero</t>
  </si>
  <si>
    <t>140m € p/m</t>
  </si>
  <si>
    <t>Gabriel Batista</t>
  </si>
  <si>
    <t>BP</t>
  </si>
  <si>
    <t>SVK</t>
  </si>
  <si>
    <t>Martin Dúbravka</t>
  </si>
  <si>
    <t>253m € p/m</t>
  </si>
  <si>
    <t>Sergio Herrera</t>
  </si>
  <si>
    <t>7.41</t>
  </si>
  <si>
    <t>KOS</t>
  </si>
  <si>
    <t>Arijanet Murić</t>
  </si>
  <si>
    <t>9,4M € - 14M €</t>
  </si>
  <si>
    <t>177m € p/m</t>
  </si>
  <si>
    <t>Edoardo Corvi</t>
  </si>
  <si>
    <t>Horaţiu Moldovan</t>
  </si>
  <si>
    <t>Brest</t>
  </si>
  <si>
    <t>Grégoire Coudert</t>
  </si>
  <si>
    <t>4.86</t>
  </si>
  <si>
    <t>BFA</t>
  </si>
  <si>
    <t>Hervé Koffi</t>
  </si>
  <si>
    <t>60,5m € p/m</t>
  </si>
  <si>
    <t>10.32</t>
  </si>
  <si>
    <t>GUF</t>
  </si>
  <si>
    <t>Donovan Léon</t>
  </si>
  <si>
    <t>7.02</t>
  </si>
  <si>
    <t>Corinthians</t>
  </si>
  <si>
    <t>501,3 km</t>
  </si>
  <si>
    <t>20M €</t>
  </si>
  <si>
    <t>154m € p/m</t>
  </si>
  <si>
    <t>420,3 km</t>
  </si>
  <si>
    <t>444,8 km</t>
  </si>
  <si>
    <t>452,6 km</t>
  </si>
  <si>
    <t>16m € - 50m €</t>
  </si>
  <si>
    <t>Jean Lucas</t>
  </si>
  <si>
    <t>469,6 km</t>
  </si>
  <si>
    <t>422,2 km</t>
  </si>
  <si>
    <t>Gabriel Menino</t>
  </si>
  <si>
    <t>335,7 km</t>
  </si>
  <si>
    <t>318,0 km</t>
  </si>
  <si>
    <t>429,8 km</t>
  </si>
  <si>
    <t>428,2 km</t>
  </si>
  <si>
    <t>1,7M € - 8,8M €</t>
  </si>
  <si>
    <t>409,1 km</t>
  </si>
  <si>
    <t>37 (3)</t>
  </si>
  <si>
    <t>414,1 km</t>
  </si>
  <si>
    <t>406,7 km</t>
  </si>
  <si>
    <t>3,8M € - 7,4M €</t>
  </si>
  <si>
    <t>436,7 km</t>
  </si>
  <si>
    <t>451,7 km</t>
  </si>
  <si>
    <t>30m € - 500m €</t>
  </si>
  <si>
    <t>392,7 km</t>
  </si>
  <si>
    <t>366,3 km</t>
  </si>
  <si>
    <t>47 (4)</t>
  </si>
  <si>
    <t>10.63</t>
  </si>
  <si>
    <t>11.59</t>
  </si>
  <si>
    <t>Victor Hugo</t>
  </si>
  <si>
    <t>2,7M €</t>
  </si>
  <si>
    <t>35 (8)</t>
  </si>
  <si>
    <t>8.36</t>
  </si>
  <si>
    <t>346,2 km</t>
  </si>
  <si>
    <t>22 (14)</t>
  </si>
  <si>
    <t>261,4 km</t>
  </si>
  <si>
    <t>Roger Gabriel</t>
  </si>
  <si>
    <t>24 (5)</t>
  </si>
  <si>
    <t>243,1 km</t>
  </si>
  <si>
    <t>22 (20)</t>
  </si>
  <si>
    <t>308,6 km</t>
  </si>
  <si>
    <t>17 (18)</t>
  </si>
  <si>
    <t>11.24</t>
  </si>
  <si>
    <t>5.92</t>
  </si>
  <si>
    <t>16 (25)</t>
  </si>
  <si>
    <t>4.76</t>
  </si>
  <si>
    <t>209,5 km</t>
  </si>
  <si>
    <t>44 (4)</t>
  </si>
  <si>
    <t>4.4</t>
  </si>
  <si>
    <t>21.51</t>
  </si>
  <si>
    <t>541,1 km</t>
  </si>
  <si>
    <t>27 (17)</t>
  </si>
  <si>
    <t>294,8 km</t>
  </si>
  <si>
    <t>356,0 km</t>
  </si>
  <si>
    <t>André Luís</t>
  </si>
  <si>
    <t>28 (11)</t>
  </si>
  <si>
    <t>90m € - 300m €</t>
  </si>
  <si>
    <t>36 (9)</t>
  </si>
  <si>
    <t>386,4 km</t>
  </si>
  <si>
    <t>268,2 km</t>
  </si>
  <si>
    <t>Everaldo</t>
  </si>
  <si>
    <t>15 (23)</t>
  </si>
  <si>
    <t>190,1 km</t>
  </si>
  <si>
    <t>1,7M €</t>
  </si>
  <si>
    <t>22 (6)</t>
  </si>
  <si>
    <t>235,6 km</t>
  </si>
  <si>
    <t>12,5</t>
  </si>
  <si>
    <t>3,9</t>
  </si>
  <si>
    <t>15,09</t>
  </si>
  <si>
    <t>9,04</t>
  </si>
  <si>
    <t>2,34</t>
  </si>
  <si>
    <t>12,66</t>
  </si>
  <si>
    <t>7,55</t>
  </si>
  <si>
    <t>10,35</t>
  </si>
  <si>
    <t>9,32</t>
  </si>
  <si>
    <t>1,17</t>
  </si>
  <si>
    <t>9,74</t>
  </si>
  <si>
    <t>0,98</t>
  </si>
  <si>
    <t>11,24</t>
  </si>
  <si>
    <t>5,92</t>
  </si>
  <si>
    <t>7,67</t>
  </si>
  <si>
    <t>1,73</t>
  </si>
  <si>
    <t>7,32</t>
  </si>
  <si>
    <t>1,89</t>
  </si>
  <si>
    <t>46 (3)</t>
  </si>
  <si>
    <t>10.71</t>
  </si>
  <si>
    <t>8.77</t>
  </si>
  <si>
    <t>492,7 km</t>
  </si>
  <si>
    <t>40 (2)</t>
  </si>
  <si>
    <t>9.18</t>
  </si>
  <si>
    <t>49 (3)</t>
  </si>
  <si>
    <t>8.62</t>
  </si>
  <si>
    <t>507,3 km</t>
  </si>
  <si>
    <t>Raniele</t>
  </si>
  <si>
    <t>463,8 km</t>
  </si>
  <si>
    <t>1.55</t>
  </si>
  <si>
    <t>20 (10)</t>
  </si>
  <si>
    <t>29 (1)</t>
  </si>
  <si>
    <t>Trn</t>
  </si>
  <si>
    <t>Danilo</t>
  </si>
  <si>
    <t>24m € - 240m €</t>
  </si>
  <si>
    <t>Flamengo</t>
  </si>
  <si>
    <t>44 (3)</t>
  </si>
  <si>
    <t>428,9 km</t>
  </si>
  <si>
    <t>25M €</t>
  </si>
  <si>
    <t>50 (1)</t>
  </si>
  <si>
    <t>486,8 km</t>
  </si>
  <si>
    <t>Estudiantes (LP)</t>
  </si>
  <si>
    <t>Gabriel Lacerda</t>
  </si>
  <si>
    <t>442,4 km</t>
  </si>
  <si>
    <t>Botafogo</t>
  </si>
  <si>
    <t>38 (1)</t>
  </si>
  <si>
    <t>Mariano Bareiro</t>
  </si>
  <si>
    <t>750m € - 1,8M €</t>
  </si>
  <si>
    <t>ISR</t>
  </si>
  <si>
    <t>404,3 km</t>
  </si>
  <si>
    <t>37 (6)</t>
  </si>
  <si>
    <t>Mateus Silva</t>
  </si>
  <si>
    <t>Ponte Preta</t>
  </si>
  <si>
    <t>35 (3)</t>
  </si>
  <si>
    <t>364,7 km</t>
  </si>
  <si>
    <t>Vitão</t>
  </si>
  <si>
    <t>10M € - 13M €</t>
  </si>
  <si>
    <t>64m € p/m</t>
  </si>
  <si>
    <t>391,1 km</t>
  </si>
  <si>
    <t>190m € - 1,9M €</t>
  </si>
  <si>
    <t>Alexander Barboza</t>
  </si>
  <si>
    <t>193 cm</t>
  </si>
  <si>
    <t>79,5m € p/m</t>
  </si>
  <si>
    <t>469,8 km</t>
  </si>
  <si>
    <t>São Paulo</t>
  </si>
  <si>
    <t>Robert Arboleda</t>
  </si>
  <si>
    <t>103m € p/m</t>
  </si>
  <si>
    <t>409,8 km</t>
  </si>
  <si>
    <t>Santiago Núñez</t>
  </si>
  <si>
    <t>24,5m € p/m</t>
  </si>
  <si>
    <t>311,5 km</t>
  </si>
  <si>
    <t>Alan Franco</t>
  </si>
  <si>
    <t>62m € p/m</t>
  </si>
  <si>
    <t>395,0 km</t>
  </si>
  <si>
    <t>3,33</t>
  </si>
  <si>
    <t>1,37</t>
  </si>
  <si>
    <t>3,28</t>
  </si>
  <si>
    <t>1,67</t>
  </si>
  <si>
    <t>2,66</t>
  </si>
  <si>
    <t>1,12</t>
  </si>
  <si>
    <t>1,78</t>
  </si>
  <si>
    <t>1,93</t>
  </si>
  <si>
    <t>1,4</t>
  </si>
  <si>
    <t>3,17</t>
  </si>
  <si>
    <t>2,56</t>
  </si>
  <si>
    <t>2,4</t>
  </si>
  <si>
    <t>1,01</t>
  </si>
  <si>
    <t>0,35</t>
  </si>
  <si>
    <t>2,77</t>
  </si>
  <si>
    <t>1,16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</si>
</sst>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0.0"/>
    <numFmt numFmtId="165" formatCode="0.0%"/>
    <numFmt numFmtId="166" formatCode="_-[$€-2]\ * #,##0.00_ ;_-[$€-2]\ * \-#,##0.00\ ;_-[$€-2]\ * &quot;-&quot;??_ ;_-@_ "/>
    <numFmt numFmtId="167" formatCode="_-[$€-2]\ * #,##0.00_-;\-[$€-2]\ * #,##0.00_-;_-[$€-2]\ * &quot;-&quot;??_-;_-@_-"/>
    <numFmt numFmtId="168" formatCode="0.000"/>
    <numFmt numFmtId="169" formatCode="0.0000"/>
  </numFmts>
  <fonts count="85" x14ac:knownFonts="1">
    <font>
      <sz val="11"/>
      <color theme="1"/>
      <name val="Calibri"/>
      <family val="2"/>
      <scheme val="minor"/>
    </font>
    <font>
      <b/>
      <sz val="9"/>
      <color theme="1"/>
      <name val="Verdana"/>
      <family val="2"/>
    </font>
    <font>
      <sz val="9"/>
      <color theme="1"/>
      <name val="Verdana"/>
      <family val="2"/>
    </font>
    <font>
      <b/>
      <sz val="11"/>
      <color theme="1"/>
      <name val="Calibri"/>
      <family val="2"/>
      <scheme val="minor"/>
    </font>
    <font>
      <b/>
      <sz val="9"/>
      <color theme="0" tint="0.79998168889431442"/>
      <name val="Verdana"/>
      <family val="2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0" tint="0.79998168889431442"/>
      <name val="Verdana"/>
      <family val="2"/>
    </font>
    <font>
      <b/>
      <sz val="9"/>
      <color theme="1" tint="4.9989318521683403E-2"/>
      <name val="Verdana"/>
      <family val="2"/>
    </font>
    <font>
      <b/>
      <sz val="8"/>
      <color theme="1" tint="4.9989318521683403E-2"/>
      <name val="Verdana"/>
      <family val="2"/>
    </font>
    <font>
      <b/>
      <i/>
      <sz val="10"/>
      <color theme="1" tint="4.9989318521683403E-2"/>
      <name val="Calibri"/>
      <family val="2"/>
      <scheme val="minor"/>
    </font>
    <font>
      <b/>
      <sz val="8"/>
      <color theme="1"/>
      <name val="Verdana"/>
      <family val="2"/>
    </font>
    <font>
      <b/>
      <sz val="9"/>
      <color theme="7" tint="0.39997558519241921"/>
      <name val="Verdana"/>
      <family val="2"/>
    </font>
    <font>
      <b/>
      <sz val="9"/>
      <color theme="5" tint="0.39997558519241921"/>
      <name val="Verdana"/>
      <family val="2"/>
    </font>
    <font>
      <b/>
      <sz val="9"/>
      <color rgb="FFFFFF00"/>
      <name val="Verdana"/>
      <family val="2"/>
    </font>
    <font>
      <b/>
      <sz val="9"/>
      <color theme="7" tint="0.79998168889431442"/>
      <name val="Verdana"/>
      <family val="2"/>
    </font>
    <font>
      <b/>
      <sz val="9"/>
      <color theme="0" tint="0.39997558519241921"/>
      <name val="Verdana"/>
      <family val="2"/>
    </font>
    <font>
      <sz val="11"/>
      <color theme="1"/>
      <name val="Calibri"/>
      <family val="2"/>
    </font>
    <font>
      <b/>
      <sz val="11"/>
      <color theme="1" tint="4.9989318521683403E-2"/>
      <name val="Calibri"/>
      <family val="2"/>
      <scheme val="minor"/>
    </font>
    <font>
      <b/>
      <sz val="12"/>
      <color theme="1"/>
      <name val="Calibri"/>
      <family val="2"/>
    </font>
    <font>
      <b/>
      <sz val="9"/>
      <color theme="4" tint="-0.499984740745262"/>
      <name val="Verdana"/>
      <family val="2"/>
    </font>
    <font>
      <b/>
      <sz val="9"/>
      <color theme="0" tint="0.59999389629810485"/>
      <name val="Verdana"/>
      <family val="2"/>
    </font>
    <font>
      <b/>
      <sz val="11"/>
      <color theme="1"/>
      <name val="Calibri"/>
      <family val="2"/>
    </font>
    <font>
      <b/>
      <sz val="9"/>
      <color theme="1" tint="0.14999847407452621"/>
      <name val="Verdana"/>
      <family val="2"/>
    </font>
    <font>
      <b/>
      <sz val="9"/>
      <color theme="5" tint="0.59999389629810485"/>
      <name val="Verdana"/>
      <family val="2"/>
    </font>
    <font>
      <b/>
      <i/>
      <u/>
      <sz val="11"/>
      <color theme="1"/>
      <name val="Calibri"/>
      <family val="2"/>
      <scheme val="minor"/>
    </font>
    <font>
      <b/>
      <sz val="8"/>
      <color theme="0" tint="0.39997558519241921"/>
      <name val="Verdana"/>
      <family val="2"/>
    </font>
    <font>
      <b/>
      <i/>
      <sz val="11"/>
      <color theme="1"/>
      <name val="Calibri"/>
      <family val="2"/>
      <scheme val="minor"/>
    </font>
    <font>
      <b/>
      <sz val="8"/>
      <color theme="7" tint="0.39997558519241921"/>
      <name val="Verdana"/>
      <family val="2"/>
    </font>
    <font>
      <b/>
      <sz val="8"/>
      <color theme="0" tint="0.59999389629810485"/>
      <name val="Verdana"/>
      <family val="2"/>
    </font>
    <font>
      <b/>
      <sz val="8"/>
      <color rgb="FFFF0000"/>
      <name val="Verdana"/>
      <family val="2"/>
    </font>
    <font>
      <b/>
      <i/>
      <sz val="11"/>
      <color theme="1" tint="0.14999847407452621"/>
      <name val="Verdana"/>
      <family val="2"/>
    </font>
    <font>
      <b/>
      <sz val="9"/>
      <color rgb="FFFF9B9B"/>
      <name val="Verdana"/>
      <family val="2"/>
    </font>
    <font>
      <b/>
      <sz val="9"/>
      <color rgb="FFC00000"/>
      <name val="Verdana"/>
      <family val="2"/>
    </font>
    <font>
      <b/>
      <i/>
      <sz val="11"/>
      <color theme="1"/>
      <name val="Calibri"/>
      <family val="2"/>
    </font>
    <font>
      <b/>
      <sz val="9"/>
      <color theme="7" tint="0.59999389629810485"/>
      <name val="Verdana"/>
      <family val="2"/>
    </font>
    <font>
      <b/>
      <sz val="10"/>
      <color rgb="FF00B0F0"/>
      <name val="Verdana"/>
      <family val="2"/>
    </font>
    <font>
      <b/>
      <sz val="10"/>
      <color theme="4" tint="0.59999389629810485"/>
      <name val="Verdana"/>
      <family val="2"/>
    </font>
    <font>
      <b/>
      <sz val="9"/>
      <color theme="3" tint="-0.499984740745262"/>
      <name val="Verdana"/>
      <family val="2"/>
    </font>
    <font>
      <b/>
      <sz val="9"/>
      <color rgb="FFFF0000"/>
      <name val="Verdana"/>
      <family val="2"/>
    </font>
    <font>
      <b/>
      <sz val="11"/>
      <color theme="1" tint="0.14999847407452621"/>
      <name val="Calibri"/>
      <family val="2"/>
    </font>
    <font>
      <b/>
      <sz val="9"/>
      <color rgb="FF17230F"/>
      <name val="Verdana"/>
      <family val="2"/>
    </font>
    <font>
      <b/>
      <sz val="14"/>
      <color theme="4" tint="-0.499984740745262"/>
      <name val="Calibri"/>
      <family val="2"/>
      <scheme val="minor"/>
    </font>
    <font>
      <b/>
      <sz val="9"/>
      <color theme="9" tint="0.39997558519241921"/>
      <name val="Verdana"/>
      <family val="2"/>
    </font>
    <font>
      <b/>
      <sz val="11"/>
      <color theme="0" tint="0.79998168889431442"/>
      <name val="Calibri"/>
      <family val="2"/>
    </font>
    <font>
      <b/>
      <sz val="8"/>
      <color theme="5" tint="0.39997558519241921"/>
      <name val="Verdana"/>
      <family val="2"/>
    </font>
    <font>
      <b/>
      <sz val="9"/>
      <color theme="4" tint="0.79998168889431442"/>
      <name val="Verdana"/>
      <family val="2"/>
    </font>
    <font>
      <b/>
      <sz val="9"/>
      <color indexed="81"/>
      <name val="Segoe UI"/>
      <family val="2"/>
    </font>
    <font>
      <b/>
      <sz val="9"/>
      <color theme="5" tint="-0.249977111117893"/>
      <name val="Verdana"/>
      <family val="2"/>
    </font>
    <font>
      <sz val="9"/>
      <color indexed="81"/>
      <name val="Segoe UI"/>
      <family val="2"/>
    </font>
    <font>
      <b/>
      <sz val="10"/>
      <color indexed="81"/>
      <name val="Segoe UI"/>
      <family val="2"/>
    </font>
    <font>
      <b/>
      <sz val="9"/>
      <color rgb="FFFFC000"/>
      <name val="Verdana"/>
      <family val="2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0" tint="0.79998168889431442"/>
      <name val="Calibri"/>
      <family val="2"/>
      <scheme val="minor"/>
    </font>
    <font>
      <b/>
      <sz val="12"/>
      <color theme="0" tint="0.3999755851924192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9"/>
      <color theme="0" tint="0.79998168889431442"/>
      <name val="Calibri"/>
      <family val="2"/>
      <scheme val="minor"/>
    </font>
    <font>
      <b/>
      <sz val="8"/>
      <color theme="0" tint="0.7999816888943144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 tint="0.79998168889431442"/>
      <name val="Calibri"/>
      <family val="2"/>
      <scheme val="minor"/>
    </font>
    <font>
      <b/>
      <sz val="16"/>
      <color theme="0" tint="0.7999816888943144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2"/>
      <color rgb="FFFFC000"/>
      <name val="Calibri"/>
      <family val="2"/>
      <scheme val="minor"/>
    </font>
    <font>
      <b/>
      <sz val="14"/>
      <color theme="0" tint="0.39997558519241921"/>
      <name val="Calibri"/>
      <family val="2"/>
      <scheme val="minor"/>
    </font>
    <font>
      <b/>
      <sz val="12"/>
      <color theme="0" tint="0.79998168889431442"/>
      <name val="Calibri"/>
      <family val="2"/>
      <scheme val="minor"/>
    </font>
    <font>
      <b/>
      <sz val="9"/>
      <color theme="0" tint="-4.9989318521683403E-2"/>
      <name val="Verdana"/>
      <family val="2"/>
    </font>
    <font>
      <b/>
      <sz val="9"/>
      <color rgb="FFFCB6B8"/>
      <name val="Verdana"/>
      <family val="2"/>
    </font>
    <font>
      <b/>
      <sz val="9"/>
      <color theme="9" tint="0.79998168889431442"/>
      <name val="Verdana"/>
      <family val="2"/>
    </font>
    <font>
      <b/>
      <sz val="9"/>
      <color indexed="81"/>
      <name val="Segoe UI"/>
      <charset val="1"/>
    </font>
    <font>
      <b/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</font>
    <font>
      <b/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9"/>
      <color theme="5" tint="0.79998168889431442"/>
      <name val="Verdana"/>
      <family val="2"/>
    </font>
    <font>
      <b/>
      <sz val="11"/>
      <color theme="1" tint="4.9989318521683403E-2"/>
      <name val="Calibri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 tint="4.9989318521683403E-2"/>
      <name val="Verdana"/>
      <family val="2"/>
    </font>
    <font>
      <b/>
      <sz val="9"/>
      <color theme="0"/>
      <name val="Verdana"/>
      <family val="2"/>
    </font>
    <font>
      <b/>
      <sz val="11"/>
      <color rgb="FF9A0000"/>
      <name val="Calibri"/>
      <family val="2"/>
      <scheme val="minor"/>
    </font>
  </fonts>
  <fills count="61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FFC5C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AD1457"/>
        <bgColor indexed="64"/>
      </patternFill>
    </fill>
    <fill>
      <patternFill patternType="solid">
        <fgColor rgb="FF3B071D"/>
        <bgColor indexed="64"/>
      </patternFill>
    </fill>
    <fill>
      <patternFill patternType="solid">
        <fgColor rgb="FF680C3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E3671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6737"/>
        <bgColor indexed="64"/>
      </patternFill>
    </fill>
    <fill>
      <patternFill patternType="solid">
        <fgColor rgb="FFFFC9C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5A8B2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480000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A20000"/>
        <bgColor indexed="64"/>
      </patternFill>
    </fill>
    <fill>
      <patternFill patternType="solid">
        <fgColor rgb="FF684D00"/>
        <bgColor indexed="64"/>
      </patternFill>
    </fill>
    <fill>
      <patternFill patternType="solid">
        <fgColor rgb="FF9A0000"/>
        <bgColor indexed="64"/>
      </patternFill>
    </fill>
    <fill>
      <patternFill patternType="solid">
        <fgColor rgb="FF001132"/>
        <bgColor indexed="64"/>
      </patternFill>
    </fill>
    <fill>
      <patternFill patternType="solid">
        <fgColor rgb="FFE66914"/>
        <bgColor indexed="64"/>
      </patternFill>
    </fill>
    <fill>
      <patternFill patternType="solid">
        <fgColor rgb="FFA40000"/>
        <bgColor indexed="64"/>
      </patternFill>
    </fill>
  </fills>
  <borders count="19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7" tint="0.39997558519241921"/>
      </left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3">
    <xf numFmtId="0" fontId="0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384">
    <xf numFmtId="0" fontId="0" fillId="0" borderId="0" xfId="0"/>
    <xf numFmtId="0" fontId="0" fillId="0" borderId="0" xfId="0" applyAlignment="1">
      <alignment horizontal="center"/>
    </xf>
    <xf numFmtId="0" fontId="0" fillId="4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 wrapText="1"/>
    </xf>
    <xf numFmtId="2" fontId="0" fillId="4" borderId="2" xfId="0" applyNumberFormat="1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 wrapText="1"/>
    </xf>
    <xf numFmtId="0" fontId="0" fillId="7" borderId="2" xfId="0" applyFill="1" applyBorder="1" applyAlignment="1">
      <alignment horizontal="left" vertical="center"/>
    </xf>
    <xf numFmtId="43" fontId="4" fillId="6" borderId="2" xfId="1" applyFont="1" applyFill="1" applyBorder="1" applyAlignment="1">
      <alignment horizontal="center" vertical="center" wrapText="1"/>
    </xf>
    <xf numFmtId="43" fontId="0" fillId="0" borderId="0" xfId="1" applyFont="1"/>
    <xf numFmtId="9" fontId="0" fillId="4" borderId="2" xfId="2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6" borderId="2" xfId="0" applyFont="1" applyFill="1" applyBorder="1" applyAlignment="1">
      <alignment horizontal="center" vertical="center" wrapText="1"/>
    </xf>
    <xf numFmtId="0" fontId="1" fillId="12" borderId="2" xfId="0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9" fillId="13" borderId="2" xfId="0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 wrapText="1"/>
    </xf>
    <xf numFmtId="165" fontId="0" fillId="4" borderId="2" xfId="2" applyNumberFormat="1" applyFont="1" applyFill="1" applyBorder="1" applyAlignment="1">
      <alignment horizontal="center" vertical="center"/>
    </xf>
    <xf numFmtId="10" fontId="0" fillId="4" borderId="2" xfId="2" applyNumberFormat="1" applyFont="1" applyFill="1" applyBorder="1" applyAlignment="1">
      <alignment horizontal="center" vertical="center"/>
    </xf>
    <xf numFmtId="0" fontId="4" fillId="18" borderId="2" xfId="0" applyFont="1" applyFill="1" applyBorder="1" applyAlignment="1">
      <alignment horizontal="center" vertical="center" wrapText="1"/>
    </xf>
    <xf numFmtId="0" fontId="8" fillId="18" borderId="2" xfId="0" applyFont="1" applyFill="1" applyBorder="1" applyAlignment="1">
      <alignment horizontal="center" vertical="center" wrapText="1"/>
    </xf>
    <xf numFmtId="164" fontId="0" fillId="4" borderId="2" xfId="0" applyNumberFormat="1" applyFill="1" applyBorder="1" applyAlignment="1">
      <alignment horizontal="center" vertical="center"/>
    </xf>
    <xf numFmtId="0" fontId="4" fillId="12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19" borderId="4" xfId="0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left" vertical="center"/>
    </xf>
    <xf numFmtId="0" fontId="11" fillId="4" borderId="2" xfId="0" applyFont="1" applyFill="1" applyBorder="1" applyAlignment="1">
      <alignment horizontal="center" vertical="center"/>
    </xf>
    <xf numFmtId="0" fontId="1" fillId="13" borderId="2" xfId="0" applyFont="1" applyFill="1" applyBorder="1" applyAlignment="1">
      <alignment horizontal="center" vertical="center" wrapText="1"/>
    </xf>
    <xf numFmtId="0" fontId="12" fillId="13" borderId="2" xfId="0" applyFont="1" applyFill="1" applyBorder="1" applyAlignment="1">
      <alignment horizontal="center" vertical="center" wrapText="1"/>
    </xf>
    <xf numFmtId="0" fontId="4" fillId="22" borderId="2" xfId="0" applyFont="1" applyFill="1" applyBorder="1" applyAlignment="1">
      <alignment horizontal="center" vertical="center" wrapText="1"/>
    </xf>
    <xf numFmtId="0" fontId="1" fillId="17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14" fontId="0" fillId="8" borderId="2" xfId="0" applyNumberForma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 wrapText="1"/>
    </xf>
    <xf numFmtId="0" fontId="9" fillId="17" borderId="2" xfId="0" applyFont="1" applyFill="1" applyBorder="1" applyAlignment="1">
      <alignment horizontal="center" vertical="center" wrapText="1"/>
    </xf>
    <xf numFmtId="0" fontId="9" fillId="5" borderId="2" xfId="0" applyFont="1" applyFill="1" applyBorder="1" applyAlignment="1">
      <alignment horizontal="center" vertical="center" wrapText="1"/>
    </xf>
    <xf numFmtId="0" fontId="13" fillId="26" borderId="2" xfId="0" applyFont="1" applyFill="1" applyBorder="1" applyAlignment="1">
      <alignment horizontal="center" vertical="center" wrapText="1"/>
    </xf>
    <xf numFmtId="0" fontId="14" fillId="25" borderId="2" xfId="0" applyFont="1" applyFill="1" applyBorder="1" applyAlignment="1">
      <alignment horizontal="center" vertical="center" wrapText="1"/>
    </xf>
    <xf numFmtId="0" fontId="15" fillId="6" borderId="2" xfId="0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15" fillId="27" borderId="2" xfId="0" applyFont="1" applyFill="1" applyBorder="1" applyAlignment="1">
      <alignment horizontal="center" vertical="center" wrapText="1"/>
    </xf>
    <xf numFmtId="0" fontId="16" fillId="26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3" fillId="27" borderId="2" xfId="0" applyFont="1" applyFill="1" applyBorder="1" applyAlignment="1">
      <alignment horizontal="center" vertical="center" wrapText="1"/>
    </xf>
    <xf numFmtId="43" fontId="1" fillId="3" borderId="2" xfId="1" applyFont="1" applyFill="1" applyBorder="1" applyAlignment="1">
      <alignment horizontal="center" vertical="center" wrapText="1"/>
    </xf>
    <xf numFmtId="43" fontId="1" fillId="20" borderId="2" xfId="1" applyFont="1" applyFill="1" applyBorder="1" applyAlignment="1">
      <alignment horizontal="center" vertical="center" wrapText="1"/>
    </xf>
    <xf numFmtId="0" fontId="9" fillId="30" borderId="4" xfId="0" applyFont="1" applyFill="1" applyBorder="1" applyAlignment="1">
      <alignment horizontal="center" vertical="center" wrapText="1"/>
    </xf>
    <xf numFmtId="0" fontId="9" fillId="29" borderId="2" xfId="0" applyFont="1" applyFill="1" applyBorder="1" applyAlignment="1">
      <alignment horizontal="center" vertical="center" wrapText="1"/>
    </xf>
    <xf numFmtId="0" fontId="1" fillId="28" borderId="2" xfId="0" applyFont="1" applyFill="1" applyBorder="1" applyAlignment="1">
      <alignment horizontal="center" vertical="center" wrapText="1"/>
    </xf>
    <xf numFmtId="0" fontId="17" fillId="15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18" fillId="2" borderId="3" xfId="0" applyFont="1" applyFill="1" applyBorder="1" applyAlignment="1">
      <alignment horizontal="center" vertical="center" wrapText="1"/>
    </xf>
    <xf numFmtId="1" fontId="18" fillId="2" borderId="3" xfId="0" applyNumberFormat="1" applyFont="1" applyFill="1" applyBorder="1" applyAlignment="1">
      <alignment horizontal="center" vertical="center" wrapText="1"/>
    </xf>
    <xf numFmtId="2" fontId="18" fillId="2" borderId="3" xfId="0" applyNumberFormat="1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 wrapText="1"/>
    </xf>
    <xf numFmtId="165" fontId="18" fillId="2" borderId="3" xfId="0" applyNumberFormat="1" applyFont="1" applyFill="1" applyBorder="1" applyAlignment="1">
      <alignment horizontal="center" vertical="center" wrapText="1"/>
    </xf>
    <xf numFmtId="165" fontId="18" fillId="2" borderId="3" xfId="2" applyNumberFormat="1" applyFont="1" applyFill="1" applyBorder="1" applyAlignment="1">
      <alignment horizontal="center" vertical="center" wrapText="1"/>
    </xf>
    <xf numFmtId="3" fontId="18" fillId="2" borderId="3" xfId="0" applyNumberFormat="1" applyFont="1" applyFill="1" applyBorder="1" applyAlignment="1">
      <alignment horizontal="center" vertical="center" wrapText="1"/>
    </xf>
    <xf numFmtId="4" fontId="18" fillId="2" borderId="3" xfId="0" applyNumberFormat="1" applyFont="1" applyFill="1" applyBorder="1" applyAlignment="1">
      <alignment horizontal="center" vertical="center" wrapText="1"/>
    </xf>
    <xf numFmtId="10" fontId="18" fillId="2" borderId="3" xfId="2" applyNumberFormat="1" applyFont="1" applyFill="1" applyBorder="1" applyAlignment="1">
      <alignment horizontal="center" vertical="center" wrapText="1"/>
    </xf>
    <xf numFmtId="14" fontId="0" fillId="4" borderId="2" xfId="0" applyNumberFormat="1" applyFill="1" applyBorder="1" applyAlignment="1">
      <alignment horizontal="center" vertical="center"/>
    </xf>
    <xf numFmtId="0" fontId="18" fillId="8" borderId="3" xfId="0" applyFont="1" applyFill="1" applyBorder="1" applyAlignment="1">
      <alignment vertical="center" wrapText="1"/>
    </xf>
    <xf numFmtId="0" fontId="18" fillId="8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left" vertical="center"/>
    </xf>
    <xf numFmtId="0" fontId="20" fillId="5" borderId="3" xfId="0" applyFont="1" applyFill="1" applyBorder="1" applyAlignment="1">
      <alignment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13" fillId="27" borderId="0" xfId="0" applyFont="1" applyFill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22" fillId="17" borderId="2" xfId="0" applyFont="1" applyFill="1" applyBorder="1" applyAlignment="1">
      <alignment horizontal="center" vertical="center" wrapText="1"/>
    </xf>
    <xf numFmtId="1" fontId="18" fillId="2" borderId="1" xfId="0" applyNumberFormat="1" applyFont="1" applyFill="1" applyBorder="1" applyAlignment="1">
      <alignment horizontal="center" vertical="center" wrapText="1"/>
    </xf>
    <xf numFmtId="2" fontId="18" fillId="2" borderId="1" xfId="0" applyNumberFormat="1" applyFont="1" applyFill="1" applyBorder="1" applyAlignment="1">
      <alignment horizontal="center" vertical="center" wrapText="1"/>
    </xf>
    <xf numFmtId="0" fontId="9" fillId="32" borderId="2" xfId="0" applyFont="1" applyFill="1" applyBorder="1" applyAlignment="1">
      <alignment horizontal="center" vertical="center" wrapText="1"/>
    </xf>
    <xf numFmtId="0" fontId="9" fillId="31" borderId="2" xfId="0" applyFont="1" applyFill="1" applyBorder="1" applyAlignment="1">
      <alignment horizontal="center" vertical="center" wrapText="1"/>
    </xf>
    <xf numFmtId="10" fontId="18" fillId="2" borderId="1" xfId="2" applyNumberFormat="1" applyFont="1" applyFill="1" applyBorder="1" applyAlignment="1">
      <alignment horizontal="center" vertical="center" wrapText="1"/>
    </xf>
    <xf numFmtId="0" fontId="9" fillId="34" borderId="2" xfId="0" applyFont="1" applyFill="1" applyBorder="1" applyAlignment="1">
      <alignment horizontal="center" vertical="center" wrapText="1"/>
    </xf>
    <xf numFmtId="0" fontId="9" fillId="33" borderId="2" xfId="0" applyFont="1" applyFill="1" applyBorder="1" applyAlignment="1">
      <alignment horizontal="center" vertical="center" wrapText="1"/>
    </xf>
    <xf numFmtId="0" fontId="9" fillId="20" borderId="2" xfId="0" applyFont="1" applyFill="1" applyBorder="1" applyAlignment="1">
      <alignment horizontal="center" vertical="center" wrapText="1"/>
    </xf>
    <xf numFmtId="3" fontId="18" fillId="2" borderId="1" xfId="0" applyNumberFormat="1" applyFont="1" applyFill="1" applyBorder="1" applyAlignment="1">
      <alignment horizontal="center" vertical="center" wrapText="1"/>
    </xf>
    <xf numFmtId="10" fontId="23" fillId="2" borderId="1" xfId="2" applyNumberFormat="1" applyFont="1" applyFill="1" applyBorder="1" applyAlignment="1">
      <alignment horizontal="center" vertical="center" wrapText="1"/>
    </xf>
    <xf numFmtId="0" fontId="13" fillId="21" borderId="2" xfId="0" applyFont="1" applyFill="1" applyBorder="1" applyAlignment="1">
      <alignment horizontal="center" vertical="center" wrapText="1"/>
    </xf>
    <xf numFmtId="0" fontId="5" fillId="12" borderId="2" xfId="0" applyFont="1" applyFill="1" applyBorder="1" applyAlignment="1">
      <alignment horizontal="center" vertical="center"/>
    </xf>
    <xf numFmtId="0" fontId="21" fillId="35" borderId="2" xfId="0" applyFont="1" applyFill="1" applyBorder="1" applyAlignment="1">
      <alignment horizontal="center" vertical="center" wrapText="1"/>
    </xf>
    <xf numFmtId="0" fontId="24" fillId="28" borderId="2" xfId="0" applyFont="1" applyFill="1" applyBorder="1" applyAlignment="1">
      <alignment horizontal="center" vertical="center" wrapText="1"/>
    </xf>
    <xf numFmtId="0" fontId="25" fillId="27" borderId="2" xfId="0" applyFont="1" applyFill="1" applyBorder="1" applyAlignment="1">
      <alignment horizontal="center" vertical="center" wrapText="1"/>
    </xf>
    <xf numFmtId="0" fontId="1" fillId="20" borderId="2" xfId="0" applyFont="1" applyFill="1" applyBorder="1" applyAlignment="1">
      <alignment horizontal="center" vertical="center" wrapText="1"/>
    </xf>
    <xf numFmtId="0" fontId="1" fillId="30" borderId="2" xfId="0" applyFont="1" applyFill="1" applyBorder="1" applyAlignment="1">
      <alignment horizontal="center" vertical="center" wrapText="1"/>
    </xf>
    <xf numFmtId="165" fontId="18" fillId="2" borderId="1" xfId="2" applyNumberFormat="1" applyFont="1" applyFill="1" applyBorder="1" applyAlignment="1">
      <alignment horizontal="center" vertical="center" wrapText="1"/>
    </xf>
    <xf numFmtId="0" fontId="4" fillId="36" borderId="2" xfId="0" applyFont="1" applyFill="1" applyBorder="1" applyAlignment="1">
      <alignment horizontal="center" vertical="center" wrapText="1"/>
    </xf>
    <xf numFmtId="0" fontId="4" fillId="37" borderId="2" xfId="0" applyFont="1" applyFill="1" applyBorder="1" applyAlignment="1">
      <alignment horizontal="center" vertical="center" wrapText="1"/>
    </xf>
    <xf numFmtId="43" fontId="13" fillId="21" borderId="2" xfId="1" applyFont="1" applyFill="1" applyBorder="1" applyAlignment="1">
      <alignment horizontal="center" vertical="center" wrapText="1"/>
    </xf>
    <xf numFmtId="1" fontId="26" fillId="3" borderId="2" xfId="0" applyNumberFormat="1" applyFont="1" applyFill="1" applyBorder="1" applyAlignment="1">
      <alignment horizontal="center" vertical="center"/>
    </xf>
    <xf numFmtId="0" fontId="22" fillId="16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 wrapText="1"/>
    </xf>
    <xf numFmtId="0" fontId="28" fillId="8" borderId="2" xfId="0" applyFont="1" applyFill="1" applyBorder="1" applyAlignment="1">
      <alignment horizontal="left" vertical="center"/>
    </xf>
    <xf numFmtId="0" fontId="4" fillId="38" borderId="2" xfId="0" applyFont="1" applyFill="1" applyBorder="1" applyAlignment="1">
      <alignment horizontal="center" vertical="center" wrapText="1"/>
    </xf>
    <xf numFmtId="0" fontId="5" fillId="5" borderId="3" xfId="0" applyFont="1" applyFill="1" applyBorder="1" applyAlignment="1">
      <alignment vertical="center" wrapText="1"/>
    </xf>
    <xf numFmtId="165" fontId="0" fillId="4" borderId="2" xfId="0" applyNumberFormat="1" applyFill="1" applyBorder="1" applyAlignment="1">
      <alignment horizontal="center" vertical="center"/>
    </xf>
    <xf numFmtId="43" fontId="0" fillId="0" borderId="0" xfId="1" applyFont="1" applyAlignment="1">
      <alignment horizontal="center"/>
    </xf>
    <xf numFmtId="0" fontId="30" fillId="38" borderId="2" xfId="0" applyFont="1" applyFill="1" applyBorder="1" applyAlignment="1">
      <alignment horizontal="center" vertical="center" wrapText="1"/>
    </xf>
    <xf numFmtId="0" fontId="31" fillId="39" borderId="2" xfId="0" applyFont="1" applyFill="1" applyBorder="1" applyAlignment="1">
      <alignment horizontal="center" vertical="center" wrapText="1"/>
    </xf>
    <xf numFmtId="167" fontId="0" fillId="0" borderId="0" xfId="0" applyNumberFormat="1"/>
    <xf numFmtId="10" fontId="0" fillId="4" borderId="2" xfId="0" applyNumberFormat="1" applyFill="1" applyBorder="1" applyAlignment="1">
      <alignment horizontal="center" vertical="center"/>
    </xf>
    <xf numFmtId="167" fontId="9" fillId="29" borderId="2" xfId="0" applyNumberFormat="1" applyFont="1" applyFill="1" applyBorder="1" applyAlignment="1">
      <alignment horizontal="center" vertical="center" wrapText="1"/>
    </xf>
    <xf numFmtId="10" fontId="0" fillId="0" borderId="0" xfId="2" applyNumberFormat="1" applyFont="1"/>
    <xf numFmtId="43" fontId="32" fillId="11" borderId="2" xfId="1" applyFont="1" applyFill="1" applyBorder="1" applyAlignment="1">
      <alignment horizontal="center" vertical="center" wrapText="1"/>
    </xf>
    <xf numFmtId="0" fontId="24" fillId="11" borderId="2" xfId="0" applyFont="1" applyFill="1" applyBorder="1" applyAlignment="1">
      <alignment horizontal="center" vertical="center" wrapText="1"/>
    </xf>
    <xf numFmtId="0" fontId="0" fillId="40" borderId="2" xfId="0" applyFill="1" applyBorder="1"/>
    <xf numFmtId="0" fontId="4" fillId="41" borderId="2" xfId="0" applyFont="1" applyFill="1" applyBorder="1" applyAlignment="1">
      <alignment horizontal="center" vertical="center" wrapText="1"/>
    </xf>
    <xf numFmtId="10" fontId="18" fillId="2" borderId="3" xfId="0" applyNumberFormat="1" applyFont="1" applyFill="1" applyBorder="1" applyAlignment="1">
      <alignment horizontal="center" vertical="center" wrapText="1"/>
    </xf>
    <xf numFmtId="0" fontId="1" fillId="31" borderId="2" xfId="0" applyFont="1" applyFill="1" applyBorder="1" applyAlignment="1">
      <alignment horizontal="center" vertical="center" wrapText="1"/>
    </xf>
    <xf numFmtId="0" fontId="1" fillId="32" borderId="2" xfId="0" applyFont="1" applyFill="1" applyBorder="1" applyAlignment="1">
      <alignment horizontal="center" vertical="center" wrapText="1"/>
    </xf>
    <xf numFmtId="2" fontId="0" fillId="4" borderId="7" xfId="0" applyNumberFormat="1" applyFill="1" applyBorder="1" applyAlignment="1">
      <alignment horizontal="center" vertical="center"/>
    </xf>
    <xf numFmtId="43" fontId="32" fillId="11" borderId="6" xfId="1" applyFont="1" applyFill="1" applyBorder="1" applyAlignment="1">
      <alignment horizontal="center" vertical="center" wrapText="1"/>
    </xf>
    <xf numFmtId="43" fontId="1" fillId="5" borderId="2" xfId="1" applyFont="1" applyFill="1" applyBorder="1" applyAlignment="1">
      <alignment horizontal="center" vertical="center" wrapText="1"/>
    </xf>
    <xf numFmtId="43" fontId="1" fillId="5" borderId="5" xfId="1" applyFont="1" applyFill="1" applyBorder="1" applyAlignment="1">
      <alignment horizontal="center" vertical="center" wrapText="1"/>
    </xf>
    <xf numFmtId="43" fontId="1" fillId="8" borderId="2" xfId="1" applyFont="1" applyFill="1" applyBorder="1" applyAlignment="1">
      <alignment horizontal="center" vertical="center" wrapText="1"/>
    </xf>
    <xf numFmtId="43" fontId="4" fillId="41" borderId="2" xfId="1" applyFont="1" applyFill="1" applyBorder="1" applyAlignment="1">
      <alignment horizontal="center" vertical="center" wrapText="1"/>
    </xf>
    <xf numFmtId="43" fontId="33" fillId="41" borderId="2" xfId="1" applyFont="1" applyFill="1" applyBorder="1" applyAlignment="1">
      <alignment horizontal="center" vertical="center" wrapText="1"/>
    </xf>
    <xf numFmtId="43" fontId="13" fillId="41" borderId="2" xfId="1" applyFont="1" applyFill="1" applyBorder="1" applyAlignment="1">
      <alignment horizontal="center" vertical="center" wrapText="1"/>
    </xf>
    <xf numFmtId="43" fontId="34" fillId="5" borderId="2" xfId="1" applyFont="1" applyFill="1" applyBorder="1" applyAlignment="1">
      <alignment horizontal="center" vertical="center" wrapText="1"/>
    </xf>
    <xf numFmtId="43" fontId="34" fillId="5" borderId="4" xfId="1" applyFont="1" applyFill="1" applyBorder="1" applyAlignment="1">
      <alignment horizontal="center" vertical="center" wrapText="1"/>
    </xf>
    <xf numFmtId="43" fontId="9" fillId="8" borderId="2" xfId="1" applyFont="1" applyFill="1" applyBorder="1" applyAlignment="1">
      <alignment horizontal="center" vertical="center" wrapText="1"/>
    </xf>
    <xf numFmtId="43" fontId="34" fillId="20" borderId="2" xfId="1" applyFont="1" applyFill="1" applyBorder="1" applyAlignment="1">
      <alignment horizontal="center" vertical="center" wrapText="1"/>
    </xf>
    <xf numFmtId="0" fontId="9" fillId="17" borderId="4" xfId="0" applyFont="1" applyFill="1" applyBorder="1" applyAlignment="1">
      <alignment horizontal="center" vertical="center" wrapText="1"/>
    </xf>
    <xf numFmtId="0" fontId="34" fillId="20" borderId="4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 wrapText="1"/>
    </xf>
    <xf numFmtId="0" fontId="25" fillId="15" borderId="2" xfId="0" applyFont="1" applyFill="1" applyBorder="1" applyAlignment="1">
      <alignment horizontal="center" vertical="center" wrapText="1"/>
    </xf>
    <xf numFmtId="0" fontId="0" fillId="24" borderId="1" xfId="0" applyFill="1" applyBorder="1" applyAlignment="1">
      <alignment horizontal="center" vertical="center" wrapText="1"/>
    </xf>
    <xf numFmtId="0" fontId="1" fillId="23" borderId="0" xfId="0" applyFont="1" applyFill="1" applyAlignment="1">
      <alignment horizontal="center" vertical="center" wrapText="1"/>
    </xf>
    <xf numFmtId="0" fontId="4" fillId="14" borderId="4" xfId="0" applyFont="1" applyFill="1" applyBorder="1" applyAlignment="1">
      <alignment horizontal="center" vertical="center" wrapText="1"/>
    </xf>
    <xf numFmtId="0" fontId="4" fillId="15" borderId="4" xfId="0" applyFont="1" applyFill="1" applyBorder="1" applyAlignment="1">
      <alignment horizontal="center" vertical="center" wrapText="1"/>
    </xf>
    <xf numFmtId="0" fontId="4" fillId="21" borderId="4" xfId="0" applyFont="1" applyFill="1" applyBorder="1" applyAlignment="1">
      <alignment horizontal="center" vertical="center" wrapText="1"/>
    </xf>
    <xf numFmtId="0" fontId="4" fillId="10" borderId="4" xfId="0" applyFont="1" applyFill="1" applyBorder="1" applyAlignment="1">
      <alignment horizontal="center" vertical="center" wrapText="1"/>
    </xf>
    <xf numFmtId="0" fontId="9" fillId="28" borderId="4" xfId="0" applyFont="1" applyFill="1" applyBorder="1" applyAlignment="1">
      <alignment horizontal="center" vertical="center" wrapText="1"/>
    </xf>
    <xf numFmtId="0" fontId="9" fillId="13" borderId="4" xfId="0" applyFont="1" applyFill="1" applyBorder="1" applyAlignment="1">
      <alignment horizontal="center" vertical="center" wrapText="1"/>
    </xf>
    <xf numFmtId="0" fontId="12" fillId="28" borderId="2" xfId="0" applyFont="1" applyFill="1" applyBorder="1" applyAlignment="1">
      <alignment horizontal="center" vertical="center" wrapText="1"/>
    </xf>
    <xf numFmtId="0" fontId="8" fillId="41" borderId="2" xfId="0" applyFont="1" applyFill="1" applyBorder="1" applyAlignment="1">
      <alignment horizontal="center" vertical="center" wrapText="1"/>
    </xf>
    <xf numFmtId="0" fontId="4" fillId="26" borderId="2" xfId="0" applyFont="1" applyFill="1" applyBorder="1" applyAlignment="1">
      <alignment horizontal="center" vertical="center" wrapText="1"/>
    </xf>
    <xf numFmtId="0" fontId="34" fillId="12" borderId="2" xfId="0" applyFont="1" applyFill="1" applyBorder="1" applyAlignment="1">
      <alignment horizontal="center" vertical="center" wrapText="1"/>
    </xf>
    <xf numFmtId="1" fontId="28" fillId="5" borderId="2" xfId="0" applyNumberFormat="1" applyFont="1" applyFill="1" applyBorder="1" applyAlignment="1">
      <alignment horizontal="center" vertical="center"/>
    </xf>
    <xf numFmtId="1" fontId="28" fillId="4" borderId="2" xfId="0" applyNumberFormat="1" applyFont="1" applyFill="1" applyBorder="1" applyAlignment="1">
      <alignment horizontal="center" vertical="center"/>
    </xf>
    <xf numFmtId="1" fontId="35" fillId="2" borderId="3" xfId="0" applyNumberFormat="1" applyFont="1" applyFill="1" applyBorder="1" applyAlignment="1">
      <alignment horizontal="center" vertical="center" wrapText="1"/>
    </xf>
    <xf numFmtId="1" fontId="35" fillId="9" borderId="3" xfId="0" applyNumberFormat="1" applyFont="1" applyFill="1" applyBorder="1" applyAlignment="1">
      <alignment horizontal="center" vertical="center" wrapText="1"/>
    </xf>
    <xf numFmtId="0" fontId="9" fillId="24" borderId="4" xfId="0" applyFont="1" applyFill="1" applyBorder="1" applyAlignment="1">
      <alignment horizontal="center" vertical="center" wrapText="1"/>
    </xf>
    <xf numFmtId="14" fontId="0" fillId="16" borderId="2" xfId="0" applyNumberFormat="1" applyFill="1" applyBorder="1" applyAlignment="1">
      <alignment horizontal="center" vertical="center"/>
    </xf>
    <xf numFmtId="0" fontId="36" fillId="36" borderId="2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/>
    </xf>
    <xf numFmtId="0" fontId="4" fillId="43" borderId="2" xfId="0" applyFont="1" applyFill="1" applyBorder="1" applyAlignment="1">
      <alignment horizontal="center" vertical="center" wrapText="1"/>
    </xf>
    <xf numFmtId="2" fontId="3" fillId="4" borderId="2" xfId="0" applyNumberFormat="1" applyFont="1" applyFill="1" applyBorder="1" applyAlignment="1">
      <alignment horizontal="center" vertical="center"/>
    </xf>
    <xf numFmtId="0" fontId="9" fillId="42" borderId="4" xfId="0" applyFont="1" applyFill="1" applyBorder="1" applyAlignment="1">
      <alignment horizontal="center" vertical="center" wrapText="1"/>
    </xf>
    <xf numFmtId="0" fontId="38" fillId="25" borderId="4" xfId="0" applyFont="1" applyFill="1" applyBorder="1" applyAlignment="1">
      <alignment horizontal="center" vertical="center" wrapText="1"/>
    </xf>
    <xf numFmtId="0" fontId="37" fillId="26" borderId="4" xfId="0" applyFont="1" applyFill="1" applyBorder="1" applyAlignment="1">
      <alignment horizontal="center" vertical="center" wrapText="1"/>
    </xf>
    <xf numFmtId="0" fontId="4" fillId="44" borderId="2" xfId="0" applyFont="1" applyFill="1" applyBorder="1" applyAlignment="1">
      <alignment horizontal="center" vertical="center" wrapText="1"/>
    </xf>
    <xf numFmtId="0" fontId="40" fillId="36" borderId="2" xfId="0" applyFont="1" applyFill="1" applyBorder="1" applyAlignment="1">
      <alignment horizontal="center" vertical="center" wrapText="1"/>
    </xf>
    <xf numFmtId="10" fontId="41" fillId="2" borderId="1" xfId="2" applyNumberFormat="1" applyFont="1" applyFill="1" applyBorder="1" applyAlignment="1">
      <alignment horizontal="center" vertical="center" wrapText="1"/>
    </xf>
    <xf numFmtId="0" fontId="22" fillId="9" borderId="2" xfId="0" applyFont="1" applyFill="1" applyBorder="1" applyAlignment="1">
      <alignment horizontal="center" vertical="center" wrapText="1"/>
    </xf>
    <xf numFmtId="0" fontId="4" fillId="37" borderId="0" xfId="0" applyFont="1" applyFill="1" applyAlignment="1">
      <alignment horizontal="center" vertical="center" wrapText="1"/>
    </xf>
    <xf numFmtId="167" fontId="9" fillId="30" borderId="2" xfId="0" applyNumberFormat="1" applyFont="1" applyFill="1" applyBorder="1" applyAlignment="1">
      <alignment horizontal="center" vertical="center" wrapText="1"/>
    </xf>
    <xf numFmtId="0" fontId="9" fillId="30" borderId="2" xfId="0" applyFont="1" applyFill="1" applyBorder="1" applyAlignment="1">
      <alignment horizontal="center" vertical="center" wrapText="1"/>
    </xf>
    <xf numFmtId="0" fontId="40" fillId="6" borderId="2" xfId="0" applyFont="1" applyFill="1" applyBorder="1" applyAlignment="1">
      <alignment horizontal="center" vertical="center" wrapText="1"/>
    </xf>
    <xf numFmtId="0" fontId="40" fillId="4" borderId="2" xfId="0" applyFont="1" applyFill="1" applyBorder="1" applyAlignment="1">
      <alignment horizontal="center" vertical="center" wrapText="1"/>
    </xf>
    <xf numFmtId="2" fontId="3" fillId="8" borderId="2" xfId="0" applyNumberFormat="1" applyFont="1" applyFill="1" applyBorder="1" applyAlignment="1">
      <alignment horizontal="center" vertical="center"/>
    </xf>
    <xf numFmtId="2" fontId="3" fillId="8" borderId="3" xfId="0" applyNumberFormat="1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/>
    </xf>
    <xf numFmtId="0" fontId="20" fillId="2" borderId="3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43" fontId="1" fillId="23" borderId="2" xfId="1" applyFont="1" applyFill="1" applyBorder="1" applyAlignment="1">
      <alignment horizontal="center" vertical="center" wrapText="1"/>
    </xf>
    <xf numFmtId="43" fontId="1" fillId="13" borderId="2" xfId="1" applyFont="1" applyFill="1" applyBorder="1" applyAlignment="1">
      <alignment horizontal="center" vertical="center" wrapText="1"/>
    </xf>
    <xf numFmtId="0" fontId="4" fillId="14" borderId="2" xfId="0" applyFont="1" applyFill="1" applyBorder="1" applyAlignment="1">
      <alignment horizontal="center" vertical="center" wrapText="1"/>
    </xf>
    <xf numFmtId="0" fontId="39" fillId="3" borderId="2" xfId="0" applyFont="1" applyFill="1" applyBorder="1" applyAlignment="1">
      <alignment horizontal="center" vertical="center" wrapText="1"/>
    </xf>
    <xf numFmtId="0" fontId="39" fillId="12" borderId="2" xfId="0" applyFont="1" applyFill="1" applyBorder="1" applyAlignment="1">
      <alignment horizontal="center" vertical="center" wrapText="1"/>
    </xf>
    <xf numFmtId="0" fontId="9" fillId="45" borderId="2" xfId="0" applyFont="1" applyFill="1" applyBorder="1" applyAlignment="1">
      <alignment horizontal="center" vertical="center" wrapText="1"/>
    </xf>
    <xf numFmtId="0" fontId="42" fillId="45" borderId="2" xfId="0" applyFont="1" applyFill="1" applyBorder="1" applyAlignment="1">
      <alignment horizontal="center" vertical="center" wrapText="1"/>
    </xf>
    <xf numFmtId="0" fontId="34" fillId="45" borderId="2" xfId="0" applyFont="1" applyFill="1" applyBorder="1" applyAlignment="1">
      <alignment horizontal="center" vertical="center" wrapText="1"/>
    </xf>
    <xf numFmtId="168" fontId="3" fillId="4" borderId="2" xfId="0" applyNumberFormat="1" applyFont="1" applyFill="1" applyBorder="1" applyAlignment="1">
      <alignment horizontal="center" vertical="center"/>
    </xf>
    <xf numFmtId="1" fontId="3" fillId="4" borderId="2" xfId="0" applyNumberFormat="1" applyFont="1" applyFill="1" applyBorder="1" applyAlignment="1">
      <alignment horizontal="center" vertical="center"/>
    </xf>
    <xf numFmtId="10" fontId="3" fillId="4" borderId="2" xfId="2" applyNumberFormat="1" applyFont="1" applyFill="1" applyBorder="1" applyAlignment="1">
      <alignment horizontal="center" vertical="center"/>
    </xf>
    <xf numFmtId="1" fontId="0" fillId="4" borderId="7" xfId="0" applyNumberFormat="1" applyFill="1" applyBorder="1" applyAlignment="1">
      <alignment horizontal="center" vertical="center"/>
    </xf>
    <xf numFmtId="164" fontId="18" fillId="4" borderId="3" xfId="0" applyNumberFormat="1" applyFont="1" applyFill="1" applyBorder="1" applyAlignment="1">
      <alignment horizontal="center" vertical="center" wrapText="1"/>
    </xf>
    <xf numFmtId="2" fontId="18" fillId="4" borderId="3" xfId="0" applyNumberFormat="1" applyFont="1" applyFill="1" applyBorder="1" applyAlignment="1">
      <alignment horizontal="center" vertical="center" wrapText="1"/>
    </xf>
    <xf numFmtId="1" fontId="18" fillId="4" borderId="3" xfId="0" applyNumberFormat="1" applyFont="1" applyFill="1" applyBorder="1" applyAlignment="1">
      <alignment horizontal="center" vertical="center" wrapText="1"/>
    </xf>
    <xf numFmtId="10" fontId="28" fillId="4" borderId="2" xfId="2" applyNumberFormat="1" applyFont="1" applyFill="1" applyBorder="1" applyAlignment="1">
      <alignment horizontal="center" vertical="center"/>
    </xf>
    <xf numFmtId="2" fontId="18" fillId="4" borderId="1" xfId="0" applyNumberFormat="1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/>
    </xf>
    <xf numFmtId="0" fontId="3" fillId="0" borderId="0" xfId="0" applyFont="1"/>
    <xf numFmtId="1" fontId="35" fillId="4" borderId="3" xfId="0" applyNumberFormat="1" applyFont="1" applyFill="1" applyBorder="1" applyAlignment="1">
      <alignment horizontal="center" vertical="center" wrapText="1"/>
    </xf>
    <xf numFmtId="9" fontId="35" fillId="4" borderId="3" xfId="2" applyFont="1" applyFill="1" applyBorder="1" applyAlignment="1">
      <alignment horizontal="center" vertical="center" wrapText="1"/>
    </xf>
    <xf numFmtId="9" fontId="35" fillId="2" borderId="3" xfId="2" applyFont="1" applyFill="1" applyBorder="1" applyAlignment="1">
      <alignment horizontal="center" vertical="center" wrapText="1"/>
    </xf>
    <xf numFmtId="2" fontId="18" fillId="2" borderId="2" xfId="2" applyNumberFormat="1" applyFont="1" applyFill="1" applyBorder="1" applyAlignment="1">
      <alignment horizontal="center" vertical="center" wrapText="1"/>
    </xf>
    <xf numFmtId="0" fontId="34" fillId="28" borderId="2" xfId="0" applyFont="1" applyFill="1" applyBorder="1" applyAlignment="1">
      <alignment horizontal="center" vertical="center" wrapText="1"/>
    </xf>
    <xf numFmtId="0" fontId="1" fillId="23" borderId="2" xfId="0" applyFont="1" applyFill="1" applyBorder="1" applyAlignment="1">
      <alignment horizontal="center" vertical="center" wrapText="1"/>
    </xf>
    <xf numFmtId="1" fontId="35" fillId="2" borderId="1" xfId="0" applyNumberFormat="1" applyFont="1" applyFill="1" applyBorder="1" applyAlignment="1">
      <alignment horizontal="center" vertical="center" wrapText="1"/>
    </xf>
    <xf numFmtId="9" fontId="35" fillId="2" borderId="1" xfId="2" applyFont="1" applyFill="1" applyBorder="1" applyAlignment="1">
      <alignment horizontal="center" vertical="center" wrapText="1"/>
    </xf>
    <xf numFmtId="2" fontId="0" fillId="4" borderId="2" xfId="2" applyNumberFormat="1" applyFont="1" applyFill="1" applyBorder="1" applyAlignment="1">
      <alignment horizontal="center" vertical="center"/>
    </xf>
    <xf numFmtId="0" fontId="43" fillId="4" borderId="2" xfId="0" applyFont="1" applyFill="1" applyBorder="1" applyAlignment="1">
      <alignment horizontal="center" vertical="center" wrapText="1"/>
    </xf>
    <xf numFmtId="14" fontId="0" fillId="2" borderId="3" xfId="0" applyNumberForma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/>
    </xf>
    <xf numFmtId="167" fontId="19" fillId="4" borderId="2" xfId="0" applyNumberFormat="1" applyFont="1" applyFill="1" applyBorder="1" applyAlignment="1">
      <alignment horizontal="center" vertical="center"/>
    </xf>
    <xf numFmtId="0" fontId="44" fillId="6" borderId="2" xfId="0" applyFont="1" applyFill="1" applyBorder="1" applyAlignment="1">
      <alignment horizontal="center" vertical="center" wrapText="1"/>
    </xf>
    <xf numFmtId="0" fontId="44" fillId="6" borderId="4" xfId="0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/>
    </xf>
    <xf numFmtId="2" fontId="23" fillId="4" borderId="1" xfId="0" applyNumberFormat="1" applyFont="1" applyFill="1" applyBorder="1" applyAlignment="1">
      <alignment horizontal="center" vertical="center" wrapText="1"/>
    </xf>
    <xf numFmtId="1" fontId="18" fillId="4" borderId="1" xfId="0" applyNumberFormat="1" applyFont="1" applyFill="1" applyBorder="1" applyAlignment="1">
      <alignment horizontal="center" vertical="center" wrapText="1"/>
    </xf>
    <xf numFmtId="168" fontId="45" fillId="21" borderId="8" xfId="0" applyNumberFormat="1" applyFont="1" applyFill="1" applyBorder="1" applyAlignment="1">
      <alignment horizontal="center" vertical="center" wrapText="1"/>
    </xf>
    <xf numFmtId="169" fontId="45" fillId="21" borderId="8" xfId="0" applyNumberFormat="1" applyFont="1" applyFill="1" applyBorder="1" applyAlignment="1">
      <alignment horizontal="center" vertical="center" wrapText="1"/>
    </xf>
    <xf numFmtId="1" fontId="0" fillId="4" borderId="2" xfId="2" applyNumberFormat="1" applyFont="1" applyFill="1" applyBorder="1" applyAlignment="1">
      <alignment horizontal="center" vertical="center"/>
    </xf>
    <xf numFmtId="2" fontId="18" fillId="2" borderId="3" xfId="2" applyNumberFormat="1" applyFont="1" applyFill="1" applyBorder="1" applyAlignment="1">
      <alignment horizontal="center" vertical="center" wrapText="1"/>
    </xf>
    <xf numFmtId="1" fontId="18" fillId="2" borderId="3" xfId="2" applyNumberFormat="1" applyFont="1" applyFill="1" applyBorder="1" applyAlignment="1">
      <alignment horizontal="center" vertical="center" wrapText="1"/>
    </xf>
    <xf numFmtId="43" fontId="40" fillId="46" borderId="2" xfId="1" applyFont="1" applyFill="1" applyBorder="1" applyAlignment="1">
      <alignment horizontal="center" vertical="center" wrapText="1"/>
    </xf>
    <xf numFmtId="0" fontId="29" fillId="26" borderId="2" xfId="0" applyFont="1" applyFill="1" applyBorder="1" applyAlignment="1">
      <alignment horizontal="center" vertical="center" wrapText="1"/>
    </xf>
    <xf numFmtId="0" fontId="47" fillId="10" borderId="2" xfId="0" applyFont="1" applyFill="1" applyBorder="1" applyAlignment="1">
      <alignment horizontal="center" vertical="center" wrapText="1"/>
    </xf>
    <xf numFmtId="0" fontId="17" fillId="47" borderId="2" xfId="0" applyFont="1" applyFill="1" applyBorder="1" applyAlignment="1">
      <alignment horizontal="center" vertical="center" wrapText="1"/>
    </xf>
    <xf numFmtId="0" fontId="9" fillId="28" borderId="2" xfId="0" applyFont="1" applyFill="1" applyBorder="1" applyAlignment="1">
      <alignment horizontal="center" vertical="center" wrapText="1"/>
    </xf>
    <xf numFmtId="0" fontId="10" fillId="28" borderId="2" xfId="0" applyFont="1" applyFill="1" applyBorder="1" applyAlignment="1">
      <alignment horizontal="center" vertical="center" wrapText="1"/>
    </xf>
    <xf numFmtId="0" fontId="22" fillId="15" borderId="4" xfId="0" applyFont="1" applyFill="1" applyBorder="1" applyAlignment="1">
      <alignment horizontal="center" vertical="center" wrapText="1"/>
    </xf>
    <xf numFmtId="0" fontId="22" fillId="48" borderId="4" xfId="0" applyFont="1" applyFill="1" applyBorder="1" applyAlignment="1">
      <alignment horizontal="center" vertical="center" wrapText="1"/>
    </xf>
    <xf numFmtId="1" fontId="23" fillId="2" borderId="1" xfId="0" applyNumberFormat="1" applyFont="1" applyFill="1" applyBorder="1" applyAlignment="1">
      <alignment horizontal="center" vertical="center" wrapText="1"/>
    </xf>
    <xf numFmtId="2" fontId="23" fillId="2" borderId="1" xfId="0" applyNumberFormat="1" applyFont="1" applyFill="1" applyBorder="1" applyAlignment="1">
      <alignment horizontal="center" vertical="center" wrapText="1"/>
    </xf>
    <xf numFmtId="0" fontId="52" fillId="26" borderId="2" xfId="0" applyFont="1" applyFill="1" applyBorder="1" applyAlignment="1">
      <alignment horizontal="center" vertical="center" wrapText="1"/>
    </xf>
    <xf numFmtId="1" fontId="23" fillId="2" borderId="3" xfId="0" applyNumberFormat="1" applyFont="1" applyFill="1" applyBorder="1" applyAlignment="1">
      <alignment horizontal="center" vertical="center" wrapText="1"/>
    </xf>
    <xf numFmtId="0" fontId="54" fillId="0" borderId="0" xfId="0" applyFont="1" applyAlignment="1">
      <alignment horizontal="center"/>
    </xf>
    <xf numFmtId="0" fontId="55" fillId="0" borderId="0" xfId="0" applyFont="1"/>
    <xf numFmtId="0" fontId="0" fillId="49" borderId="0" xfId="0" applyFill="1"/>
    <xf numFmtId="2" fontId="5" fillId="33" borderId="2" xfId="0" applyNumberFormat="1" applyFont="1" applyFill="1" applyBorder="1" applyAlignment="1">
      <alignment horizontal="center" vertical="center"/>
    </xf>
    <xf numFmtId="0" fontId="56" fillId="14" borderId="2" xfId="0" applyFont="1" applyFill="1" applyBorder="1" applyAlignment="1">
      <alignment horizontal="center" vertical="center" wrapText="1"/>
    </xf>
    <xf numFmtId="2" fontId="5" fillId="24" borderId="2" xfId="0" applyNumberFormat="1" applyFont="1" applyFill="1" applyBorder="1" applyAlignment="1">
      <alignment horizontal="center" vertical="center"/>
    </xf>
    <xf numFmtId="0" fontId="57" fillId="15" borderId="2" xfId="0" applyFont="1" applyFill="1" applyBorder="1" applyAlignment="1">
      <alignment horizontal="center" vertical="center"/>
    </xf>
    <xf numFmtId="164" fontId="5" fillId="33" borderId="2" xfId="0" applyNumberFormat="1" applyFont="1" applyFill="1" applyBorder="1" applyAlignment="1">
      <alignment horizontal="center" vertical="center"/>
    </xf>
    <xf numFmtId="0" fontId="56" fillId="6" borderId="2" xfId="0" applyFont="1" applyFill="1" applyBorder="1" applyAlignment="1">
      <alignment horizontal="center" vertical="center"/>
    </xf>
    <xf numFmtId="0" fontId="56" fillId="19" borderId="2" xfId="0" applyFont="1" applyFill="1" applyBorder="1" applyAlignment="1">
      <alignment horizontal="center" vertical="center"/>
    </xf>
    <xf numFmtId="0" fontId="0" fillId="21" borderId="0" xfId="0" applyFill="1"/>
    <xf numFmtId="1" fontId="5" fillId="33" borderId="2" xfId="0" applyNumberFormat="1" applyFont="1" applyFill="1" applyBorder="1" applyAlignment="1">
      <alignment horizontal="center" vertical="center"/>
    </xf>
    <xf numFmtId="10" fontId="5" fillId="24" borderId="2" xfId="2" applyNumberFormat="1" applyFont="1" applyFill="1" applyBorder="1" applyAlignment="1">
      <alignment horizontal="center" vertical="center"/>
    </xf>
    <xf numFmtId="0" fontId="58" fillId="11" borderId="2" xfId="0" applyFont="1" applyFill="1" applyBorder="1" applyAlignment="1">
      <alignment horizontal="center" vertical="center"/>
    </xf>
    <xf numFmtId="164" fontId="5" fillId="29" borderId="2" xfId="0" applyNumberFormat="1" applyFont="1" applyFill="1" applyBorder="1" applyAlignment="1">
      <alignment horizontal="center" vertical="center"/>
    </xf>
    <xf numFmtId="0" fontId="56" fillId="9" borderId="2" xfId="0" applyFont="1" applyFill="1" applyBorder="1" applyAlignment="1">
      <alignment horizontal="center" vertical="center"/>
    </xf>
    <xf numFmtId="164" fontId="5" fillId="24" borderId="2" xfId="0" applyNumberFormat="1" applyFont="1" applyFill="1" applyBorder="1" applyAlignment="1">
      <alignment horizontal="center" vertical="center"/>
    </xf>
    <xf numFmtId="10" fontId="5" fillId="50" borderId="2" xfId="2" applyNumberFormat="1" applyFont="1" applyFill="1" applyBorder="1" applyAlignment="1">
      <alignment horizontal="center" vertical="center"/>
    </xf>
    <xf numFmtId="10" fontId="5" fillId="8" borderId="2" xfId="2" applyNumberFormat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164" fontId="5" fillId="50" borderId="2" xfId="0" applyNumberFormat="1" applyFont="1" applyFill="1" applyBorder="1" applyAlignment="1">
      <alignment horizontal="center" vertical="center"/>
    </xf>
    <xf numFmtId="0" fontId="59" fillId="6" borderId="2" xfId="0" applyFont="1" applyFill="1" applyBorder="1" applyAlignment="1">
      <alignment horizontal="center" vertical="center" wrapText="1"/>
    </xf>
    <xf numFmtId="164" fontId="5" fillId="30" borderId="2" xfId="0" applyNumberFormat="1" applyFont="1" applyFill="1" applyBorder="1" applyAlignment="1">
      <alignment horizontal="center" vertical="center"/>
    </xf>
    <xf numFmtId="0" fontId="60" fillId="6" borderId="2" xfId="0" applyFont="1" applyFill="1" applyBorder="1" applyAlignment="1">
      <alignment horizontal="center" vertical="center" wrapText="1"/>
    </xf>
    <xf numFmtId="2" fontId="61" fillId="35" borderId="2" xfId="0" applyNumberFormat="1" applyFont="1" applyFill="1" applyBorder="1" applyAlignment="1">
      <alignment horizontal="center" vertical="center"/>
    </xf>
    <xf numFmtId="0" fontId="62" fillId="6" borderId="2" xfId="0" applyFont="1" applyFill="1" applyBorder="1" applyAlignment="1">
      <alignment horizontal="center" vertical="center" wrapText="1"/>
    </xf>
    <xf numFmtId="1" fontId="3" fillId="4" borderId="2" xfId="2" applyNumberFormat="1" applyFont="1" applyFill="1" applyBorder="1" applyAlignment="1">
      <alignment horizontal="center" vertical="center"/>
    </xf>
    <xf numFmtId="164" fontId="3" fillId="4" borderId="2" xfId="2" applyNumberFormat="1" applyFont="1" applyFill="1" applyBorder="1" applyAlignment="1">
      <alignment horizontal="center" vertical="center"/>
    </xf>
    <xf numFmtId="1" fontId="5" fillId="4" borderId="2" xfId="0" applyNumberFormat="1" applyFont="1" applyFill="1" applyBorder="1" applyAlignment="1">
      <alignment horizontal="center" vertical="center"/>
    </xf>
    <xf numFmtId="0" fontId="64" fillId="8" borderId="2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left" vertical="center"/>
    </xf>
    <xf numFmtId="0" fontId="65" fillId="49" borderId="4" xfId="0" applyFont="1" applyFill="1" applyBorder="1" applyAlignment="1">
      <alignment horizontal="center" vertical="center"/>
    </xf>
    <xf numFmtId="0" fontId="65" fillId="49" borderId="4" xfId="0" applyFont="1" applyFill="1" applyBorder="1" applyAlignment="1">
      <alignment horizontal="center" vertical="center" wrapText="1"/>
    </xf>
    <xf numFmtId="0" fontId="56" fillId="6" borderId="2" xfId="0" applyFont="1" applyFill="1" applyBorder="1" applyAlignment="1">
      <alignment horizontal="center" vertical="center" wrapText="1"/>
    </xf>
    <xf numFmtId="0" fontId="56" fillId="19" borderId="2" xfId="0" applyFont="1" applyFill="1" applyBorder="1" applyAlignment="1">
      <alignment horizontal="center" vertical="center" wrapText="1"/>
    </xf>
    <xf numFmtId="0" fontId="66" fillId="26" borderId="2" xfId="0" applyFont="1" applyFill="1" applyBorder="1" applyAlignment="1">
      <alignment horizontal="center" vertical="center"/>
    </xf>
    <xf numFmtId="0" fontId="67" fillId="15" borderId="2" xfId="0" applyFont="1" applyFill="1" applyBorder="1" applyAlignment="1">
      <alignment horizontal="center" vertical="center" wrapText="1"/>
    </xf>
    <xf numFmtId="0" fontId="19" fillId="5" borderId="2" xfId="0" applyFont="1" applyFill="1" applyBorder="1" applyAlignment="1">
      <alignment horizontal="center" vertical="center" wrapText="1"/>
    </xf>
    <xf numFmtId="0" fontId="68" fillId="15" borderId="2" xfId="0" applyFont="1" applyFill="1" applyBorder="1" applyAlignment="1">
      <alignment horizontal="center" vertical="center"/>
    </xf>
    <xf numFmtId="0" fontId="4" fillId="26" borderId="4" xfId="0" applyFont="1" applyFill="1" applyBorder="1" applyAlignment="1">
      <alignment horizontal="center" vertical="center" wrapText="1"/>
    </xf>
    <xf numFmtId="0" fontId="27" fillId="26" borderId="2" xfId="0" applyFont="1" applyFill="1" applyBorder="1" applyAlignment="1">
      <alignment horizontal="center" vertical="center" wrapText="1"/>
    </xf>
    <xf numFmtId="0" fontId="69" fillId="14" borderId="4" xfId="0" applyFont="1" applyFill="1" applyBorder="1" applyAlignment="1">
      <alignment horizontal="center" vertical="center" wrapText="1"/>
    </xf>
    <xf numFmtId="49" fontId="5" fillId="12" borderId="2" xfId="0" applyNumberFormat="1" applyFont="1" applyFill="1" applyBorder="1" applyAlignment="1">
      <alignment horizontal="center" vertical="center"/>
    </xf>
    <xf numFmtId="0" fontId="56" fillId="9" borderId="2" xfId="0" applyFont="1" applyFill="1" applyBorder="1" applyAlignment="1">
      <alignment horizontal="center" vertical="center" wrapText="1"/>
    </xf>
    <xf numFmtId="0" fontId="0" fillId="49" borderId="0" xfId="0" quotePrefix="1" applyFill="1"/>
    <xf numFmtId="0" fontId="0" fillId="40" borderId="2" xfId="0" quotePrefix="1" applyFill="1" applyBorder="1"/>
    <xf numFmtId="2" fontId="18" fillId="2" borderId="1" xfId="2" applyNumberFormat="1" applyFont="1" applyFill="1" applyBorder="1" applyAlignment="1">
      <alignment horizontal="center" vertical="center" wrapText="1"/>
    </xf>
    <xf numFmtId="1" fontId="18" fillId="2" borderId="1" xfId="2" applyNumberFormat="1" applyFont="1" applyFill="1" applyBorder="1" applyAlignment="1">
      <alignment horizontal="center" vertical="center" wrapText="1"/>
    </xf>
    <xf numFmtId="0" fontId="36" fillId="26" borderId="2" xfId="0" applyFont="1" applyFill="1" applyBorder="1" applyAlignment="1">
      <alignment horizontal="center" vertical="center" wrapText="1"/>
    </xf>
    <xf numFmtId="0" fontId="70" fillId="26" borderId="2" xfId="0" applyFont="1" applyFill="1" applyBorder="1" applyAlignment="1">
      <alignment horizontal="center" vertical="center" wrapText="1"/>
    </xf>
    <xf numFmtId="0" fontId="71" fillId="26" borderId="2" xfId="0" applyFont="1" applyFill="1" applyBorder="1" applyAlignment="1">
      <alignment horizontal="center" vertical="center" wrapText="1"/>
    </xf>
    <xf numFmtId="43" fontId="69" fillId="36" borderId="2" xfId="1" applyFont="1" applyFill="1" applyBorder="1" applyAlignment="1">
      <alignment horizontal="center" vertical="center" wrapText="1"/>
    </xf>
    <xf numFmtId="169" fontId="0" fillId="4" borderId="2" xfId="0" applyNumberFormat="1" applyFill="1" applyBorder="1" applyAlignment="1">
      <alignment horizontal="center" vertical="center"/>
    </xf>
    <xf numFmtId="168" fontId="0" fillId="4" borderId="2" xfId="0" applyNumberFormat="1" applyFill="1" applyBorder="1" applyAlignment="1">
      <alignment horizontal="center" vertical="center"/>
    </xf>
    <xf numFmtId="0" fontId="69" fillId="6" borderId="2" xfId="0" applyFont="1" applyFill="1" applyBorder="1" applyAlignment="1">
      <alignment horizontal="center" vertical="center" wrapText="1"/>
    </xf>
    <xf numFmtId="0" fontId="0" fillId="51" borderId="0" xfId="0" applyFill="1"/>
    <xf numFmtId="0" fontId="1" fillId="52" borderId="2" xfId="0" applyFont="1" applyFill="1" applyBorder="1" applyAlignment="1">
      <alignment horizontal="center" vertical="center" wrapText="1"/>
    </xf>
    <xf numFmtId="2" fontId="35" fillId="2" borderId="1" xfId="0" applyNumberFormat="1" applyFont="1" applyFill="1" applyBorder="1" applyAlignment="1">
      <alignment horizontal="center" vertical="center" wrapText="1"/>
    </xf>
    <xf numFmtId="10" fontId="3" fillId="51" borderId="2" xfId="2" applyNumberFormat="1" applyFont="1" applyFill="1" applyBorder="1" applyAlignment="1">
      <alignment horizontal="center" vertical="center"/>
    </xf>
    <xf numFmtId="1" fontId="73" fillId="26" borderId="2" xfId="0" applyNumberFormat="1" applyFont="1" applyFill="1" applyBorder="1" applyAlignment="1">
      <alignment horizontal="center" vertical="center"/>
    </xf>
    <xf numFmtId="2" fontId="73" fillId="26" borderId="2" xfId="0" applyNumberFormat="1" applyFont="1" applyFill="1" applyBorder="1" applyAlignment="1">
      <alignment horizontal="center" vertical="center"/>
    </xf>
    <xf numFmtId="164" fontId="18" fillId="2" borderId="1" xfId="0" applyNumberFormat="1" applyFont="1" applyFill="1" applyBorder="1" applyAlignment="1">
      <alignment horizontal="center" vertical="center" wrapText="1"/>
    </xf>
    <xf numFmtId="1" fontId="74" fillId="53" borderId="1" xfId="0" applyNumberFormat="1" applyFont="1" applyFill="1" applyBorder="1" applyAlignment="1">
      <alignment horizontal="center" vertical="center" wrapText="1"/>
    </xf>
    <xf numFmtId="2" fontId="74" fillId="53" borderId="1" xfId="0" applyNumberFormat="1" applyFont="1" applyFill="1" applyBorder="1" applyAlignment="1">
      <alignment horizontal="center" vertical="center" wrapText="1"/>
    </xf>
    <xf numFmtId="0" fontId="13" fillId="25" borderId="4" xfId="0" applyFont="1" applyFill="1" applyBorder="1" applyAlignment="1">
      <alignment horizontal="center" vertical="center" wrapText="1"/>
    </xf>
    <xf numFmtId="2" fontId="18" fillId="51" borderId="10" xfId="0" applyNumberFormat="1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left" vertical="center" wrapText="1"/>
    </xf>
    <xf numFmtId="0" fontId="1" fillId="2" borderId="1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2" fillId="54" borderId="1" xfId="0" applyFont="1" applyFill="1" applyBorder="1" applyAlignment="1">
      <alignment vertical="center" wrapText="1"/>
    </xf>
    <xf numFmtId="14" fontId="2" fillId="54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14" fontId="2" fillId="0" borderId="1" xfId="0" applyNumberFormat="1" applyFont="1" applyBorder="1" applyAlignment="1">
      <alignment vertical="center" wrapText="1"/>
    </xf>
    <xf numFmtId="0" fontId="2" fillId="54" borderId="14" xfId="0" applyFont="1" applyFill="1" applyBorder="1" applyAlignment="1">
      <alignment vertical="center" wrapText="1"/>
    </xf>
    <xf numFmtId="0" fontId="2" fillId="54" borderId="15" xfId="0" applyFont="1" applyFill="1" applyBorder="1" applyAlignment="1">
      <alignment vertical="center" wrapText="1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166" fontId="0" fillId="34" borderId="2" xfId="0" applyNumberFormat="1" applyFill="1" applyBorder="1" applyAlignment="1">
      <alignment horizontal="center" vertical="center"/>
    </xf>
    <xf numFmtId="167" fontId="0" fillId="34" borderId="2" xfId="0" applyNumberFormat="1" applyFill="1" applyBorder="1" applyAlignment="1">
      <alignment horizontal="center" vertical="center"/>
    </xf>
    <xf numFmtId="1" fontId="76" fillId="25" borderId="3" xfId="0" applyNumberFormat="1" applyFont="1" applyFill="1" applyBorder="1" applyAlignment="1">
      <alignment horizontal="center" vertical="center" wrapText="1"/>
    </xf>
    <xf numFmtId="2" fontId="76" fillId="25" borderId="3" xfId="0" applyNumberFormat="1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2" fillId="54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2" fillId="54" borderId="14" xfId="0" applyFont="1" applyFill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14" fontId="2" fillId="54" borderId="1" xfId="0" applyNumberFormat="1" applyFont="1" applyFill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67" fontId="18" fillId="33" borderId="3" xfId="0" applyNumberFormat="1" applyFont="1" applyFill="1" applyBorder="1" applyAlignment="1">
      <alignment horizontal="center" vertical="center" wrapText="1"/>
    </xf>
    <xf numFmtId="10" fontId="76" fillId="49" borderId="3" xfId="2" applyNumberFormat="1" applyFont="1" applyFill="1" applyBorder="1" applyAlignment="1">
      <alignment horizontal="center" vertical="center" wrapText="1"/>
    </xf>
    <xf numFmtId="1" fontId="76" fillId="49" borderId="3" xfId="0" applyNumberFormat="1" applyFont="1" applyFill="1" applyBorder="1" applyAlignment="1">
      <alignment horizontal="center" vertical="center" wrapText="1"/>
    </xf>
    <xf numFmtId="2" fontId="76" fillId="49" borderId="3" xfId="0" applyNumberFormat="1" applyFont="1" applyFill="1" applyBorder="1" applyAlignment="1">
      <alignment horizontal="center" vertical="center" wrapText="1"/>
    </xf>
    <xf numFmtId="0" fontId="4" fillId="55" borderId="2" xfId="0" applyFont="1" applyFill="1" applyBorder="1" applyAlignment="1">
      <alignment horizontal="center" vertical="center" wrapText="1"/>
    </xf>
    <xf numFmtId="1" fontId="18" fillId="51" borderId="3" xfId="0" applyNumberFormat="1" applyFont="1" applyFill="1" applyBorder="1" applyAlignment="1">
      <alignment horizontal="center" vertical="center" wrapText="1"/>
    </xf>
    <xf numFmtId="2" fontId="18" fillId="51" borderId="3" xfId="0" applyNumberFormat="1" applyFont="1" applyFill="1" applyBorder="1" applyAlignment="1">
      <alignment horizontal="center" vertical="center" wrapText="1"/>
    </xf>
    <xf numFmtId="0" fontId="4" fillId="56" borderId="2" xfId="0" applyFont="1" applyFill="1" applyBorder="1" applyAlignment="1">
      <alignment horizontal="center" vertical="center" wrapText="1"/>
    </xf>
    <xf numFmtId="0" fontId="17" fillId="55" borderId="2" xfId="0" applyFont="1" applyFill="1" applyBorder="1" applyAlignment="1">
      <alignment horizontal="center" vertical="center" wrapText="1"/>
    </xf>
    <xf numFmtId="0" fontId="22" fillId="55" borderId="2" xfId="0" applyFont="1" applyFill="1" applyBorder="1" applyAlignment="1">
      <alignment horizontal="center" vertical="center" wrapText="1"/>
    </xf>
    <xf numFmtId="0" fontId="2" fillId="54" borderId="16" xfId="0" applyFont="1" applyFill="1" applyBorder="1" applyAlignment="1">
      <alignment vertical="center" wrapText="1"/>
    </xf>
    <xf numFmtId="0" fontId="2" fillId="54" borderId="17" xfId="0" applyFont="1" applyFill="1" applyBorder="1" applyAlignment="1">
      <alignment vertical="center" wrapText="1"/>
    </xf>
    <xf numFmtId="0" fontId="2" fillId="54" borderId="18" xfId="0" applyFont="1" applyFill="1" applyBorder="1" applyAlignment="1">
      <alignment vertical="center" wrapText="1"/>
    </xf>
    <xf numFmtId="1" fontId="75" fillId="49" borderId="2" xfId="0" applyNumberFormat="1" applyFont="1" applyFill="1" applyBorder="1" applyAlignment="1">
      <alignment horizontal="center" vertical="center"/>
    </xf>
    <xf numFmtId="2" fontId="75" fillId="49" borderId="2" xfId="0" applyNumberFormat="1" applyFont="1" applyFill="1" applyBorder="1" applyAlignment="1">
      <alignment horizontal="center" vertical="center"/>
    </xf>
    <xf numFmtId="167" fontId="0" fillId="33" borderId="2" xfId="0" applyNumberFormat="1" applyFill="1" applyBorder="1" applyAlignment="1">
      <alignment horizontal="left" vertical="center"/>
    </xf>
    <xf numFmtId="3" fontId="0" fillId="4" borderId="2" xfId="0" applyNumberFormat="1" applyFill="1" applyBorder="1" applyAlignment="1">
      <alignment horizontal="center" vertical="center"/>
    </xf>
    <xf numFmtId="10" fontId="75" fillId="49" borderId="2" xfId="2" applyNumberFormat="1" applyFont="1" applyFill="1" applyBorder="1" applyAlignment="1">
      <alignment horizontal="center" vertical="center"/>
    </xf>
    <xf numFmtId="43" fontId="69" fillId="57" borderId="2" xfId="1" applyFont="1" applyFill="1" applyBorder="1" applyAlignment="1">
      <alignment horizontal="center" vertical="center" wrapText="1"/>
    </xf>
    <xf numFmtId="3" fontId="76" fillId="49" borderId="3" xfId="0" applyNumberFormat="1" applyFont="1" applyFill="1" applyBorder="1" applyAlignment="1">
      <alignment horizontal="center" vertical="center" wrapText="1"/>
    </xf>
    <xf numFmtId="4" fontId="76" fillId="49" borderId="3" xfId="0" applyNumberFormat="1" applyFont="1" applyFill="1" applyBorder="1" applyAlignment="1">
      <alignment horizontal="center" vertical="center" wrapText="1"/>
    </xf>
    <xf numFmtId="0" fontId="14" fillId="49" borderId="2" xfId="0" applyFont="1" applyFill="1" applyBorder="1" applyAlignment="1">
      <alignment horizontal="center" vertical="center" wrapText="1"/>
    </xf>
    <xf numFmtId="2" fontId="45" fillId="21" borderId="8" xfId="0" applyNumberFormat="1" applyFont="1" applyFill="1" applyBorder="1" applyAlignment="1">
      <alignment horizontal="center" vertical="center" wrapText="1"/>
    </xf>
    <xf numFmtId="0" fontId="78" fillId="14" borderId="2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2" fillId="54" borderId="15" xfId="0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66" fontId="0" fillId="33" borderId="2" xfId="0" applyNumberFormat="1" applyFill="1" applyBorder="1" applyAlignment="1">
      <alignment horizontal="center" vertical="center"/>
    </xf>
    <xf numFmtId="1" fontId="75" fillId="49" borderId="2" xfId="2" applyNumberFormat="1" applyFont="1" applyFill="1" applyBorder="1" applyAlignment="1">
      <alignment horizontal="center" vertical="center"/>
    </xf>
    <xf numFmtId="167" fontId="0" fillId="33" borderId="2" xfId="0" applyNumberFormat="1" applyFill="1" applyBorder="1" applyAlignment="1">
      <alignment horizontal="center" vertical="center"/>
    </xf>
    <xf numFmtId="2" fontId="75" fillId="49" borderId="2" xfId="2" applyNumberFormat="1" applyFont="1" applyFill="1" applyBorder="1" applyAlignment="1">
      <alignment horizontal="center" vertical="center"/>
    </xf>
    <xf numFmtId="1" fontId="75" fillId="53" borderId="2" xfId="0" applyNumberFormat="1" applyFont="1" applyFill="1" applyBorder="1" applyAlignment="1">
      <alignment horizontal="center" vertical="center"/>
    </xf>
    <xf numFmtId="2" fontId="30" fillId="38" borderId="2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" fontId="75" fillId="58" borderId="2" xfId="0" applyNumberFormat="1" applyFont="1" applyFill="1" applyBorder="1" applyAlignment="1">
      <alignment horizontal="center" vertical="center"/>
    </xf>
    <xf numFmtId="2" fontId="75" fillId="58" borderId="2" xfId="0" applyNumberFormat="1" applyFont="1" applyFill="1" applyBorder="1" applyAlignment="1">
      <alignment horizontal="center" vertical="center"/>
    </xf>
    <xf numFmtId="0" fontId="14" fillId="58" borderId="2" xfId="0" applyFont="1" applyFill="1" applyBorder="1" applyAlignment="1">
      <alignment horizontal="center" vertical="center" wrapText="1"/>
    </xf>
    <xf numFmtId="10" fontId="0" fillId="0" borderId="0" xfId="2" applyNumberFormat="1" applyFont="1" applyAlignment="1">
      <alignment horizontal="center"/>
    </xf>
    <xf numFmtId="2" fontId="4" fillId="14" borderId="2" xfId="0" applyNumberFormat="1" applyFont="1" applyFill="1" applyBorder="1" applyAlignment="1">
      <alignment horizontal="center" vertical="center" wrapText="1"/>
    </xf>
    <xf numFmtId="10" fontId="24" fillId="59" borderId="2" xfId="2" applyNumberFormat="1" applyFont="1" applyFill="1" applyBorder="1" applyAlignment="1">
      <alignment horizontal="center" vertical="center" wrapText="1"/>
    </xf>
    <xf numFmtId="0" fontId="75" fillId="49" borderId="2" xfId="0" applyFont="1" applyFill="1" applyBorder="1" applyAlignment="1">
      <alignment horizontal="center" vertical="center"/>
    </xf>
    <xf numFmtId="164" fontId="75" fillId="49" borderId="2" xfId="0" applyNumberFormat="1" applyFont="1" applyFill="1" applyBorder="1" applyAlignment="1">
      <alignment horizontal="center" vertical="center"/>
    </xf>
    <xf numFmtId="1" fontId="77" fillId="25" borderId="2" xfId="0" applyNumberFormat="1" applyFont="1" applyFill="1" applyBorder="1" applyAlignment="1">
      <alignment horizontal="center" vertical="center"/>
    </xf>
    <xf numFmtId="2" fontId="77" fillId="25" borderId="2" xfId="0" applyNumberFormat="1" applyFont="1" applyFill="1" applyBorder="1" applyAlignment="1">
      <alignment horizontal="center" vertical="center"/>
    </xf>
    <xf numFmtId="0" fontId="49" fillId="37" borderId="2" xfId="0" applyFont="1" applyFill="1" applyBorder="1" applyAlignment="1">
      <alignment horizontal="center" vertical="center" wrapText="1"/>
    </xf>
    <xf numFmtId="0" fontId="19" fillId="12" borderId="2" xfId="0" applyFont="1" applyFill="1" applyBorder="1" applyAlignment="1">
      <alignment horizontal="center" vertical="center" wrapText="1"/>
    </xf>
    <xf numFmtId="0" fontId="19" fillId="12" borderId="2" xfId="0" applyFont="1" applyFill="1" applyBorder="1" applyAlignment="1">
      <alignment horizontal="center" vertical="center"/>
    </xf>
    <xf numFmtId="0" fontId="4" fillId="60" borderId="2" xfId="0" applyFont="1" applyFill="1" applyBorder="1" applyAlignment="1">
      <alignment horizontal="center" vertical="center" wrapText="1"/>
    </xf>
    <xf numFmtId="165" fontId="76" fillId="49" borderId="3" xfId="2" applyNumberFormat="1" applyFont="1" applyFill="1" applyBorder="1" applyAlignment="1">
      <alignment horizontal="center" vertical="center" wrapText="1"/>
    </xf>
    <xf numFmtId="9" fontId="76" fillId="49" borderId="3" xfId="2" applyFont="1" applyFill="1" applyBorder="1" applyAlignment="1">
      <alignment horizontal="center" vertical="center" wrapText="1"/>
    </xf>
    <xf numFmtId="1" fontId="76" fillId="53" borderId="3" xfId="0" applyNumberFormat="1" applyFont="1" applyFill="1" applyBorder="1" applyAlignment="1">
      <alignment horizontal="center" vertical="center" wrapText="1"/>
    </xf>
    <xf numFmtId="0" fontId="4" fillId="53" borderId="2" xfId="0" applyFont="1" applyFill="1" applyBorder="1" applyAlignment="1">
      <alignment horizontal="center" vertical="center" wrapText="1"/>
    </xf>
    <xf numFmtId="43" fontId="9" fillId="17" borderId="2" xfId="1" applyFont="1" applyFill="1" applyBorder="1" applyAlignment="1">
      <alignment horizontal="center" vertical="center" wrapText="1"/>
    </xf>
    <xf numFmtId="165" fontId="79" fillId="49" borderId="9" xfId="2" applyNumberFormat="1" applyFont="1" applyFill="1" applyBorder="1" applyAlignment="1">
      <alignment horizontal="center" vertical="center" wrapText="1"/>
    </xf>
    <xf numFmtId="43" fontId="80" fillId="0" borderId="0" xfId="1" applyFont="1"/>
    <xf numFmtId="0" fontId="83" fillId="16" borderId="2" xfId="0" applyFont="1" applyFill="1" applyBorder="1" applyAlignment="1">
      <alignment horizontal="center" vertical="center" wrapText="1"/>
    </xf>
    <xf numFmtId="0" fontId="81" fillId="49" borderId="2" xfId="0" applyFont="1" applyFill="1" applyBorder="1" applyAlignment="1">
      <alignment horizontal="center" vertical="center"/>
    </xf>
    <xf numFmtId="1" fontId="81" fillId="49" borderId="2" xfId="0" applyNumberFormat="1" applyFont="1" applyFill="1" applyBorder="1" applyAlignment="1">
      <alignment horizontal="center" vertical="center"/>
    </xf>
    <xf numFmtId="43" fontId="82" fillId="3" borderId="2" xfId="1" applyFont="1" applyFill="1" applyBorder="1" applyAlignment="1">
      <alignment horizontal="center" vertical="center" wrapText="1"/>
    </xf>
    <xf numFmtId="43" fontId="82" fillId="3" borderId="4" xfId="1" applyFont="1" applyFill="1" applyBorder="1" applyAlignment="1">
      <alignment horizontal="center" vertical="center" wrapText="1"/>
    </xf>
    <xf numFmtId="2" fontId="19" fillId="51" borderId="2" xfId="0" applyNumberFormat="1" applyFont="1" applyFill="1" applyBorder="1" applyAlignment="1">
      <alignment horizontal="center" vertical="center"/>
    </xf>
    <xf numFmtId="2" fontId="79" fillId="51" borderId="3" xfId="2" applyNumberFormat="1" applyFont="1" applyFill="1" applyBorder="1" applyAlignment="1">
      <alignment horizontal="center" vertical="center" wrapText="1"/>
    </xf>
    <xf numFmtId="0" fontId="69" fillId="15" borderId="2" xfId="0" applyFont="1" applyFill="1" applyBorder="1" applyAlignment="1">
      <alignment horizontal="center" vertical="center" wrapText="1"/>
    </xf>
    <xf numFmtId="3" fontId="76" fillId="53" borderId="3" xfId="0" applyNumberFormat="1" applyFont="1" applyFill="1" applyBorder="1" applyAlignment="1">
      <alignment horizontal="center" vertical="center" wrapText="1"/>
    </xf>
    <xf numFmtId="4" fontId="76" fillId="53" borderId="3" xfId="0" applyNumberFormat="1" applyFont="1" applyFill="1" applyBorder="1" applyAlignment="1">
      <alignment horizontal="center" vertical="center" wrapText="1"/>
    </xf>
    <xf numFmtId="0" fontId="63" fillId="49" borderId="4" xfId="0" applyFont="1" applyFill="1" applyBorder="1" applyAlignment="1">
      <alignment horizontal="center" vertical="center" wrapText="1"/>
    </xf>
    <xf numFmtId="0" fontId="63" fillId="49" borderId="5" xfId="0" applyFont="1" applyFill="1" applyBorder="1" applyAlignment="1">
      <alignment horizontal="center" vertical="center" wrapText="1"/>
    </xf>
    <xf numFmtId="2" fontId="81" fillId="49" borderId="2" xfId="0" applyNumberFormat="1" applyFont="1" applyFill="1" applyBorder="1" applyAlignment="1">
      <alignment horizontal="center" vertical="center"/>
    </xf>
    <xf numFmtId="0" fontId="84" fillId="5" borderId="2" xfId="0" applyFont="1" applyFill="1" applyBorder="1" applyAlignment="1">
      <alignment horizontal="center" vertical="center" wrapText="1"/>
    </xf>
  </cellXfs>
  <cellStyles count="3">
    <cellStyle name="Normal" xfId="0" builtinId="0"/>
    <cellStyle name="Porcentagem" xfId="2" builtinId="5"/>
    <cellStyle name="Vírgula" xfId="1" builtinId="3"/>
  </cellStyles>
  <dxfs count="9">
    <dxf>
      <font>
        <b/>
        <i val="0"/>
        <color theme="0" tint="0.79998168889431442"/>
      </font>
      <fill>
        <patternFill>
          <bgColor rgb="FFC00000"/>
        </patternFill>
      </fill>
    </dxf>
    <dxf>
      <font>
        <b/>
        <i val="0"/>
        <color theme="0" tint="0.79998168889431442"/>
      </font>
      <fill>
        <patternFill patternType="darkGray">
          <fgColor theme="8" tint="-0.24994659260841701"/>
          <bgColor rgb="FF002060"/>
        </patternFill>
      </fill>
    </dxf>
    <dxf>
      <font>
        <b/>
        <i val="0"/>
        <color theme="0" tint="0.79998168889431442"/>
      </font>
      <fill>
        <patternFill patternType="darkGray">
          <fgColor rgb="FF305496"/>
          <bgColor rgb="FF002060"/>
        </patternFill>
      </fill>
    </dxf>
    <dxf>
      <font>
        <b val="0"/>
        <i val="0"/>
        <color theme="0" tint="0.79998168889431442"/>
      </font>
      <fill>
        <patternFill patternType="darkGray">
          <fgColor theme="3" tint="-0.24994659260841701"/>
          <bgColor theme="1" tint="4.9989318521683403E-2"/>
        </patternFill>
      </fill>
    </dxf>
    <dxf>
      <font>
        <b/>
        <i val="0"/>
        <color theme="0" tint="0.79998168889431442"/>
      </font>
      <fill>
        <patternFill patternType="darkGray">
          <fgColor theme="8" tint="-0.24994659260841701"/>
          <bgColor rgb="FF002060"/>
        </patternFill>
      </fill>
    </dxf>
    <dxf>
      <font>
        <b/>
        <i val="0"/>
        <color theme="0" tint="0.79995117038483843"/>
      </font>
      <fill>
        <patternFill patternType="darkGray">
          <fgColor rgb="FF305496"/>
          <bgColor rgb="FF002060"/>
        </patternFill>
      </fill>
    </dxf>
    <dxf>
      <font>
        <b val="0"/>
        <i val="0"/>
        <color theme="0" tint="0.79998168889431442"/>
      </font>
      <fill>
        <patternFill patternType="darkGray">
          <fgColor theme="3" tint="-0.499984740745262"/>
          <bgColor rgb="FF161616"/>
        </patternFill>
      </fill>
    </dxf>
    <dxf>
      <font>
        <b val="0"/>
        <i val="0"/>
        <color theme="0" tint="0.79998168889431442"/>
      </font>
      <fill>
        <patternFill patternType="darkGray">
          <fgColor theme="3" tint="-0.499984740745262"/>
          <bgColor rgb="FF000000"/>
        </patternFill>
      </fill>
    </dxf>
    <dxf>
      <font>
        <b val="0"/>
        <i val="0"/>
        <color theme="0" tint="0.79998168889431442"/>
      </font>
      <fill>
        <patternFill patternType="darkGray">
          <fgColor theme="3" tint="-0.499984740745262"/>
          <bgColor rgb="FF161616"/>
        </patternFill>
      </fill>
    </dxf>
  </dxfs>
  <tableStyles count="0" defaultTableStyle="TableStyleMedium2" defaultPivotStyle="PivotStyleLight16"/>
  <colors>
    <mruColors>
      <color rgb="FF9A0000"/>
      <color rgb="FF348850"/>
      <color rgb="FF480000"/>
      <color rgb="FFAD1457"/>
      <color rgb="FFA40000"/>
      <color rgb="FF305484"/>
      <color rgb="FF007A37"/>
      <color rgb="FFFAA0A2"/>
      <color rgb="FFE66914"/>
      <color rgb="FF2F52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126</xdr:col>
      <xdr:colOff>105833</xdr:colOff>
      <xdr:row>0</xdr:row>
      <xdr:rowOff>21166</xdr:rowOff>
    </xdr:from>
    <xdr:to>
      <xdr:col>127</xdr:col>
      <xdr:colOff>582084</xdr:colOff>
      <xdr:row>0</xdr:row>
      <xdr:rowOff>592666</xdr:rowOff>
    </xdr:to>
    <xdr:sp macro="[0]!Goleiros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2531433" y="21166"/>
          <a:ext cx="1085851" cy="1714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AJUSTES</a:t>
          </a:r>
        </a:p>
      </xdr:txBody>
    </xdr:sp>
    <xdr:clientData/>
  </xdr:twoCellAnchor>
  <xdr:twoCellAnchor>
    <xdr:from>
      <xdr:col>0</xdr:col>
      <xdr:colOff>42334</xdr:colOff>
      <xdr:row>0</xdr:row>
      <xdr:rowOff>95250</xdr:rowOff>
    </xdr:from>
    <xdr:to>
      <xdr:col>0</xdr:col>
      <xdr:colOff>560918</xdr:colOff>
      <xdr:row>0</xdr:row>
      <xdr:rowOff>518584</xdr:rowOff>
    </xdr:to>
    <xdr:sp macro="[0]!Ajuste_Linhas" textlink="">
      <xdr:nvSpPr>
        <xdr:cNvPr id="3" name="Elips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2334" y="95250"/>
          <a:ext cx="518584" cy="9948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4" name="Elips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42334</xdr:colOff>
      <xdr:row>0</xdr:row>
      <xdr:rowOff>95250</xdr:rowOff>
    </xdr:from>
    <xdr:to>
      <xdr:col>0</xdr:col>
      <xdr:colOff>560918</xdr:colOff>
      <xdr:row>0</xdr:row>
      <xdr:rowOff>518584</xdr:rowOff>
    </xdr:to>
    <xdr:sp macro="[0]!Ajuste_Linhas" textlink="">
      <xdr:nvSpPr>
        <xdr:cNvPr id="5" name="Elips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2334" y="95250"/>
          <a:ext cx="518584" cy="9948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6" name="Elips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42334</xdr:colOff>
      <xdr:row>0</xdr:row>
      <xdr:rowOff>95250</xdr:rowOff>
    </xdr:from>
    <xdr:to>
      <xdr:col>0</xdr:col>
      <xdr:colOff>560918</xdr:colOff>
      <xdr:row>0</xdr:row>
      <xdr:rowOff>518584</xdr:rowOff>
    </xdr:to>
    <xdr:sp macro="[0]!Ajuste_Linhas" textlink="">
      <xdr:nvSpPr>
        <xdr:cNvPr id="7" name="Elips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2334" y="95250"/>
          <a:ext cx="518584" cy="9948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42334</xdr:colOff>
      <xdr:row>0</xdr:row>
      <xdr:rowOff>95250</xdr:rowOff>
    </xdr:from>
    <xdr:to>
      <xdr:col>0</xdr:col>
      <xdr:colOff>560918</xdr:colOff>
      <xdr:row>0</xdr:row>
      <xdr:rowOff>518584</xdr:rowOff>
    </xdr:to>
    <xdr:sp macro="[0]!Ajuste_Linhas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2334" y="95250"/>
          <a:ext cx="518584" cy="9948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42334</xdr:colOff>
      <xdr:row>0</xdr:row>
      <xdr:rowOff>95250</xdr:rowOff>
    </xdr:from>
    <xdr:to>
      <xdr:col>0</xdr:col>
      <xdr:colOff>560918</xdr:colOff>
      <xdr:row>0</xdr:row>
      <xdr:rowOff>518584</xdr:rowOff>
    </xdr:to>
    <xdr:sp macro="[0]!Ajuste_Linhas" textlink="">
      <xdr:nvSpPr>
        <xdr:cNvPr id="11" name="Elips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2334" y="95250"/>
          <a:ext cx="518584" cy="9948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12" name="Elips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42334</xdr:colOff>
      <xdr:row>0</xdr:row>
      <xdr:rowOff>95250</xdr:rowOff>
    </xdr:from>
    <xdr:to>
      <xdr:col>0</xdr:col>
      <xdr:colOff>560918</xdr:colOff>
      <xdr:row>0</xdr:row>
      <xdr:rowOff>518584</xdr:rowOff>
    </xdr:to>
    <xdr:sp macro="[0]!Ajuste_Linhas" textlink="">
      <xdr:nvSpPr>
        <xdr:cNvPr id="13" name="Elips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2334" y="95250"/>
          <a:ext cx="518584" cy="9948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14" name="Elips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42334</xdr:colOff>
      <xdr:row>0</xdr:row>
      <xdr:rowOff>95250</xdr:rowOff>
    </xdr:from>
    <xdr:to>
      <xdr:col>0</xdr:col>
      <xdr:colOff>560918</xdr:colOff>
      <xdr:row>0</xdr:row>
      <xdr:rowOff>518584</xdr:rowOff>
    </xdr:to>
    <xdr:sp macro="[0]!Ajuste_Linhas" textlink="">
      <xdr:nvSpPr>
        <xdr:cNvPr id="15" name="Elips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2334" y="95250"/>
          <a:ext cx="518584" cy="9948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16" name="Elips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42334</xdr:colOff>
      <xdr:row>0</xdr:row>
      <xdr:rowOff>95250</xdr:rowOff>
    </xdr:from>
    <xdr:to>
      <xdr:col>0</xdr:col>
      <xdr:colOff>560918</xdr:colOff>
      <xdr:row>0</xdr:row>
      <xdr:rowOff>518584</xdr:rowOff>
    </xdr:to>
    <xdr:sp macro="[0]!Ajuste_Linhas" textlink="">
      <xdr:nvSpPr>
        <xdr:cNvPr id="17" name="Elips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42334" y="95250"/>
          <a:ext cx="518584" cy="9948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18" name="Elips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186</xdr:col>
      <xdr:colOff>116417</xdr:colOff>
      <xdr:row>0</xdr:row>
      <xdr:rowOff>31750</xdr:rowOff>
    </xdr:from>
    <xdr:to>
      <xdr:col>187</xdr:col>
      <xdr:colOff>592668</xdr:colOff>
      <xdr:row>0</xdr:row>
      <xdr:rowOff>603250</xdr:rowOff>
    </xdr:to>
    <xdr:sp macro="[0]!Zagueiros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6843750" y="31750"/>
          <a:ext cx="1090085" cy="5715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AJUSTES</a:t>
          </a:r>
        </a:p>
      </xdr:txBody>
    </xdr:sp>
    <xdr:clientData/>
  </xdr:twoCellAnchor>
  <xdr:twoCellAnchor>
    <xdr:from>
      <xdr:col>0</xdr:col>
      <xdr:colOff>42333</xdr:colOff>
      <xdr:row>0</xdr:row>
      <xdr:rowOff>105833</xdr:rowOff>
    </xdr:from>
    <xdr:to>
      <xdr:col>0</xdr:col>
      <xdr:colOff>560917</xdr:colOff>
      <xdr:row>0</xdr:row>
      <xdr:rowOff>529167</xdr:rowOff>
    </xdr:to>
    <xdr:sp macro="[0]!Ajuste_Linhas" textlink="">
      <xdr:nvSpPr>
        <xdr:cNvPr id="4" name="Elips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2333" y="105833"/>
          <a:ext cx="518584" cy="804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5" name="Elips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160</xdr:col>
      <xdr:colOff>96877</xdr:colOff>
      <xdr:row>0</xdr:row>
      <xdr:rowOff>0</xdr:rowOff>
    </xdr:from>
    <xdr:to>
      <xdr:col>161</xdr:col>
      <xdr:colOff>486834</xdr:colOff>
      <xdr:row>1</xdr:row>
      <xdr:rowOff>0</xdr:rowOff>
    </xdr:to>
    <xdr:sp macro="[0]!Laterais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42093460" y="0"/>
          <a:ext cx="1437707" cy="624417"/>
        </a:xfrm>
        <a:prstGeom prst="ellipse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accent4">
                  <a:lumMod val="60000"/>
                  <a:lumOff val="40000"/>
                </a:schemeClr>
              </a:solidFill>
            </a:rPr>
            <a:t>AJUSTES</a:t>
          </a:r>
          <a:endParaRPr lang="pt-BR" sz="1800" b="1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42333</xdr:colOff>
      <xdr:row>0</xdr:row>
      <xdr:rowOff>74084</xdr:rowOff>
    </xdr:from>
    <xdr:to>
      <xdr:col>0</xdr:col>
      <xdr:colOff>560917</xdr:colOff>
      <xdr:row>0</xdr:row>
      <xdr:rowOff>497418</xdr:rowOff>
    </xdr:to>
    <xdr:sp macro="[0]!Ajuste_Linhas" textlink="">
      <xdr:nvSpPr>
        <xdr:cNvPr id="5" name="Elips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2333" y="74084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6" name="Elips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42333" y="84666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151</xdr:col>
      <xdr:colOff>52917</xdr:colOff>
      <xdr:row>0</xdr:row>
      <xdr:rowOff>21166</xdr:rowOff>
    </xdr:from>
    <xdr:to>
      <xdr:col>152</xdr:col>
      <xdr:colOff>529169</xdr:colOff>
      <xdr:row>0</xdr:row>
      <xdr:rowOff>592666</xdr:rowOff>
    </xdr:to>
    <xdr:sp macro="[0]!Volantes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04616250" y="21166"/>
          <a:ext cx="1090086" cy="5715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AJUSTES</a:t>
          </a:r>
        </a:p>
      </xdr:txBody>
    </xdr:sp>
    <xdr:clientData/>
  </xdr:twoCellAnchor>
  <xdr:twoCellAnchor>
    <xdr:from>
      <xdr:col>0</xdr:col>
      <xdr:colOff>42333</xdr:colOff>
      <xdr:row>0</xdr:row>
      <xdr:rowOff>105833</xdr:rowOff>
    </xdr:from>
    <xdr:to>
      <xdr:col>0</xdr:col>
      <xdr:colOff>560917</xdr:colOff>
      <xdr:row>0</xdr:row>
      <xdr:rowOff>529167</xdr:rowOff>
    </xdr:to>
    <xdr:sp macro="[0]!Ajuste_Linhas" textlink="">
      <xdr:nvSpPr>
        <xdr:cNvPr id="4" name="Elips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2333" y="105833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5" name="Elips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2333" y="84666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159</xdr:col>
      <xdr:colOff>116415</xdr:colOff>
      <xdr:row>0</xdr:row>
      <xdr:rowOff>21167</xdr:rowOff>
    </xdr:from>
    <xdr:to>
      <xdr:col>160</xdr:col>
      <xdr:colOff>592667</xdr:colOff>
      <xdr:row>0</xdr:row>
      <xdr:rowOff>592667</xdr:rowOff>
    </xdr:to>
    <xdr:sp macro="[0]!BoxBox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1422582" y="21167"/>
          <a:ext cx="1090085" cy="5715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AJUSTES</a:t>
          </a:r>
        </a:p>
      </xdr:txBody>
    </xdr:sp>
    <xdr:clientData/>
  </xdr:twoCellAnchor>
  <xdr:twoCellAnchor>
    <xdr:from>
      <xdr:col>0</xdr:col>
      <xdr:colOff>52917</xdr:colOff>
      <xdr:row>0</xdr:row>
      <xdr:rowOff>95250</xdr:rowOff>
    </xdr:from>
    <xdr:to>
      <xdr:col>0</xdr:col>
      <xdr:colOff>571501</xdr:colOff>
      <xdr:row>0</xdr:row>
      <xdr:rowOff>518584</xdr:rowOff>
    </xdr:to>
    <xdr:sp macro="[0]!Ajuste_Linhas" textlink="">
      <xdr:nvSpPr>
        <xdr:cNvPr id="5" name="Elips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2917" y="95250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6" name="Elips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42333" y="84666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151</xdr:col>
      <xdr:colOff>95251</xdr:colOff>
      <xdr:row>0</xdr:row>
      <xdr:rowOff>21166</xdr:rowOff>
    </xdr:from>
    <xdr:to>
      <xdr:col>152</xdr:col>
      <xdr:colOff>571502</xdr:colOff>
      <xdr:row>0</xdr:row>
      <xdr:rowOff>592666</xdr:rowOff>
    </xdr:to>
    <xdr:sp macro="[0]!Armador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15411251" y="21166"/>
          <a:ext cx="1090084" cy="5715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AJUSTES</a:t>
          </a:r>
        </a:p>
      </xdr:txBody>
    </xdr:sp>
    <xdr:clientData/>
  </xdr:twoCellAnchor>
  <xdr:twoCellAnchor>
    <xdr:from>
      <xdr:col>0</xdr:col>
      <xdr:colOff>42334</xdr:colOff>
      <xdr:row>0</xdr:row>
      <xdr:rowOff>105834</xdr:rowOff>
    </xdr:from>
    <xdr:to>
      <xdr:col>0</xdr:col>
      <xdr:colOff>560918</xdr:colOff>
      <xdr:row>0</xdr:row>
      <xdr:rowOff>529168</xdr:rowOff>
    </xdr:to>
    <xdr:sp macro="[0]!Ajuste_Linhas" textlink="">
      <xdr:nvSpPr>
        <xdr:cNvPr id="4" name="Elips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2334" y="105834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6" name="Elips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42333" y="84666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190</xdr:col>
      <xdr:colOff>116417</xdr:colOff>
      <xdr:row>0</xdr:row>
      <xdr:rowOff>31750</xdr:rowOff>
    </xdr:from>
    <xdr:to>
      <xdr:col>191</xdr:col>
      <xdr:colOff>592667</xdr:colOff>
      <xdr:row>0</xdr:row>
      <xdr:rowOff>603250</xdr:rowOff>
    </xdr:to>
    <xdr:sp macro="[0]!Avançados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27910167" y="31750"/>
          <a:ext cx="1090083" cy="5715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AJUSTES</a:t>
          </a:r>
        </a:p>
      </xdr:txBody>
    </xdr:sp>
    <xdr:clientData/>
  </xdr:twoCellAnchor>
  <xdr:twoCellAnchor>
    <xdr:from>
      <xdr:col>0</xdr:col>
      <xdr:colOff>52916</xdr:colOff>
      <xdr:row>0</xdr:row>
      <xdr:rowOff>95250</xdr:rowOff>
    </xdr:from>
    <xdr:to>
      <xdr:col>0</xdr:col>
      <xdr:colOff>571500</xdr:colOff>
      <xdr:row>0</xdr:row>
      <xdr:rowOff>518584</xdr:rowOff>
    </xdr:to>
    <xdr:sp macro="[0]!Ajuste_Linhas" textlink="">
      <xdr:nvSpPr>
        <xdr:cNvPr id="4" name="Elips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2916" y="95250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5" name="Elips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2333" y="84666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179295</xdr:colOff>
      <xdr:row>15</xdr:row>
      <xdr:rowOff>42334</xdr:rowOff>
    </xdr:from>
    <xdr:to>
      <xdr:col>5</xdr:col>
      <xdr:colOff>750795</xdr:colOff>
      <xdr:row>17</xdr:row>
      <xdr:rowOff>101475</xdr:rowOff>
    </xdr:to>
    <xdr:sp macro="[0]!Ajustes_TEstatisticas" textlink="">
      <xdr:nvSpPr>
        <xdr:cNvPr id="2" name="Retângulo 1">
          <a:extLst>
            <a:ext uri="{FF2B5EF4-FFF2-40B4-BE49-F238E27FC236}">
              <a16:creationId xmlns:a16="http://schemas.microsoft.com/office/drawing/2014/main" id="{942080D7-8FAC-4EAA-98A7-9E711560BCD1}"/>
            </a:ext>
          </a:extLst>
        </xdr:cNvPr>
        <xdr:cNvSpPr/>
      </xdr:nvSpPr>
      <xdr:spPr>
        <a:xfrm>
          <a:off x="4624295" y="5799667"/>
          <a:ext cx="1481667" cy="778808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FFF00"/>
              </a:solidFill>
            </a:rPr>
            <a:t>AJUSTES</a:t>
          </a:r>
          <a:endParaRPr lang="pt-BR" sz="1100" b="1">
            <a:solidFill>
              <a:srgbClr val="FFFF00"/>
            </a:solidFill>
          </a:endParaRPr>
        </a:p>
      </xdr:txBody>
    </xdr:sp>
    <xdr:clientData/>
  </xdr:twoCellAnchor>
  <xdr:twoCellAnchor>
    <xdr:from>
      <xdr:col>4</xdr:col>
      <xdr:colOff>444500</xdr:colOff>
      <xdr:row>17</xdr:row>
      <xdr:rowOff>201083</xdr:rowOff>
    </xdr:from>
    <xdr:to>
      <xdr:col>5</xdr:col>
      <xdr:colOff>645583</xdr:colOff>
      <xdr:row>18</xdr:row>
      <xdr:rowOff>264583</xdr:rowOff>
    </xdr:to>
    <xdr:sp macro="[0]!Limpa_TEstatisticas" textlink="">
      <xdr:nvSpPr>
        <xdr:cNvPr id="3" name="Retângulo com Único Canto Aparado 2">
          <a:extLst>
            <a:ext uri="{FF2B5EF4-FFF2-40B4-BE49-F238E27FC236}">
              <a16:creationId xmlns:a16="http://schemas.microsoft.com/office/drawing/2014/main" id="{B9180CA0-4595-4B38-8D63-4572B83AA66D}"/>
            </a:ext>
          </a:extLst>
        </xdr:cNvPr>
        <xdr:cNvSpPr/>
      </xdr:nvSpPr>
      <xdr:spPr>
        <a:xfrm>
          <a:off x="2882900" y="3430058"/>
          <a:ext cx="772583" cy="187325"/>
        </a:xfrm>
        <a:prstGeom prst="snip1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solidFill>
                <a:schemeClr val="bg1">
                  <a:lumMod val="20000"/>
                  <a:lumOff val="80000"/>
                </a:schemeClr>
              </a:solidFill>
            </a:rPr>
            <a:t>L</a:t>
          </a:r>
          <a:r>
            <a:rPr lang="pt-BR" sz="1400" b="1" baseline="0">
              <a:solidFill>
                <a:schemeClr val="bg1">
                  <a:lumMod val="20000"/>
                  <a:lumOff val="80000"/>
                </a:schemeClr>
              </a:solidFill>
            </a:rPr>
            <a:t> I M P A R</a:t>
          </a:r>
          <a:endParaRPr lang="pt-BR" sz="1400" b="1">
            <a:solidFill>
              <a:schemeClr val="bg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arLinhas25" textlink="">
      <xdr:nvSpPr>
        <xdr:cNvPr id="2" name="Elipse 1">
          <a:extLst>
            <a:ext uri="{FF2B5EF4-FFF2-40B4-BE49-F238E27FC236}">
              <a16:creationId xmlns:a16="http://schemas.microsoft.com/office/drawing/2014/main" id="{E659478E-1D0D-4D54-B960-6360A813F0E1}"/>
            </a:ext>
          </a:extLst>
        </xdr:cNvPr>
        <xdr:cNvSpPr/>
      </xdr:nvSpPr>
      <xdr:spPr>
        <a:xfrm>
          <a:off x="42333" y="84666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42334</xdr:colOff>
      <xdr:row>0</xdr:row>
      <xdr:rowOff>105834</xdr:rowOff>
    </xdr:from>
    <xdr:to>
      <xdr:col>1</xdr:col>
      <xdr:colOff>560918</xdr:colOff>
      <xdr:row>0</xdr:row>
      <xdr:rowOff>529168</xdr:rowOff>
    </xdr:to>
    <xdr:sp macro="[0]!Ajuste_Linhas" textlink="">
      <xdr:nvSpPr>
        <xdr:cNvPr id="3" name="Elipse 2">
          <a:extLst>
            <a:ext uri="{FF2B5EF4-FFF2-40B4-BE49-F238E27FC236}">
              <a16:creationId xmlns:a16="http://schemas.microsoft.com/office/drawing/2014/main" id="{BBE0473D-BEE4-4EDB-8EA6-1DCF95CA9D0E}"/>
            </a:ext>
          </a:extLst>
        </xdr:cNvPr>
        <xdr:cNvSpPr/>
      </xdr:nvSpPr>
      <xdr:spPr>
        <a:xfrm>
          <a:off x="42334" y="105834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42333</xdr:colOff>
      <xdr:row>0</xdr:row>
      <xdr:rowOff>84666</xdr:rowOff>
    </xdr:from>
    <xdr:to>
      <xdr:col>1</xdr:col>
      <xdr:colOff>560917</xdr:colOff>
      <xdr:row>0</xdr:row>
      <xdr:rowOff>508000</xdr:rowOff>
    </xdr:to>
    <xdr:sp macro="[0]!Ajuste_Linhas" textlink="">
      <xdr:nvSpPr>
        <xdr:cNvPr id="4" name="Elipse 3">
          <a:extLst>
            <a:ext uri="{FF2B5EF4-FFF2-40B4-BE49-F238E27FC236}">
              <a16:creationId xmlns:a16="http://schemas.microsoft.com/office/drawing/2014/main" id="{45975BF9-0E99-4247-B334-1DCED4699AD7}"/>
            </a:ext>
          </a:extLst>
        </xdr:cNvPr>
        <xdr:cNvSpPr/>
      </xdr:nvSpPr>
      <xdr:spPr>
        <a:xfrm>
          <a:off x="42333" y="84666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190</xdr:col>
      <xdr:colOff>95250</xdr:colOff>
      <xdr:row>0</xdr:row>
      <xdr:rowOff>10583</xdr:rowOff>
    </xdr:from>
    <xdr:to>
      <xdr:col>191</xdr:col>
      <xdr:colOff>571499</xdr:colOff>
      <xdr:row>0</xdr:row>
      <xdr:rowOff>582083</xdr:rowOff>
    </xdr:to>
    <xdr:sp macro="[0]!Overall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23930833" y="10583"/>
          <a:ext cx="1090083" cy="5715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AJUSTES</a:t>
          </a:r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5" name="Elips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2333" y="84666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tabColor theme="5" tint="-0.249977111117893"/>
  </sheetPr>
  <dimension ref="A1:DV1001"/>
  <sheetViews>
    <sheetView tabSelected="1" zoomScale="90" zoomScaleNormal="90" workbookViewId="0">
      <pane xSplit="2" ySplit="1" topLeftCell="C2" activePane="bottomRight" state="frozen"/>
      <selection activeCell="G1" sqref="G1:G1048576"/>
      <selection pane="topRight" activeCell="G1" sqref="G1:G1048576"/>
      <selection pane="bottomLeft" activeCell="G1" sqref="G1:G1048576"/>
      <selection pane="bottomRight"/>
    </sheetView>
  </sheetViews>
  <sheetFormatPr defaultRowHeight="15" x14ac:dyDescent="0.25"/>
  <cols>
    <col min="2" max="2" width="30.7109375" style="54" customWidth="1"/>
    <col min="3" max="3" width="12.5703125" customWidth="1"/>
    <col min="4" max="4" width="21.7109375" customWidth="1"/>
    <col min="5" max="5" width="25.5703125" bestFit="1" customWidth="1"/>
    <col min="6" max="6" width="13.28515625" customWidth="1"/>
    <col min="7" max="9" width="15.7109375" customWidth="1"/>
    <col min="10" max="10" width="15.7109375" style="13" customWidth="1"/>
    <col min="11" max="12" width="15.7109375" customWidth="1"/>
    <col min="13" max="71" width="18.7109375" customWidth="1"/>
    <col min="72" max="72" width="18.7109375" style="13" customWidth="1"/>
    <col min="73" max="89" width="18.7109375" customWidth="1"/>
    <col min="90" max="90" width="9.7109375" style="1" customWidth="1"/>
    <col min="91" max="95" width="12.7109375" customWidth="1"/>
    <col min="96" max="96" width="12.7109375" style="1" customWidth="1"/>
    <col min="97" max="97" width="12.7109375" style="152" customWidth="1"/>
    <col min="98" max="126" width="12.7109375" style="1" customWidth="1"/>
  </cols>
  <sheetData>
    <row r="1" spans="1:126" ht="49.5" customHeight="1" thickBot="1" x14ac:dyDescent="0.3">
      <c r="A1" s="112" t="s">
        <v>307</v>
      </c>
      <c r="B1" s="4" t="s">
        <v>20</v>
      </c>
      <c r="C1" s="4" t="s">
        <v>214</v>
      </c>
      <c r="D1" s="94" t="s">
        <v>232</v>
      </c>
      <c r="E1" s="4" t="s">
        <v>28</v>
      </c>
      <c r="F1" s="8" t="s">
        <v>1</v>
      </c>
      <c r="G1" s="8" t="s">
        <v>96</v>
      </c>
      <c r="H1" s="8" t="s">
        <v>29</v>
      </c>
      <c r="I1" s="8" t="s">
        <v>90</v>
      </c>
      <c r="J1" s="85" t="s">
        <v>3</v>
      </c>
      <c r="K1" s="4" t="s">
        <v>231</v>
      </c>
      <c r="L1" s="8" t="s">
        <v>121</v>
      </c>
      <c r="M1" s="98" t="s">
        <v>38</v>
      </c>
      <c r="N1" s="98" t="s">
        <v>417</v>
      </c>
      <c r="O1" s="98" t="s">
        <v>416</v>
      </c>
      <c r="P1" s="140" t="s">
        <v>82</v>
      </c>
      <c r="Q1" s="140" t="s">
        <v>53</v>
      </c>
      <c r="R1" s="140" t="s">
        <v>325</v>
      </c>
      <c r="S1" s="140" t="s">
        <v>27</v>
      </c>
      <c r="T1" s="140" t="s">
        <v>85</v>
      </c>
      <c r="U1" s="140" t="s">
        <v>83</v>
      </c>
      <c r="V1" s="140" t="s">
        <v>77</v>
      </c>
      <c r="W1" s="140" t="s">
        <v>538</v>
      </c>
      <c r="X1" s="140" t="s">
        <v>539</v>
      </c>
      <c r="Y1" s="140" t="s">
        <v>534</v>
      </c>
      <c r="Z1" s="140" t="s">
        <v>535</v>
      </c>
      <c r="AA1" s="140" t="s">
        <v>536</v>
      </c>
      <c r="AB1" s="140" t="s">
        <v>433</v>
      </c>
      <c r="AC1" s="140" t="s">
        <v>537</v>
      </c>
      <c r="AD1" s="157" t="s">
        <v>363</v>
      </c>
      <c r="AE1" s="157" t="s">
        <v>364</v>
      </c>
      <c r="AF1" s="156" t="s">
        <v>114</v>
      </c>
      <c r="AG1" s="157" t="s">
        <v>365</v>
      </c>
      <c r="AH1" s="157" t="s">
        <v>366</v>
      </c>
      <c r="AI1" s="156" t="s">
        <v>370</v>
      </c>
      <c r="AJ1" s="157" t="s">
        <v>367</v>
      </c>
      <c r="AK1" s="157" t="s">
        <v>368</v>
      </c>
      <c r="AL1" s="156" t="s">
        <v>369</v>
      </c>
      <c r="AM1" s="138" t="s">
        <v>308</v>
      </c>
      <c r="AN1" s="138" t="s">
        <v>37</v>
      </c>
      <c r="AO1" s="138" t="s">
        <v>533</v>
      </c>
      <c r="AP1" s="135" t="s">
        <v>84</v>
      </c>
      <c r="AQ1" s="135" t="s">
        <v>36</v>
      </c>
      <c r="AR1" s="139" t="s">
        <v>95</v>
      </c>
      <c r="AS1" s="139" t="s">
        <v>151</v>
      </c>
      <c r="AT1" s="220" t="s">
        <v>362</v>
      </c>
      <c r="AU1" s="220" t="s">
        <v>419</v>
      </c>
      <c r="AV1" s="221" t="s">
        <v>224</v>
      </c>
      <c r="AW1" s="138" t="s">
        <v>472</v>
      </c>
      <c r="AX1" s="138" t="s">
        <v>174</v>
      </c>
      <c r="AY1" s="149" t="s">
        <v>157</v>
      </c>
      <c r="AZ1" s="149" t="s">
        <v>158</v>
      </c>
      <c r="BA1" s="155" t="s">
        <v>161</v>
      </c>
      <c r="BB1" s="155" t="s">
        <v>162</v>
      </c>
      <c r="BC1" s="155" t="s">
        <v>352</v>
      </c>
      <c r="BD1" s="155" t="s">
        <v>353</v>
      </c>
      <c r="BE1" s="155" t="s">
        <v>547</v>
      </c>
      <c r="BF1" s="267" t="s">
        <v>540</v>
      </c>
      <c r="BG1" s="149" t="s">
        <v>172</v>
      </c>
      <c r="BH1" s="149" t="s">
        <v>573</v>
      </c>
      <c r="BI1" s="149" t="s">
        <v>321</v>
      </c>
      <c r="BJ1" s="149" t="s">
        <v>572</v>
      </c>
      <c r="BK1" s="27" t="s">
        <v>173</v>
      </c>
      <c r="BL1" s="137" t="s">
        <v>358</v>
      </c>
      <c r="BM1" s="136" t="s">
        <v>359</v>
      </c>
      <c r="BN1" s="136" t="s">
        <v>35</v>
      </c>
      <c r="BO1" s="319" t="s">
        <v>39</v>
      </c>
      <c r="BP1" s="319" t="s">
        <v>532</v>
      </c>
      <c r="BQ1" s="265" t="s">
        <v>529</v>
      </c>
      <c r="BR1" s="265" t="s">
        <v>530</v>
      </c>
      <c r="BS1" s="265" t="s">
        <v>531</v>
      </c>
      <c r="BT1" s="266" t="s">
        <v>460</v>
      </c>
      <c r="BU1" s="177" t="s">
        <v>406</v>
      </c>
      <c r="BV1" s="177" t="s">
        <v>407</v>
      </c>
      <c r="BW1" s="178" t="s">
        <v>408</v>
      </c>
      <c r="BX1" s="178" t="s">
        <v>409</v>
      </c>
      <c r="BY1" s="179" t="s">
        <v>410</v>
      </c>
      <c r="BZ1" s="179" t="s">
        <v>411</v>
      </c>
      <c r="CA1" s="177" t="s">
        <v>412</v>
      </c>
      <c r="CB1" s="22" t="s">
        <v>360</v>
      </c>
      <c r="CC1" s="22" t="s">
        <v>361</v>
      </c>
      <c r="CD1" s="23" t="s">
        <v>68</v>
      </c>
      <c r="CE1" s="18" t="s">
        <v>323</v>
      </c>
      <c r="CF1" s="18" t="s">
        <v>69</v>
      </c>
      <c r="CG1" s="4" t="s">
        <v>233</v>
      </c>
      <c r="CH1" s="4" t="s">
        <v>234</v>
      </c>
      <c r="CI1" s="4" t="s">
        <v>235</v>
      </c>
      <c r="CJ1" s="134" t="s">
        <v>322</v>
      </c>
      <c r="CK1" s="110" t="s">
        <v>25</v>
      </c>
      <c r="CL1" s="292" t="s">
        <v>14</v>
      </c>
      <c r="CM1" s="293" t="s">
        <v>620</v>
      </c>
      <c r="CN1" s="293" t="s">
        <v>0</v>
      </c>
      <c r="CO1" s="293" t="s">
        <v>1</v>
      </c>
      <c r="CP1" s="293" t="s">
        <v>20</v>
      </c>
      <c r="CQ1" s="293" t="s">
        <v>2</v>
      </c>
      <c r="CR1" s="293" t="s">
        <v>40</v>
      </c>
      <c r="CS1" s="293" t="s">
        <v>3</v>
      </c>
      <c r="CT1" s="293" t="s">
        <v>29</v>
      </c>
      <c r="CU1" s="293" t="s">
        <v>89</v>
      </c>
      <c r="CV1" s="293" t="s">
        <v>30</v>
      </c>
      <c r="CW1" s="293" t="s">
        <v>621</v>
      </c>
      <c r="CX1" s="293" t="s">
        <v>641</v>
      </c>
      <c r="CY1" s="293" t="s">
        <v>31</v>
      </c>
      <c r="CZ1" s="293" t="s">
        <v>32</v>
      </c>
      <c r="DA1" s="293" t="s">
        <v>33</v>
      </c>
      <c r="DB1" s="293" t="s">
        <v>189</v>
      </c>
      <c r="DC1" s="293" t="s">
        <v>165</v>
      </c>
      <c r="DD1" s="293" t="s">
        <v>179</v>
      </c>
      <c r="DE1" s="293" t="s">
        <v>34</v>
      </c>
      <c r="DF1" s="293" t="s">
        <v>63</v>
      </c>
      <c r="DG1" s="293" t="s">
        <v>264</v>
      </c>
      <c r="DH1" s="293" t="s">
        <v>645</v>
      </c>
      <c r="DI1" s="293" t="s">
        <v>646</v>
      </c>
      <c r="DJ1" s="293" t="s">
        <v>647</v>
      </c>
      <c r="DK1" s="293" t="s">
        <v>648</v>
      </c>
      <c r="DL1" s="293" t="s">
        <v>15</v>
      </c>
      <c r="DM1" s="293" t="s">
        <v>16</v>
      </c>
      <c r="DN1" s="293" t="s">
        <v>163</v>
      </c>
      <c r="DO1" s="293" t="s">
        <v>190</v>
      </c>
      <c r="DP1" s="293" t="s">
        <v>623</v>
      </c>
      <c r="DQ1" s="293" t="s">
        <v>104</v>
      </c>
      <c r="DR1" s="293" t="s">
        <v>635</v>
      </c>
      <c r="DS1" s="293" t="s">
        <v>48</v>
      </c>
      <c r="DT1" s="293" t="s">
        <v>1017</v>
      </c>
      <c r="DU1" s="293" t="s">
        <v>1018</v>
      </c>
      <c r="DV1" s="294" t="s">
        <v>642</v>
      </c>
    </row>
    <row r="2" spans="1:126" ht="24.95" customHeight="1" thickBot="1" x14ac:dyDescent="0.3">
      <c r="A2" s="29" t="str">
        <f t="shared" ref="A2:A11" si="0">ROW()-1 &amp; "º"</f>
        <v>1º</v>
      </c>
      <c r="B2" s="69" t="str">
        <f t="shared" ref="B2:B11" si="1">CP2</f>
        <v>Arijanet Murić</v>
      </c>
      <c r="C2" s="268" t="str">
        <f t="shared" ref="C2:C11" si="2">CM2</f>
        <v>KOS</v>
      </c>
      <c r="D2" s="99" t="str">
        <f t="shared" ref="D2:D11" si="3">CR2</f>
        <v>Somente Pé Direito</v>
      </c>
      <c r="E2" s="28" t="str">
        <f t="shared" ref="E2:E11" si="4">CN2</f>
        <v>Sassuolo</v>
      </c>
      <c r="F2" s="169">
        <f t="shared" ref="F2:F11" si="5">CO2</f>
        <v>27</v>
      </c>
      <c r="G2" s="2" t="str">
        <f t="shared" ref="G2:G11" si="6">CQ2</f>
        <v>9,4M € - 14M €</v>
      </c>
      <c r="H2" s="154">
        <f t="shared" ref="H2:H11" si="7">IFERROR(SUBSTITUTE(CT2," cm","")/100,0)</f>
        <v>1.98</v>
      </c>
      <c r="I2" s="64">
        <f t="shared" ref="I2:I11" si="8">IF(CU2="-", "Sem Data Final", CU2)</f>
        <v>46934</v>
      </c>
      <c r="J2" s="303" t="str">
        <f t="shared" ref="J2:J11" si="9">IFERROR(CS2,0)</f>
        <v>177m € p/m</v>
      </c>
      <c r="K2" s="96">
        <f t="shared" ref="K2:K11" si="10">IFERROR(AVERAGE(L:L),0)</f>
        <v>21.086666666666666</v>
      </c>
      <c r="L2" s="146">
        <f t="shared" ref="L2:L11" si="11">IFERROR(CW2/90,0)</f>
        <v>22.611111111111111</v>
      </c>
      <c r="M2" s="6">
        <f t="shared" ref="M2:M11" si="12">CV2</f>
        <v>1</v>
      </c>
      <c r="N2" s="5">
        <f t="shared" ref="N2:N11" si="13">IFERROR((CW2/M2),5400)</f>
        <v>2035</v>
      </c>
      <c r="O2" s="21">
        <f t="shared" ref="O2:O11" si="14">IFERROR((M2*1)/L2,0)</f>
        <v>4.4226044226044224E-2</v>
      </c>
      <c r="P2" s="2">
        <f t="shared" ref="P2:P11" si="15">DL2</f>
        <v>543</v>
      </c>
      <c r="Q2" s="2">
        <f t="shared" ref="Q2:Q11" si="16">DM2</f>
        <v>469</v>
      </c>
      <c r="R2" s="5">
        <f t="shared" ref="R2:R11" si="17">IFERROR((Q2/L2),0)</f>
        <v>20.742014742014742</v>
      </c>
      <c r="S2" s="2">
        <f t="shared" ref="S2:S11" si="18">IFERROR(P2-Q2,0)</f>
        <v>74</v>
      </c>
      <c r="T2" s="2">
        <f t="shared" ref="T2:T11" si="19">IFERROR(Q2-S2,0)</f>
        <v>395</v>
      </c>
      <c r="U2" s="102">
        <f t="shared" ref="U2:U11" si="20">IFERROR(((P2-Q2)*1)/P2,0)</f>
        <v>0.13627992633517497</v>
      </c>
      <c r="V2" s="102">
        <f t="shared" ref="V2:V11" si="21">IFERROR((Q2*1)/P2,0)</f>
        <v>0.86372007366482506</v>
      </c>
      <c r="W2" s="6">
        <f t="shared" ref="W2:W11" si="22">DL2-DJ2</f>
        <v>543</v>
      </c>
      <c r="X2" s="5">
        <f t="shared" ref="X2:X11" si="23">IFERROR(W2/L2,0)</f>
        <v>24.014742014742016</v>
      </c>
      <c r="Y2" s="6">
        <f t="shared" ref="Y2:Y11" si="24">DJ2</f>
        <v>0</v>
      </c>
      <c r="Z2" s="5">
        <f t="shared" ref="Z2:Z11" si="25">Y2/L2</f>
        <v>0</v>
      </c>
      <c r="AA2" s="21">
        <f t="shared" ref="AA2:AA11" si="26">IFERROR(Y2/W2,0)</f>
        <v>0</v>
      </c>
      <c r="AB2" s="6">
        <f t="shared" ref="AB2:AB11" si="27">DK2</f>
        <v>0</v>
      </c>
      <c r="AC2" s="5">
        <f t="shared" ref="AC2:AC11" si="28">AB2/L2</f>
        <v>0</v>
      </c>
      <c r="AD2" s="6">
        <f t="shared" ref="AD2:AD11" si="29">CY2</f>
        <v>16</v>
      </c>
      <c r="AE2" s="5">
        <f t="shared" ref="AE2:AE11" si="30">IFERROR(AD2/L2,0)</f>
        <v>0.70761670761670759</v>
      </c>
      <c r="AF2" s="21">
        <f t="shared" ref="AF2:AF11" si="31">IFERROR((AD2*1)/AP2,0)</f>
        <v>0.17777777777777778</v>
      </c>
      <c r="AG2" s="6">
        <f t="shared" ref="AG2:AG11" si="32">CZ2</f>
        <v>13</v>
      </c>
      <c r="AH2" s="5">
        <f t="shared" ref="AH2:AH11" si="33">IFERROR(AG2/L2,0)</f>
        <v>0.57493857493857492</v>
      </c>
      <c r="AI2" s="21">
        <f t="shared" ref="AI2:AI11" si="34">IFERROR((AG2*1)/AP2,0)</f>
        <v>0.14444444444444443</v>
      </c>
      <c r="AJ2" s="6">
        <f t="shared" ref="AJ2:AJ11" si="35">DA2</f>
        <v>61</v>
      </c>
      <c r="AK2" s="5">
        <f t="shared" ref="AK2:AK11" si="36">IFERROR(AJ2/R2,0)</f>
        <v>2.9408907841743663</v>
      </c>
      <c r="AL2" s="21">
        <f t="shared" ref="AL2:AL11" si="37">IFERROR((AJ2*1)/AP2,0)</f>
        <v>0.67777777777777781</v>
      </c>
      <c r="AM2" s="21">
        <f t="shared" ref="AM2:AM11" si="38">IFERROR((AN2*1)/L2,0)</f>
        <v>0.30958230958230959</v>
      </c>
      <c r="AN2" s="6">
        <f t="shared" ref="AN2:AN11" si="39">DE2</f>
        <v>7</v>
      </c>
      <c r="AO2" s="5">
        <f t="shared" ref="AO2:AO11" si="40">IFERROR(AN2/L2,0)</f>
        <v>0.30958230958230959</v>
      </c>
      <c r="AP2" s="6">
        <f t="shared" ref="AP2:AP11" si="41">IFERROR(CY2+CZ2+DA2,0)</f>
        <v>90</v>
      </c>
      <c r="AQ2" s="5">
        <f t="shared" ref="AQ2:AQ11" si="42">IFERROR(AP2/L2,0)</f>
        <v>3.9803439803439806</v>
      </c>
      <c r="AR2" s="2">
        <f t="shared" ref="AR2:AR11" si="43">IFERROR((CZ2+DA2+CY2+CX2),0)</f>
        <v>117</v>
      </c>
      <c r="AS2" s="5">
        <f t="shared" ref="AS2:AS11" si="44">IFERROR(AR2/L2,0)</f>
        <v>5.1744471744471747</v>
      </c>
      <c r="AT2" s="21">
        <f t="shared" ref="AT2:AT11" si="45">IFERROR(AP2/AR2,0)</f>
        <v>0.76923076923076927</v>
      </c>
      <c r="AU2" s="20">
        <f t="shared" ref="AU2:AU11" si="46">IFERROR(((CZ2+DA2+BI2)*1)/(AR2-CY2),0)</f>
        <v>0.74257425742574257</v>
      </c>
      <c r="AV2" s="20">
        <f t="shared" ref="AV2:AV11" si="47">IFERROR((BN2*1)/AS2,1)</f>
        <v>0.23076923076923075</v>
      </c>
      <c r="AW2" s="199">
        <f t="shared" ref="AW2:AW11" si="48">IFERROR((AG2*2+AJ2*1.5+AD2*1)/AR2,0)</f>
        <v>1.141025641025641</v>
      </c>
      <c r="AX2" s="24">
        <f t="shared" ref="AX2:AX11" si="49">IFERROR(CW2/CX2,0)</f>
        <v>75.370370370370367</v>
      </c>
      <c r="AY2" s="5">
        <f t="shared" ref="AY2:AY11" si="50">IFERROR((CX2+CY2+CZ2+DA2)/CX2,0)</f>
        <v>4.333333333333333</v>
      </c>
      <c r="AZ2" s="5">
        <f t="shared" ref="AZ2:AZ11" si="51">IFERROR((CX2+CZ2+DA2)/CX2,0)</f>
        <v>3.7407407407407409</v>
      </c>
      <c r="BA2" s="5">
        <f t="shared" ref="BA2:BA11" si="52">IF(DN2="-","Sem Dados",VALUE(SUBSTITUTE(DN2,".",","))
)</f>
        <v>5.03</v>
      </c>
      <c r="BB2" s="5">
        <f t="shared" ref="BB2:BB11" si="53">IFERROR(BA2/L2,0)</f>
        <v>0.22245700245700248</v>
      </c>
      <c r="BC2" s="5">
        <f t="shared" ref="BC2:BC11" si="54">IFERROR(BA2-(BI2*0.79),-100)</f>
        <v>4.24</v>
      </c>
      <c r="BD2" s="5">
        <f t="shared" ref="BD2:BD11" si="55">IFERROR(BC2/L2,0)</f>
        <v>0.18751842751842754</v>
      </c>
      <c r="BE2" s="199">
        <f t="shared" ref="BE2:BE11" si="56">IFERROR(BB2/AO2,BB2)</f>
        <v>0.71857142857142864</v>
      </c>
      <c r="BF2" s="21">
        <f t="shared" ref="BF2:BF11" si="57">IFERROR(BA2/(BA2+CX2),0)</f>
        <v>0.15704027474242899</v>
      </c>
      <c r="BG2" s="6">
        <f t="shared" ref="BG2:BG11" si="58">DT2</f>
        <v>1</v>
      </c>
      <c r="BH2" s="5">
        <f t="shared" ref="BH2:BH11" si="59">BG2/L2</f>
        <v>4.4226044226044224E-2</v>
      </c>
      <c r="BI2" s="6">
        <f t="shared" ref="BI2:BI11" si="60">DU2</f>
        <v>1</v>
      </c>
      <c r="BJ2" s="5">
        <f t="shared" ref="BJ2:BJ11" si="61">BI2/L2</f>
        <v>4.4226044226044224E-2</v>
      </c>
      <c r="BK2" s="20">
        <f t="shared" ref="BK2:BK11" si="62">IFERROR((DU2*1)/DT2,-0.000000000001)</f>
        <v>1</v>
      </c>
      <c r="BL2" s="20">
        <f t="shared" ref="BL2:BL11" si="63">IFERROR((CX2*1)/SUM(CX:CX),0)</f>
        <v>0.10975609756097561</v>
      </c>
      <c r="BM2" s="6">
        <f t="shared" ref="BM2:BM11" si="64">CX2</f>
        <v>27</v>
      </c>
      <c r="BN2" s="5">
        <f t="shared" ref="BN2:BN11" si="65">IFERROR(BM2/L2,0)</f>
        <v>1.1941031941031941</v>
      </c>
      <c r="BO2" s="328">
        <f t="shared" ref="BO2:BO11" si="66">DP2</f>
        <v>1</v>
      </c>
      <c r="BP2" s="329">
        <f t="shared" ref="BP2:BP11" si="67">IFERROR(BO2/L2,0)</f>
        <v>4.4226044226044224E-2</v>
      </c>
      <c r="BQ2" s="6">
        <f t="shared" ref="BQ2:BQ11" si="68">IFERROR(BR2*L2,0)</f>
        <v>94.966666666666669</v>
      </c>
      <c r="BR2" s="5">
        <f t="shared" ref="BR2:BR11" si="69">DC2</f>
        <v>4.2</v>
      </c>
      <c r="BS2" s="6">
        <f t="shared" ref="BS2:BS11" si="70">IFERROR(BT2*L2,0)</f>
        <v>144.71111111111111</v>
      </c>
      <c r="BT2" s="5">
        <f t="shared" ref="BT2:BT11" si="71">DD2</f>
        <v>6.4</v>
      </c>
      <c r="BU2" s="181">
        <f t="shared" ref="BU2:BU11" si="72">IFERROR((DB2+DQ2+(DS2*2.5)+DF2+DP2),0)</f>
        <v>4</v>
      </c>
      <c r="BV2" s="154">
        <f t="shared" ref="BV2:BV11" si="73">IFERROR(BU2/L2,0)</f>
        <v>0.1769041769041769</v>
      </c>
      <c r="BW2" s="181">
        <f t="shared" ref="BW2:BW11" si="74">IFERROR((DO2+DR2+(DS2*2.5)),0)</f>
        <v>1</v>
      </c>
      <c r="BX2" s="180">
        <f t="shared" ref="BX2:BX11" si="75">IFERROR(BW2/L2,0)</f>
        <v>4.4226044226044224E-2</v>
      </c>
      <c r="BY2" s="181">
        <f t="shared" ref="BY2:BY11" si="76">IFERROR((DB2-DO2)+(DQ2-DR2)+(DS2*2.5)+(DF2),0)</f>
        <v>2</v>
      </c>
      <c r="BZ2" s="154">
        <f t="shared" ref="BZ2:BZ11" si="77">IFERROR(BY2/L2,0)</f>
        <v>8.8452088452088448E-2</v>
      </c>
      <c r="CA2" s="182">
        <f t="shared" ref="CA2:CA11" si="78">IFERROR((BW2*1)/BU2,0)</f>
        <v>0.25</v>
      </c>
      <c r="CB2" s="2">
        <f t="shared" ref="CB2:CB11" si="79">DF2</f>
        <v>2</v>
      </c>
      <c r="CC2" s="2">
        <f t="shared" ref="CC2:CC11" si="80">DG2</f>
        <v>0</v>
      </c>
      <c r="CD2" s="2">
        <f t="shared" ref="CD2:CD11" si="81">IFERROR(CB2+CC2,0)</f>
        <v>2</v>
      </c>
      <c r="CE2" s="2">
        <f t="shared" ref="CE2:CE11" si="82">DI2</f>
        <v>2</v>
      </c>
      <c r="CF2" s="6">
        <f t="shared" ref="CF2:CF11" si="83">DH2</f>
        <v>2</v>
      </c>
      <c r="CG2" s="6">
        <f t="shared" ref="CG2:CG11" si="84">IFERROR(CY2+CX2+CZ2+DA2+DT2+DL2+DF2+(DD2*1.33)+(DE2*2)+(DP2*2.5)+DQ2+DB2,0)</f>
        <v>689.01199999999994</v>
      </c>
      <c r="CH2" s="6">
        <f t="shared" ref="CH2:CH11" si="85">IFERROR(CY2+CZ2+DA2+DU2+DM2+DR2+DO2,0)</f>
        <v>561</v>
      </c>
      <c r="CI2" s="20">
        <f t="shared" ref="CI2:CI11" si="86">IFERROR((CH2*1)/CG2,0)</f>
        <v>0.8142093316226714</v>
      </c>
      <c r="CJ2" s="133">
        <f t="shared" ref="CJ2:CJ11" si="87">SUM(AR:AR)</f>
        <v>991</v>
      </c>
      <c r="CK2" s="5">
        <f t="shared" ref="CK2:CK11" si="88">IFERROR(VALUE(SUBSTITUTE(DV2, ".", ",")),0)</f>
        <v>6.8</v>
      </c>
      <c r="CL2" s="301" t="s">
        <v>1023</v>
      </c>
      <c r="CM2" s="297" t="s">
        <v>1029</v>
      </c>
      <c r="CN2" s="297" t="s">
        <v>1004</v>
      </c>
      <c r="CO2" s="297">
        <v>27</v>
      </c>
      <c r="CP2" s="297" t="s">
        <v>1030</v>
      </c>
      <c r="CQ2" s="297" t="s">
        <v>1031</v>
      </c>
      <c r="CR2" s="297" t="s">
        <v>644</v>
      </c>
      <c r="CS2" s="297" t="s">
        <v>1032</v>
      </c>
      <c r="CT2" s="297" t="s">
        <v>764</v>
      </c>
      <c r="CU2" s="298">
        <v>46934</v>
      </c>
      <c r="CV2" s="297">
        <v>1</v>
      </c>
      <c r="CW2" s="297">
        <v>2035</v>
      </c>
      <c r="CX2" s="297">
        <v>27</v>
      </c>
      <c r="CY2" s="297">
        <v>16</v>
      </c>
      <c r="CZ2" s="297">
        <v>13</v>
      </c>
      <c r="DA2" s="297">
        <v>61</v>
      </c>
      <c r="DB2" s="297">
        <v>0</v>
      </c>
      <c r="DC2" s="297">
        <v>4.2</v>
      </c>
      <c r="DD2" s="297">
        <v>6.4</v>
      </c>
      <c r="DE2" s="297">
        <v>7</v>
      </c>
      <c r="DF2" s="297">
        <v>2</v>
      </c>
      <c r="DG2" s="297">
        <v>0</v>
      </c>
      <c r="DH2" s="297">
        <v>2</v>
      </c>
      <c r="DI2" s="297">
        <v>2</v>
      </c>
      <c r="DJ2" s="297">
        <v>0</v>
      </c>
      <c r="DK2" s="297">
        <v>0</v>
      </c>
      <c r="DL2" s="297">
        <v>543</v>
      </c>
      <c r="DM2" s="297">
        <v>469</v>
      </c>
      <c r="DN2" s="297" t="s">
        <v>966</v>
      </c>
      <c r="DO2" s="297">
        <v>0</v>
      </c>
      <c r="DP2" s="297">
        <v>1</v>
      </c>
      <c r="DQ2" s="297">
        <v>1</v>
      </c>
      <c r="DR2" s="297">
        <v>1</v>
      </c>
      <c r="DS2" s="297">
        <v>0</v>
      </c>
      <c r="DT2" s="297">
        <v>1</v>
      </c>
      <c r="DU2" s="297">
        <v>1</v>
      </c>
      <c r="DV2" s="302">
        <v>6.8</v>
      </c>
    </row>
    <row r="3" spans="1:126" ht="24.95" customHeight="1" thickBot="1" x14ac:dyDescent="0.3">
      <c r="A3" s="29" t="str">
        <f t="shared" si="0"/>
        <v>2º</v>
      </c>
      <c r="B3" s="69" t="str">
        <f t="shared" si="1"/>
        <v>Donovan Léon</v>
      </c>
      <c r="C3" s="268" t="str">
        <f t="shared" si="2"/>
        <v>GUF</v>
      </c>
      <c r="D3" s="99" t="str">
        <f t="shared" si="3"/>
        <v>Pé Direito</v>
      </c>
      <c r="E3" s="28" t="str">
        <f t="shared" si="4"/>
        <v>Auxerre</v>
      </c>
      <c r="F3" s="169">
        <f t="shared" si="5"/>
        <v>33</v>
      </c>
      <c r="G3" s="2" t="str">
        <f t="shared" si="6"/>
        <v>Não está à venda</v>
      </c>
      <c r="H3" s="154">
        <f t="shared" si="7"/>
        <v>1.87</v>
      </c>
      <c r="I3" s="64">
        <f t="shared" si="8"/>
        <v>46568</v>
      </c>
      <c r="J3" s="303" t="str">
        <f t="shared" si="9"/>
        <v>27,5m € p/m</v>
      </c>
      <c r="K3" s="96">
        <f t="shared" si="10"/>
        <v>21.086666666666666</v>
      </c>
      <c r="L3" s="146">
        <f t="shared" si="11"/>
        <v>19</v>
      </c>
      <c r="M3" s="6">
        <f t="shared" si="12"/>
        <v>1</v>
      </c>
      <c r="N3" s="5">
        <f t="shared" si="13"/>
        <v>1710</v>
      </c>
      <c r="O3" s="21">
        <f t="shared" si="14"/>
        <v>5.2631578947368418E-2</v>
      </c>
      <c r="P3" s="2">
        <f t="shared" si="15"/>
        <v>475</v>
      </c>
      <c r="Q3" s="2">
        <f t="shared" si="16"/>
        <v>409</v>
      </c>
      <c r="R3" s="5">
        <f t="shared" si="17"/>
        <v>21.526315789473685</v>
      </c>
      <c r="S3" s="2">
        <f t="shared" si="18"/>
        <v>66</v>
      </c>
      <c r="T3" s="2">
        <f t="shared" si="19"/>
        <v>343</v>
      </c>
      <c r="U3" s="102">
        <f t="shared" si="20"/>
        <v>0.13894736842105262</v>
      </c>
      <c r="V3" s="102">
        <f t="shared" si="21"/>
        <v>0.8610526315789474</v>
      </c>
      <c r="W3" s="6">
        <f t="shared" si="22"/>
        <v>475</v>
      </c>
      <c r="X3" s="5">
        <f t="shared" si="23"/>
        <v>25</v>
      </c>
      <c r="Y3" s="6">
        <f t="shared" si="24"/>
        <v>0</v>
      </c>
      <c r="Z3" s="5">
        <f t="shared" si="25"/>
        <v>0</v>
      </c>
      <c r="AA3" s="21">
        <f t="shared" si="26"/>
        <v>0</v>
      </c>
      <c r="AB3" s="6">
        <f t="shared" si="27"/>
        <v>1</v>
      </c>
      <c r="AC3" s="5">
        <f t="shared" si="28"/>
        <v>5.2631578947368418E-2</v>
      </c>
      <c r="AD3" s="6">
        <f t="shared" si="29"/>
        <v>11</v>
      </c>
      <c r="AE3" s="5">
        <f t="shared" si="30"/>
        <v>0.57894736842105265</v>
      </c>
      <c r="AF3" s="21">
        <f t="shared" si="31"/>
        <v>0.2391304347826087</v>
      </c>
      <c r="AG3" s="6">
        <f t="shared" si="32"/>
        <v>11</v>
      </c>
      <c r="AH3" s="5">
        <f t="shared" si="33"/>
        <v>0.57894736842105265</v>
      </c>
      <c r="AI3" s="21">
        <f t="shared" si="34"/>
        <v>0.2391304347826087</v>
      </c>
      <c r="AJ3" s="6">
        <f t="shared" si="35"/>
        <v>24</v>
      </c>
      <c r="AK3" s="5">
        <f t="shared" si="36"/>
        <v>1.1149144254278729</v>
      </c>
      <c r="AL3" s="21">
        <f t="shared" si="37"/>
        <v>0.52173913043478259</v>
      </c>
      <c r="AM3" s="21">
        <f t="shared" si="38"/>
        <v>0.42105263157894735</v>
      </c>
      <c r="AN3" s="6">
        <f t="shared" si="39"/>
        <v>8</v>
      </c>
      <c r="AO3" s="5">
        <f t="shared" si="40"/>
        <v>0.42105263157894735</v>
      </c>
      <c r="AP3" s="6">
        <f t="shared" si="41"/>
        <v>46</v>
      </c>
      <c r="AQ3" s="5">
        <f t="shared" si="42"/>
        <v>2.4210526315789473</v>
      </c>
      <c r="AR3" s="2">
        <f t="shared" si="43"/>
        <v>65</v>
      </c>
      <c r="AS3" s="5">
        <f t="shared" si="44"/>
        <v>3.4210526315789473</v>
      </c>
      <c r="AT3" s="21">
        <f t="shared" si="45"/>
        <v>0.70769230769230773</v>
      </c>
      <c r="AU3" s="20">
        <f t="shared" si="46"/>
        <v>0.64814814814814814</v>
      </c>
      <c r="AV3" s="20">
        <f t="shared" si="47"/>
        <v>0.29230769230769232</v>
      </c>
      <c r="AW3" s="199">
        <f t="shared" si="48"/>
        <v>1.0615384615384615</v>
      </c>
      <c r="AX3" s="24">
        <f t="shared" si="49"/>
        <v>90</v>
      </c>
      <c r="AY3" s="5">
        <f t="shared" si="50"/>
        <v>3.4210526315789473</v>
      </c>
      <c r="AZ3" s="5">
        <f t="shared" si="51"/>
        <v>2.8421052631578947</v>
      </c>
      <c r="BA3" s="5">
        <f t="shared" si="52"/>
        <v>7.02</v>
      </c>
      <c r="BB3" s="5">
        <f t="shared" si="53"/>
        <v>0.36947368421052629</v>
      </c>
      <c r="BC3" s="5">
        <f t="shared" si="54"/>
        <v>7.02</v>
      </c>
      <c r="BD3" s="5">
        <f t="shared" si="55"/>
        <v>0.36947368421052629</v>
      </c>
      <c r="BE3" s="199">
        <f t="shared" si="56"/>
        <v>0.87749999999999995</v>
      </c>
      <c r="BF3" s="21">
        <f t="shared" si="57"/>
        <v>0.26979246733282092</v>
      </c>
      <c r="BG3" s="6">
        <f t="shared" si="58"/>
        <v>0</v>
      </c>
      <c r="BH3" s="5">
        <f t="shared" si="59"/>
        <v>0</v>
      </c>
      <c r="BI3" s="6">
        <f t="shared" si="60"/>
        <v>0</v>
      </c>
      <c r="BJ3" s="5">
        <f t="shared" si="61"/>
        <v>0</v>
      </c>
      <c r="BK3" s="20">
        <f t="shared" si="62"/>
        <v>-9.9999999999999998E-13</v>
      </c>
      <c r="BL3" s="20">
        <f t="shared" si="63"/>
        <v>7.7235772357723581E-2</v>
      </c>
      <c r="BM3" s="6">
        <f t="shared" si="64"/>
        <v>19</v>
      </c>
      <c r="BN3" s="5">
        <f t="shared" si="65"/>
        <v>1</v>
      </c>
      <c r="BO3" s="328">
        <f t="shared" si="66"/>
        <v>0</v>
      </c>
      <c r="BP3" s="329">
        <f t="shared" si="67"/>
        <v>0</v>
      </c>
      <c r="BQ3" s="6">
        <f t="shared" si="68"/>
        <v>62.699999999999996</v>
      </c>
      <c r="BR3" s="5">
        <f t="shared" si="69"/>
        <v>3.3</v>
      </c>
      <c r="BS3" s="6">
        <f t="shared" si="70"/>
        <v>188.1</v>
      </c>
      <c r="BT3" s="5">
        <f t="shared" si="71"/>
        <v>9.9</v>
      </c>
      <c r="BU3" s="181">
        <f t="shared" si="72"/>
        <v>0</v>
      </c>
      <c r="BV3" s="154">
        <f t="shared" si="73"/>
        <v>0</v>
      </c>
      <c r="BW3" s="181">
        <f t="shared" si="74"/>
        <v>0</v>
      </c>
      <c r="BX3" s="180">
        <f t="shared" si="75"/>
        <v>0</v>
      </c>
      <c r="BY3" s="181">
        <f t="shared" si="76"/>
        <v>0</v>
      </c>
      <c r="BZ3" s="154">
        <f t="shared" si="77"/>
        <v>0</v>
      </c>
      <c r="CA3" s="182">
        <f t="shared" si="78"/>
        <v>0</v>
      </c>
      <c r="CB3" s="2">
        <f t="shared" si="79"/>
        <v>0</v>
      </c>
      <c r="CC3" s="2">
        <f t="shared" si="80"/>
        <v>0</v>
      </c>
      <c r="CD3" s="2">
        <f t="shared" si="81"/>
        <v>0</v>
      </c>
      <c r="CE3" s="2">
        <f t="shared" si="82"/>
        <v>8</v>
      </c>
      <c r="CF3" s="6">
        <f t="shared" si="83"/>
        <v>0</v>
      </c>
      <c r="CG3" s="6">
        <f t="shared" si="84"/>
        <v>569.16700000000003</v>
      </c>
      <c r="CH3" s="6">
        <f t="shared" si="85"/>
        <v>455</v>
      </c>
      <c r="CI3" s="20">
        <f t="shared" si="86"/>
        <v>0.79941388028469673</v>
      </c>
      <c r="CJ3" s="133">
        <f t="shared" si="87"/>
        <v>991</v>
      </c>
      <c r="CK3" s="5">
        <f t="shared" si="88"/>
        <v>6.63</v>
      </c>
      <c r="CL3" s="299" t="s">
        <v>639</v>
      </c>
      <c r="CM3" s="295" t="s">
        <v>1042</v>
      </c>
      <c r="CN3" s="295" t="s">
        <v>1016</v>
      </c>
      <c r="CO3" s="295">
        <v>33</v>
      </c>
      <c r="CP3" s="295" t="s">
        <v>1043</v>
      </c>
      <c r="CQ3" s="295" t="s">
        <v>413</v>
      </c>
      <c r="CR3" s="295" t="s">
        <v>643</v>
      </c>
      <c r="CS3" s="295" t="s">
        <v>1001</v>
      </c>
      <c r="CT3" s="295" t="s">
        <v>910</v>
      </c>
      <c r="CU3" s="296">
        <v>46568</v>
      </c>
      <c r="CV3" s="295">
        <v>1</v>
      </c>
      <c r="CW3" s="295">
        <v>1710</v>
      </c>
      <c r="CX3" s="295">
        <v>19</v>
      </c>
      <c r="CY3" s="295">
        <v>11</v>
      </c>
      <c r="CZ3" s="295">
        <v>11</v>
      </c>
      <c r="DA3" s="295">
        <v>24</v>
      </c>
      <c r="DB3" s="295">
        <v>0</v>
      </c>
      <c r="DC3" s="295">
        <v>3.3</v>
      </c>
      <c r="DD3" s="295">
        <v>9.9</v>
      </c>
      <c r="DE3" s="295">
        <v>8</v>
      </c>
      <c r="DF3" s="295">
        <v>0</v>
      </c>
      <c r="DG3" s="295">
        <v>0</v>
      </c>
      <c r="DH3" s="295">
        <v>0</v>
      </c>
      <c r="DI3" s="295">
        <v>8</v>
      </c>
      <c r="DJ3" s="295">
        <v>0</v>
      </c>
      <c r="DK3" s="295">
        <v>1</v>
      </c>
      <c r="DL3" s="295">
        <v>475</v>
      </c>
      <c r="DM3" s="295">
        <v>409</v>
      </c>
      <c r="DN3" s="295" t="s">
        <v>1044</v>
      </c>
      <c r="DO3" s="295">
        <v>0</v>
      </c>
      <c r="DP3" s="295">
        <v>0</v>
      </c>
      <c r="DQ3" s="295">
        <v>0</v>
      </c>
      <c r="DR3" s="295">
        <v>0</v>
      </c>
      <c r="DS3" s="295">
        <v>0</v>
      </c>
      <c r="DT3" s="295">
        <v>0</v>
      </c>
      <c r="DU3" s="295">
        <v>0</v>
      </c>
      <c r="DV3" s="300">
        <v>6.63</v>
      </c>
    </row>
    <row r="4" spans="1:126" ht="24.95" customHeight="1" thickBot="1" x14ac:dyDescent="0.3">
      <c r="A4" s="29" t="str">
        <f t="shared" si="0"/>
        <v>3º</v>
      </c>
      <c r="B4" s="69" t="str">
        <f t="shared" si="1"/>
        <v>Edoardo Corvi</v>
      </c>
      <c r="C4" s="268" t="str">
        <f t="shared" si="2"/>
        <v>ITA</v>
      </c>
      <c r="D4" s="99" t="str">
        <f t="shared" si="3"/>
        <v>Pé Esquerdo</v>
      </c>
      <c r="E4" s="28" t="str">
        <f t="shared" si="4"/>
        <v>Parma</v>
      </c>
      <c r="F4" s="169">
        <f t="shared" si="5"/>
        <v>24</v>
      </c>
      <c r="G4" s="2" t="str">
        <f t="shared" si="6"/>
        <v>150m € - 1,5M €</v>
      </c>
      <c r="H4" s="154">
        <f t="shared" si="7"/>
        <v>1.85</v>
      </c>
      <c r="I4" s="64">
        <f t="shared" si="8"/>
        <v>47299</v>
      </c>
      <c r="J4" s="303" t="str">
        <f t="shared" si="9"/>
        <v>14,5m € p/m</v>
      </c>
      <c r="K4" s="96">
        <f t="shared" si="10"/>
        <v>21.086666666666666</v>
      </c>
      <c r="L4" s="146">
        <f t="shared" si="11"/>
        <v>23</v>
      </c>
      <c r="M4" s="6">
        <f t="shared" si="12"/>
        <v>4</v>
      </c>
      <c r="N4" s="5">
        <f t="shared" si="13"/>
        <v>517.5</v>
      </c>
      <c r="O4" s="21">
        <f t="shared" si="14"/>
        <v>0.17391304347826086</v>
      </c>
      <c r="P4" s="2">
        <f t="shared" si="15"/>
        <v>516</v>
      </c>
      <c r="Q4" s="2">
        <f t="shared" si="16"/>
        <v>423</v>
      </c>
      <c r="R4" s="5">
        <f t="shared" si="17"/>
        <v>18.391304347826086</v>
      </c>
      <c r="S4" s="2">
        <f t="shared" si="18"/>
        <v>93</v>
      </c>
      <c r="T4" s="2">
        <f t="shared" si="19"/>
        <v>330</v>
      </c>
      <c r="U4" s="102">
        <f t="shared" si="20"/>
        <v>0.18023255813953487</v>
      </c>
      <c r="V4" s="102">
        <f t="shared" si="21"/>
        <v>0.81976744186046513</v>
      </c>
      <c r="W4" s="6">
        <f t="shared" si="22"/>
        <v>516</v>
      </c>
      <c r="X4" s="5">
        <f t="shared" si="23"/>
        <v>22.434782608695652</v>
      </c>
      <c r="Y4" s="6">
        <f t="shared" si="24"/>
        <v>0</v>
      </c>
      <c r="Z4" s="5">
        <f t="shared" si="25"/>
        <v>0</v>
      </c>
      <c r="AA4" s="21">
        <f t="shared" si="26"/>
        <v>0</v>
      </c>
      <c r="AB4" s="6">
        <f t="shared" si="27"/>
        <v>0</v>
      </c>
      <c r="AC4" s="5">
        <f t="shared" si="28"/>
        <v>0</v>
      </c>
      <c r="AD4" s="6">
        <f t="shared" si="29"/>
        <v>15</v>
      </c>
      <c r="AE4" s="5">
        <f t="shared" si="30"/>
        <v>0.65217391304347827</v>
      </c>
      <c r="AF4" s="21">
        <f t="shared" si="31"/>
        <v>0.16129032258064516</v>
      </c>
      <c r="AG4" s="6">
        <f t="shared" si="32"/>
        <v>20</v>
      </c>
      <c r="AH4" s="5">
        <f t="shared" si="33"/>
        <v>0.86956521739130432</v>
      </c>
      <c r="AI4" s="21">
        <f t="shared" si="34"/>
        <v>0.21505376344086022</v>
      </c>
      <c r="AJ4" s="6">
        <f t="shared" si="35"/>
        <v>58</v>
      </c>
      <c r="AK4" s="5">
        <f t="shared" si="36"/>
        <v>3.1536643026004731</v>
      </c>
      <c r="AL4" s="21">
        <f t="shared" si="37"/>
        <v>0.62365591397849462</v>
      </c>
      <c r="AM4" s="21">
        <f t="shared" si="38"/>
        <v>0.30434782608695654</v>
      </c>
      <c r="AN4" s="6">
        <f t="shared" si="39"/>
        <v>7</v>
      </c>
      <c r="AO4" s="5">
        <f t="shared" si="40"/>
        <v>0.30434782608695654</v>
      </c>
      <c r="AP4" s="6">
        <f t="shared" si="41"/>
        <v>93</v>
      </c>
      <c r="AQ4" s="5">
        <f t="shared" si="42"/>
        <v>4.0434782608695654</v>
      </c>
      <c r="AR4" s="2">
        <f t="shared" si="43"/>
        <v>117</v>
      </c>
      <c r="AS4" s="5">
        <f t="shared" si="44"/>
        <v>5.0869565217391308</v>
      </c>
      <c r="AT4" s="21">
        <f t="shared" si="45"/>
        <v>0.79487179487179482</v>
      </c>
      <c r="AU4" s="20">
        <f t="shared" si="46"/>
        <v>0.77450980392156865</v>
      </c>
      <c r="AV4" s="20">
        <f t="shared" si="47"/>
        <v>0.20512820512820509</v>
      </c>
      <c r="AW4" s="199">
        <f t="shared" si="48"/>
        <v>1.2136752136752136</v>
      </c>
      <c r="AX4" s="24">
        <f t="shared" si="49"/>
        <v>86.25</v>
      </c>
      <c r="AY4" s="5">
        <f t="shared" si="50"/>
        <v>4.875</v>
      </c>
      <c r="AZ4" s="5">
        <f t="shared" si="51"/>
        <v>4.25</v>
      </c>
      <c r="BA4" s="5">
        <f t="shared" si="52"/>
        <v>8.7100000000000009</v>
      </c>
      <c r="BB4" s="5">
        <f t="shared" si="53"/>
        <v>0.3786956521739131</v>
      </c>
      <c r="BC4" s="5">
        <f t="shared" si="54"/>
        <v>7.9200000000000008</v>
      </c>
      <c r="BD4" s="5">
        <f t="shared" si="55"/>
        <v>0.34434782608695658</v>
      </c>
      <c r="BE4" s="199">
        <f t="shared" si="56"/>
        <v>1.2442857142857144</v>
      </c>
      <c r="BF4" s="21">
        <f t="shared" si="57"/>
        <v>0.26627942525221648</v>
      </c>
      <c r="BG4" s="6">
        <f t="shared" si="58"/>
        <v>3</v>
      </c>
      <c r="BH4" s="5">
        <f t="shared" si="59"/>
        <v>0.13043478260869565</v>
      </c>
      <c r="BI4" s="6">
        <f t="shared" si="60"/>
        <v>1</v>
      </c>
      <c r="BJ4" s="5">
        <f t="shared" si="61"/>
        <v>4.3478260869565216E-2</v>
      </c>
      <c r="BK4" s="20">
        <f t="shared" si="62"/>
        <v>0.33333333333333331</v>
      </c>
      <c r="BL4" s="20">
        <f t="shared" si="63"/>
        <v>9.7560975609756101E-2</v>
      </c>
      <c r="BM4" s="6">
        <f t="shared" si="64"/>
        <v>24</v>
      </c>
      <c r="BN4" s="5">
        <f t="shared" si="65"/>
        <v>1.0434782608695652</v>
      </c>
      <c r="BO4" s="328">
        <f t="shared" si="66"/>
        <v>0</v>
      </c>
      <c r="BP4" s="329">
        <f t="shared" si="67"/>
        <v>0</v>
      </c>
      <c r="BQ4" s="6">
        <f t="shared" si="68"/>
        <v>75.899999999999991</v>
      </c>
      <c r="BR4" s="5">
        <f t="shared" si="69"/>
        <v>3.3</v>
      </c>
      <c r="BS4" s="6">
        <f t="shared" si="70"/>
        <v>230</v>
      </c>
      <c r="BT4" s="5">
        <f t="shared" si="71"/>
        <v>10</v>
      </c>
      <c r="BU4" s="181">
        <f t="shared" si="72"/>
        <v>3</v>
      </c>
      <c r="BV4" s="154">
        <f t="shared" si="73"/>
        <v>0.13043478260869565</v>
      </c>
      <c r="BW4" s="181">
        <f t="shared" si="74"/>
        <v>1</v>
      </c>
      <c r="BX4" s="180">
        <f t="shared" si="75"/>
        <v>4.3478260869565216E-2</v>
      </c>
      <c r="BY4" s="181">
        <f t="shared" si="76"/>
        <v>2</v>
      </c>
      <c r="BZ4" s="154">
        <f t="shared" si="77"/>
        <v>8.6956521739130432E-2</v>
      </c>
      <c r="CA4" s="182">
        <f t="shared" si="78"/>
        <v>0.33333333333333331</v>
      </c>
      <c r="CB4" s="2">
        <f t="shared" si="79"/>
        <v>0</v>
      </c>
      <c r="CC4" s="2">
        <f t="shared" si="80"/>
        <v>0</v>
      </c>
      <c r="CD4" s="2">
        <f t="shared" si="81"/>
        <v>0</v>
      </c>
      <c r="CE4" s="2">
        <f t="shared" si="82"/>
        <v>6</v>
      </c>
      <c r="CF4" s="6">
        <f t="shared" si="83"/>
        <v>0</v>
      </c>
      <c r="CG4" s="6">
        <f t="shared" si="84"/>
        <v>666.3</v>
      </c>
      <c r="CH4" s="6">
        <f t="shared" si="85"/>
        <v>518</v>
      </c>
      <c r="CI4" s="20">
        <f t="shared" si="86"/>
        <v>0.77742758517184452</v>
      </c>
      <c r="CJ4" s="133">
        <f t="shared" si="87"/>
        <v>991</v>
      </c>
      <c r="CK4" s="5">
        <f t="shared" si="88"/>
        <v>6.81</v>
      </c>
      <c r="CL4" s="301"/>
      <c r="CM4" s="297" t="s">
        <v>948</v>
      </c>
      <c r="CN4" s="297" t="s">
        <v>1006</v>
      </c>
      <c r="CO4" s="297">
        <v>24</v>
      </c>
      <c r="CP4" s="297" t="s">
        <v>1033</v>
      </c>
      <c r="CQ4" s="297" t="s">
        <v>556</v>
      </c>
      <c r="CR4" s="297" t="s">
        <v>651</v>
      </c>
      <c r="CS4" s="297" t="s">
        <v>688</v>
      </c>
      <c r="CT4" s="297" t="s">
        <v>587</v>
      </c>
      <c r="CU4" s="298">
        <v>47299</v>
      </c>
      <c r="CV4" s="297">
        <v>4</v>
      </c>
      <c r="CW4" s="297">
        <v>2070</v>
      </c>
      <c r="CX4" s="297">
        <v>24</v>
      </c>
      <c r="CY4" s="297">
        <v>15</v>
      </c>
      <c r="CZ4" s="297">
        <v>20</v>
      </c>
      <c r="DA4" s="297">
        <v>58</v>
      </c>
      <c r="DB4" s="297">
        <v>0</v>
      </c>
      <c r="DC4" s="297">
        <v>3.3</v>
      </c>
      <c r="DD4" s="297">
        <v>10</v>
      </c>
      <c r="DE4" s="297">
        <v>7</v>
      </c>
      <c r="DF4" s="297">
        <v>0</v>
      </c>
      <c r="DG4" s="297">
        <v>0</v>
      </c>
      <c r="DH4" s="297">
        <v>0</v>
      </c>
      <c r="DI4" s="297">
        <v>6</v>
      </c>
      <c r="DJ4" s="297">
        <v>0</v>
      </c>
      <c r="DK4" s="297">
        <v>0</v>
      </c>
      <c r="DL4" s="297">
        <v>516</v>
      </c>
      <c r="DM4" s="297">
        <v>423</v>
      </c>
      <c r="DN4" s="297" t="s">
        <v>953</v>
      </c>
      <c r="DO4" s="297">
        <v>0</v>
      </c>
      <c r="DP4" s="297">
        <v>0</v>
      </c>
      <c r="DQ4" s="297">
        <v>3</v>
      </c>
      <c r="DR4" s="297">
        <v>1</v>
      </c>
      <c r="DS4" s="297">
        <v>0</v>
      </c>
      <c r="DT4" s="297">
        <v>3</v>
      </c>
      <c r="DU4" s="297">
        <v>1</v>
      </c>
      <c r="DV4" s="302">
        <v>6.81</v>
      </c>
    </row>
    <row r="5" spans="1:126" ht="24.95" customHeight="1" thickBot="1" x14ac:dyDescent="0.3">
      <c r="A5" s="29" t="str">
        <f t="shared" si="0"/>
        <v>4º</v>
      </c>
      <c r="B5" s="69" t="str">
        <f t="shared" si="1"/>
        <v>Emil Audero</v>
      </c>
      <c r="C5" s="268" t="str">
        <f t="shared" si="2"/>
        <v>IDN</v>
      </c>
      <c r="D5" s="99" t="str">
        <f t="shared" si="3"/>
        <v>Pé Direito</v>
      </c>
      <c r="E5" s="28" t="str">
        <f t="shared" si="4"/>
        <v>Cremonese</v>
      </c>
      <c r="F5" s="169">
        <f t="shared" si="5"/>
        <v>29</v>
      </c>
      <c r="G5" s="2" t="str">
        <f t="shared" si="6"/>
        <v>140m € - 1,4M €</v>
      </c>
      <c r="H5" s="154">
        <f t="shared" si="7"/>
        <v>1.92</v>
      </c>
      <c r="I5" s="64">
        <f t="shared" si="8"/>
        <v>46934</v>
      </c>
      <c r="J5" s="303" t="str">
        <f t="shared" si="9"/>
        <v>140m € p/m</v>
      </c>
      <c r="K5" s="96">
        <f t="shared" si="10"/>
        <v>21.086666666666666</v>
      </c>
      <c r="L5" s="146">
        <f t="shared" si="11"/>
        <v>23</v>
      </c>
      <c r="M5" s="6">
        <f t="shared" si="12"/>
        <v>2</v>
      </c>
      <c r="N5" s="5">
        <f t="shared" si="13"/>
        <v>1035</v>
      </c>
      <c r="O5" s="21">
        <f t="shared" si="14"/>
        <v>8.6956521739130432E-2</v>
      </c>
      <c r="P5" s="2">
        <f t="shared" si="15"/>
        <v>549</v>
      </c>
      <c r="Q5" s="2">
        <f t="shared" si="16"/>
        <v>451</v>
      </c>
      <c r="R5" s="5">
        <f t="shared" si="17"/>
        <v>19.608695652173914</v>
      </c>
      <c r="S5" s="2">
        <f t="shared" si="18"/>
        <v>98</v>
      </c>
      <c r="T5" s="2">
        <f t="shared" si="19"/>
        <v>353</v>
      </c>
      <c r="U5" s="102">
        <f t="shared" si="20"/>
        <v>0.1785063752276867</v>
      </c>
      <c r="V5" s="102">
        <f t="shared" si="21"/>
        <v>0.82149362477231325</v>
      </c>
      <c r="W5" s="6">
        <f t="shared" si="22"/>
        <v>549</v>
      </c>
      <c r="X5" s="5">
        <f t="shared" si="23"/>
        <v>23.869565217391305</v>
      </c>
      <c r="Y5" s="6">
        <f t="shared" si="24"/>
        <v>0</v>
      </c>
      <c r="Z5" s="5">
        <f t="shared" si="25"/>
        <v>0</v>
      </c>
      <c r="AA5" s="21">
        <f t="shared" si="26"/>
        <v>0</v>
      </c>
      <c r="AB5" s="6">
        <f t="shared" si="27"/>
        <v>0</v>
      </c>
      <c r="AC5" s="5">
        <f t="shared" si="28"/>
        <v>0</v>
      </c>
      <c r="AD5" s="6">
        <f t="shared" si="29"/>
        <v>26</v>
      </c>
      <c r="AE5" s="5">
        <f t="shared" si="30"/>
        <v>1.1304347826086956</v>
      </c>
      <c r="AF5" s="21">
        <f t="shared" si="31"/>
        <v>0.29545454545454547</v>
      </c>
      <c r="AG5" s="6">
        <f t="shared" si="32"/>
        <v>14</v>
      </c>
      <c r="AH5" s="5">
        <f t="shared" si="33"/>
        <v>0.60869565217391308</v>
      </c>
      <c r="AI5" s="21">
        <f t="shared" si="34"/>
        <v>0.15909090909090909</v>
      </c>
      <c r="AJ5" s="6">
        <f t="shared" si="35"/>
        <v>48</v>
      </c>
      <c r="AK5" s="5">
        <f t="shared" si="36"/>
        <v>2.4478935698447892</v>
      </c>
      <c r="AL5" s="21">
        <f t="shared" si="37"/>
        <v>0.54545454545454541</v>
      </c>
      <c r="AM5" s="21">
        <f t="shared" si="38"/>
        <v>0.34782608695652173</v>
      </c>
      <c r="AN5" s="6">
        <f t="shared" si="39"/>
        <v>8</v>
      </c>
      <c r="AO5" s="5">
        <f t="shared" si="40"/>
        <v>0.34782608695652173</v>
      </c>
      <c r="AP5" s="6">
        <f t="shared" si="41"/>
        <v>88</v>
      </c>
      <c r="AQ5" s="5">
        <f t="shared" si="42"/>
        <v>3.8260869565217392</v>
      </c>
      <c r="AR5" s="2">
        <f t="shared" si="43"/>
        <v>113</v>
      </c>
      <c r="AS5" s="5">
        <f t="shared" si="44"/>
        <v>4.9130434782608692</v>
      </c>
      <c r="AT5" s="21">
        <f t="shared" si="45"/>
        <v>0.77876106194690264</v>
      </c>
      <c r="AU5" s="20">
        <f t="shared" si="46"/>
        <v>0.73563218390804597</v>
      </c>
      <c r="AV5" s="20">
        <f t="shared" si="47"/>
        <v>0.22123893805309736</v>
      </c>
      <c r="AW5" s="199">
        <f t="shared" si="48"/>
        <v>1.1150442477876106</v>
      </c>
      <c r="AX5" s="24">
        <f t="shared" si="49"/>
        <v>82.8</v>
      </c>
      <c r="AY5" s="5">
        <f t="shared" si="50"/>
        <v>4.5199999999999996</v>
      </c>
      <c r="AZ5" s="5">
        <f t="shared" si="51"/>
        <v>3.48</v>
      </c>
      <c r="BA5" s="5">
        <f t="shared" si="52"/>
        <v>5</v>
      </c>
      <c r="BB5" s="5">
        <f t="shared" si="53"/>
        <v>0.21739130434782608</v>
      </c>
      <c r="BC5" s="5">
        <f t="shared" si="54"/>
        <v>3.42</v>
      </c>
      <c r="BD5" s="5">
        <f t="shared" si="55"/>
        <v>0.14869565217391303</v>
      </c>
      <c r="BE5" s="199">
        <f t="shared" si="56"/>
        <v>0.625</v>
      </c>
      <c r="BF5" s="21">
        <f t="shared" si="57"/>
        <v>0.16666666666666666</v>
      </c>
      <c r="BG5" s="6">
        <f t="shared" si="58"/>
        <v>3</v>
      </c>
      <c r="BH5" s="5">
        <f t="shared" si="59"/>
        <v>0.13043478260869565</v>
      </c>
      <c r="BI5" s="6">
        <f t="shared" si="60"/>
        <v>2</v>
      </c>
      <c r="BJ5" s="5">
        <f t="shared" si="61"/>
        <v>8.6956521739130432E-2</v>
      </c>
      <c r="BK5" s="20">
        <f t="shared" si="62"/>
        <v>0.66666666666666663</v>
      </c>
      <c r="BL5" s="20">
        <f t="shared" si="63"/>
        <v>0.1016260162601626</v>
      </c>
      <c r="BM5" s="6">
        <f t="shared" si="64"/>
        <v>25</v>
      </c>
      <c r="BN5" s="5">
        <f t="shared" si="65"/>
        <v>1.0869565217391304</v>
      </c>
      <c r="BO5" s="328">
        <f t="shared" si="66"/>
        <v>0</v>
      </c>
      <c r="BP5" s="329">
        <f t="shared" si="67"/>
        <v>0</v>
      </c>
      <c r="BQ5" s="6">
        <f t="shared" si="68"/>
        <v>55.199999999999996</v>
      </c>
      <c r="BR5" s="5">
        <f t="shared" si="69"/>
        <v>2.4</v>
      </c>
      <c r="BS5" s="6">
        <f t="shared" si="70"/>
        <v>289.8</v>
      </c>
      <c r="BT5" s="5">
        <f t="shared" si="71"/>
        <v>12.6</v>
      </c>
      <c r="BU5" s="181">
        <f t="shared" si="72"/>
        <v>3</v>
      </c>
      <c r="BV5" s="154">
        <f t="shared" si="73"/>
        <v>0.13043478260869565</v>
      </c>
      <c r="BW5" s="181">
        <f t="shared" si="74"/>
        <v>2</v>
      </c>
      <c r="BX5" s="180">
        <f t="shared" si="75"/>
        <v>8.6956521739130432E-2</v>
      </c>
      <c r="BY5" s="181">
        <f t="shared" si="76"/>
        <v>1</v>
      </c>
      <c r="BZ5" s="154">
        <f t="shared" si="77"/>
        <v>4.3478260869565216E-2</v>
      </c>
      <c r="CA5" s="182">
        <f t="shared" si="78"/>
        <v>0.66666666666666663</v>
      </c>
      <c r="CB5" s="2">
        <f t="shared" si="79"/>
        <v>0</v>
      </c>
      <c r="CC5" s="2">
        <f t="shared" si="80"/>
        <v>0</v>
      </c>
      <c r="CD5" s="2">
        <f t="shared" si="81"/>
        <v>0</v>
      </c>
      <c r="CE5" s="2">
        <f t="shared" si="82"/>
        <v>14</v>
      </c>
      <c r="CF5" s="6">
        <f t="shared" si="83"/>
        <v>0</v>
      </c>
      <c r="CG5" s="6">
        <f t="shared" si="84"/>
        <v>700.75800000000004</v>
      </c>
      <c r="CH5" s="6">
        <f t="shared" si="85"/>
        <v>543</v>
      </c>
      <c r="CI5" s="20">
        <f t="shared" si="86"/>
        <v>0.77487520656203701</v>
      </c>
      <c r="CJ5" s="133">
        <f t="shared" si="87"/>
        <v>991</v>
      </c>
      <c r="CK5" s="5">
        <f t="shared" si="88"/>
        <v>6.77</v>
      </c>
      <c r="CL5" s="299"/>
      <c r="CM5" s="295" t="s">
        <v>1019</v>
      </c>
      <c r="CN5" s="295" t="s">
        <v>1000</v>
      </c>
      <c r="CO5" s="295">
        <v>29</v>
      </c>
      <c r="CP5" s="295" t="s">
        <v>1020</v>
      </c>
      <c r="CQ5" s="295" t="s">
        <v>765</v>
      </c>
      <c r="CR5" s="295" t="s">
        <v>643</v>
      </c>
      <c r="CS5" s="295" t="s">
        <v>1021</v>
      </c>
      <c r="CT5" s="295" t="s">
        <v>549</v>
      </c>
      <c r="CU5" s="296">
        <v>46934</v>
      </c>
      <c r="CV5" s="295">
        <v>2</v>
      </c>
      <c r="CW5" s="295">
        <v>2070</v>
      </c>
      <c r="CX5" s="295">
        <v>25</v>
      </c>
      <c r="CY5" s="295">
        <v>26</v>
      </c>
      <c r="CZ5" s="295">
        <v>14</v>
      </c>
      <c r="DA5" s="295">
        <v>48</v>
      </c>
      <c r="DB5" s="295">
        <v>0</v>
      </c>
      <c r="DC5" s="295">
        <v>2.4</v>
      </c>
      <c r="DD5" s="295">
        <v>12.6</v>
      </c>
      <c r="DE5" s="295">
        <v>8</v>
      </c>
      <c r="DF5" s="295">
        <v>0</v>
      </c>
      <c r="DG5" s="295">
        <v>0</v>
      </c>
      <c r="DH5" s="295">
        <v>0</v>
      </c>
      <c r="DI5" s="295">
        <v>14</v>
      </c>
      <c r="DJ5" s="295">
        <v>0</v>
      </c>
      <c r="DK5" s="295">
        <v>0</v>
      </c>
      <c r="DL5" s="295">
        <v>549</v>
      </c>
      <c r="DM5" s="295">
        <v>451</v>
      </c>
      <c r="DN5" s="295">
        <v>5</v>
      </c>
      <c r="DO5" s="295">
        <v>0</v>
      </c>
      <c r="DP5" s="295">
        <v>0</v>
      </c>
      <c r="DQ5" s="295">
        <v>3</v>
      </c>
      <c r="DR5" s="295">
        <v>2</v>
      </c>
      <c r="DS5" s="295">
        <v>0</v>
      </c>
      <c r="DT5" s="295">
        <v>3</v>
      </c>
      <c r="DU5" s="295">
        <v>2</v>
      </c>
      <c r="DV5" s="300">
        <v>6.77</v>
      </c>
    </row>
    <row r="6" spans="1:126" ht="24.95" customHeight="1" thickBot="1" x14ac:dyDescent="0.3">
      <c r="A6" s="29" t="str">
        <f t="shared" si="0"/>
        <v>5º</v>
      </c>
      <c r="B6" s="69" t="str">
        <f t="shared" si="1"/>
        <v>Gabriel Batista</v>
      </c>
      <c r="C6" s="268" t="str">
        <f t="shared" si="2"/>
        <v>BRA</v>
      </c>
      <c r="D6" s="99" t="str">
        <f t="shared" si="3"/>
        <v>Pé Direito</v>
      </c>
      <c r="E6" s="28" t="str">
        <f t="shared" si="4"/>
        <v>Santa Clara</v>
      </c>
      <c r="F6" s="169">
        <f t="shared" si="5"/>
        <v>27</v>
      </c>
      <c r="G6" s="2" t="str">
        <f t="shared" si="6"/>
        <v>110m € - 1,1M €</v>
      </c>
      <c r="H6" s="154">
        <f t="shared" si="7"/>
        <v>1.9</v>
      </c>
      <c r="I6" s="64">
        <f t="shared" si="8"/>
        <v>46934</v>
      </c>
      <c r="J6" s="303" t="str">
        <f t="shared" si="9"/>
        <v>10m € p/m</v>
      </c>
      <c r="K6" s="96">
        <f t="shared" si="10"/>
        <v>21.086666666666666</v>
      </c>
      <c r="L6" s="146">
        <f t="shared" si="11"/>
        <v>34</v>
      </c>
      <c r="M6" s="6">
        <f t="shared" si="12"/>
        <v>2</v>
      </c>
      <c r="N6" s="5">
        <f t="shared" si="13"/>
        <v>1530</v>
      </c>
      <c r="O6" s="21">
        <f t="shared" si="14"/>
        <v>5.8823529411764705E-2</v>
      </c>
      <c r="P6" s="2">
        <f t="shared" si="15"/>
        <v>819</v>
      </c>
      <c r="Q6" s="2">
        <f t="shared" si="16"/>
        <v>681</v>
      </c>
      <c r="R6" s="5">
        <f t="shared" si="17"/>
        <v>20.029411764705884</v>
      </c>
      <c r="S6" s="2">
        <f t="shared" si="18"/>
        <v>138</v>
      </c>
      <c r="T6" s="2">
        <f t="shared" si="19"/>
        <v>543</v>
      </c>
      <c r="U6" s="102">
        <f t="shared" si="20"/>
        <v>0.16849816849816851</v>
      </c>
      <c r="V6" s="102">
        <f t="shared" si="21"/>
        <v>0.83150183150183155</v>
      </c>
      <c r="W6" s="6">
        <f t="shared" si="22"/>
        <v>819</v>
      </c>
      <c r="X6" s="5">
        <f t="shared" si="23"/>
        <v>24.088235294117649</v>
      </c>
      <c r="Y6" s="6">
        <f t="shared" si="24"/>
        <v>0</v>
      </c>
      <c r="Z6" s="5">
        <f t="shared" si="25"/>
        <v>0</v>
      </c>
      <c r="AA6" s="21">
        <f t="shared" si="26"/>
        <v>0</v>
      </c>
      <c r="AB6" s="6">
        <f t="shared" si="27"/>
        <v>0</v>
      </c>
      <c r="AC6" s="5">
        <f t="shared" si="28"/>
        <v>0</v>
      </c>
      <c r="AD6" s="6">
        <f t="shared" si="29"/>
        <v>22</v>
      </c>
      <c r="AE6" s="5">
        <f t="shared" si="30"/>
        <v>0.6470588235294118</v>
      </c>
      <c r="AF6" s="21">
        <f t="shared" si="31"/>
        <v>0.20754716981132076</v>
      </c>
      <c r="AG6" s="6">
        <f t="shared" si="32"/>
        <v>15</v>
      </c>
      <c r="AH6" s="5">
        <f t="shared" si="33"/>
        <v>0.44117647058823528</v>
      </c>
      <c r="AI6" s="21">
        <f t="shared" si="34"/>
        <v>0.14150943396226415</v>
      </c>
      <c r="AJ6" s="6">
        <f t="shared" si="35"/>
        <v>69</v>
      </c>
      <c r="AK6" s="5">
        <f t="shared" si="36"/>
        <v>3.4449339207048455</v>
      </c>
      <c r="AL6" s="21">
        <f t="shared" si="37"/>
        <v>0.65094339622641506</v>
      </c>
      <c r="AM6" s="21">
        <f t="shared" si="38"/>
        <v>0.11764705882352941</v>
      </c>
      <c r="AN6" s="6">
        <f t="shared" si="39"/>
        <v>4</v>
      </c>
      <c r="AO6" s="5">
        <f t="shared" si="40"/>
        <v>0.11764705882352941</v>
      </c>
      <c r="AP6" s="6">
        <f t="shared" si="41"/>
        <v>106</v>
      </c>
      <c r="AQ6" s="5">
        <f t="shared" si="42"/>
        <v>3.1176470588235294</v>
      </c>
      <c r="AR6" s="2">
        <f t="shared" si="43"/>
        <v>154</v>
      </c>
      <c r="AS6" s="5">
        <f t="shared" si="44"/>
        <v>4.5294117647058822</v>
      </c>
      <c r="AT6" s="21">
        <f t="shared" si="45"/>
        <v>0.68831168831168832</v>
      </c>
      <c r="AU6" s="20">
        <f t="shared" si="46"/>
        <v>0.64393939393939392</v>
      </c>
      <c r="AV6" s="20">
        <f t="shared" si="47"/>
        <v>0.31168831168831174</v>
      </c>
      <c r="AW6" s="199">
        <f t="shared" si="48"/>
        <v>1.0097402597402598</v>
      </c>
      <c r="AX6" s="24">
        <f t="shared" si="49"/>
        <v>63.75</v>
      </c>
      <c r="AY6" s="5">
        <f t="shared" si="50"/>
        <v>3.2083333333333335</v>
      </c>
      <c r="AZ6" s="5">
        <f t="shared" si="51"/>
        <v>2.75</v>
      </c>
      <c r="BA6" s="5">
        <f t="shared" si="52"/>
        <v>5.0199999999999996</v>
      </c>
      <c r="BB6" s="5">
        <f t="shared" si="53"/>
        <v>0.14764705882352941</v>
      </c>
      <c r="BC6" s="5">
        <f t="shared" si="54"/>
        <v>4.2299999999999995</v>
      </c>
      <c r="BD6" s="5">
        <f t="shared" si="55"/>
        <v>0.12441176470588233</v>
      </c>
      <c r="BE6" s="199">
        <f t="shared" si="56"/>
        <v>1.2549999999999999</v>
      </c>
      <c r="BF6" s="21">
        <f t="shared" si="57"/>
        <v>9.4681252357600901E-2</v>
      </c>
      <c r="BG6" s="6">
        <f t="shared" si="58"/>
        <v>4</v>
      </c>
      <c r="BH6" s="5">
        <f t="shared" si="59"/>
        <v>0.11764705882352941</v>
      </c>
      <c r="BI6" s="6">
        <f t="shared" si="60"/>
        <v>1</v>
      </c>
      <c r="BJ6" s="5">
        <f t="shared" si="61"/>
        <v>2.9411764705882353E-2</v>
      </c>
      <c r="BK6" s="20">
        <f t="shared" si="62"/>
        <v>0.25</v>
      </c>
      <c r="BL6" s="20">
        <f t="shared" si="63"/>
        <v>0.1951219512195122</v>
      </c>
      <c r="BM6" s="6">
        <f t="shared" si="64"/>
        <v>48</v>
      </c>
      <c r="BN6" s="5">
        <f t="shared" si="65"/>
        <v>1.411764705882353</v>
      </c>
      <c r="BO6" s="328">
        <f t="shared" si="66"/>
        <v>0</v>
      </c>
      <c r="BP6" s="329">
        <f t="shared" si="67"/>
        <v>0</v>
      </c>
      <c r="BQ6" s="6">
        <f t="shared" si="68"/>
        <v>129.19999999999999</v>
      </c>
      <c r="BR6" s="5">
        <f t="shared" si="69"/>
        <v>3.8</v>
      </c>
      <c r="BS6" s="6">
        <f t="shared" si="70"/>
        <v>193.8</v>
      </c>
      <c r="BT6" s="5">
        <f t="shared" si="71"/>
        <v>5.7</v>
      </c>
      <c r="BU6" s="181">
        <f t="shared" si="72"/>
        <v>5</v>
      </c>
      <c r="BV6" s="154">
        <f t="shared" si="73"/>
        <v>0.14705882352941177</v>
      </c>
      <c r="BW6" s="181">
        <f t="shared" si="74"/>
        <v>1</v>
      </c>
      <c r="BX6" s="180">
        <f t="shared" si="75"/>
        <v>2.9411764705882353E-2</v>
      </c>
      <c r="BY6" s="181">
        <f t="shared" si="76"/>
        <v>4</v>
      </c>
      <c r="BZ6" s="154">
        <f t="shared" si="77"/>
        <v>0.11764705882352941</v>
      </c>
      <c r="CA6" s="182">
        <f t="shared" si="78"/>
        <v>0.2</v>
      </c>
      <c r="CB6" s="2">
        <f t="shared" si="79"/>
        <v>1</v>
      </c>
      <c r="CC6" s="2">
        <f t="shared" si="80"/>
        <v>0</v>
      </c>
      <c r="CD6" s="2">
        <f t="shared" si="81"/>
        <v>1</v>
      </c>
      <c r="CE6" s="2">
        <f t="shared" si="82"/>
        <v>11</v>
      </c>
      <c r="CF6" s="6">
        <f t="shared" si="83"/>
        <v>1</v>
      </c>
      <c r="CG6" s="6">
        <f t="shared" si="84"/>
        <v>997.58100000000002</v>
      </c>
      <c r="CH6" s="6">
        <f t="shared" si="85"/>
        <v>789</v>
      </c>
      <c r="CI6" s="20">
        <f t="shared" si="86"/>
        <v>0.79091321907694712</v>
      </c>
      <c r="CJ6" s="133">
        <f t="shared" si="87"/>
        <v>991</v>
      </c>
      <c r="CK6" s="5">
        <f t="shared" si="88"/>
        <v>6.59</v>
      </c>
      <c r="CL6" s="301"/>
      <c r="CM6" s="297" t="s">
        <v>13</v>
      </c>
      <c r="CN6" s="297" t="s">
        <v>999</v>
      </c>
      <c r="CO6" s="297">
        <v>27</v>
      </c>
      <c r="CP6" s="297" t="s">
        <v>1022</v>
      </c>
      <c r="CQ6" s="297" t="s">
        <v>911</v>
      </c>
      <c r="CR6" s="297" t="s">
        <v>643</v>
      </c>
      <c r="CS6" s="297" t="s">
        <v>932</v>
      </c>
      <c r="CT6" s="297" t="s">
        <v>681</v>
      </c>
      <c r="CU6" s="298">
        <v>46934</v>
      </c>
      <c r="CV6" s="297">
        <v>2</v>
      </c>
      <c r="CW6" s="297">
        <v>3060</v>
      </c>
      <c r="CX6" s="297">
        <v>48</v>
      </c>
      <c r="CY6" s="297">
        <v>22</v>
      </c>
      <c r="CZ6" s="297">
        <v>15</v>
      </c>
      <c r="DA6" s="297">
        <v>69</v>
      </c>
      <c r="DB6" s="297">
        <v>0</v>
      </c>
      <c r="DC6" s="297">
        <v>3.8</v>
      </c>
      <c r="DD6" s="297">
        <v>5.7</v>
      </c>
      <c r="DE6" s="297">
        <v>4</v>
      </c>
      <c r="DF6" s="297">
        <v>1</v>
      </c>
      <c r="DG6" s="297">
        <v>0</v>
      </c>
      <c r="DH6" s="297">
        <v>1</v>
      </c>
      <c r="DI6" s="297">
        <v>11</v>
      </c>
      <c r="DJ6" s="297">
        <v>0</v>
      </c>
      <c r="DK6" s="297">
        <v>0</v>
      </c>
      <c r="DL6" s="297">
        <v>819</v>
      </c>
      <c r="DM6" s="297">
        <v>681</v>
      </c>
      <c r="DN6" s="297" t="s">
        <v>933</v>
      </c>
      <c r="DO6" s="297">
        <v>0</v>
      </c>
      <c r="DP6" s="297">
        <v>0</v>
      </c>
      <c r="DQ6" s="297">
        <v>4</v>
      </c>
      <c r="DR6" s="297">
        <v>1</v>
      </c>
      <c r="DS6" s="297">
        <v>0</v>
      </c>
      <c r="DT6" s="297">
        <v>4</v>
      </c>
      <c r="DU6" s="297">
        <v>1</v>
      </c>
      <c r="DV6" s="302">
        <v>6.59</v>
      </c>
    </row>
    <row r="7" spans="1:126" ht="24.95" customHeight="1" thickBot="1" x14ac:dyDescent="0.3">
      <c r="A7" s="29" t="str">
        <f t="shared" si="0"/>
        <v>6º</v>
      </c>
      <c r="B7" s="69" t="str">
        <f t="shared" si="1"/>
        <v>Grégoire Coudert</v>
      </c>
      <c r="C7" s="268" t="str">
        <f t="shared" si="2"/>
        <v>FRA</v>
      </c>
      <c r="D7" s="99" t="str">
        <f t="shared" si="3"/>
        <v>Pé Esquerdo</v>
      </c>
      <c r="E7" s="28" t="str">
        <f t="shared" si="4"/>
        <v>Brest</v>
      </c>
      <c r="F7" s="169">
        <f t="shared" si="5"/>
        <v>26</v>
      </c>
      <c r="G7" s="2" t="str">
        <f t="shared" si="6"/>
        <v>210m € - 2,1M €</v>
      </c>
      <c r="H7" s="154">
        <f t="shared" si="7"/>
        <v>1.9</v>
      </c>
      <c r="I7" s="64">
        <f t="shared" si="8"/>
        <v>46568</v>
      </c>
      <c r="J7" s="303" t="str">
        <f t="shared" si="9"/>
        <v>15m € p/m</v>
      </c>
      <c r="K7" s="96">
        <f t="shared" si="10"/>
        <v>21.086666666666666</v>
      </c>
      <c r="L7" s="146">
        <f t="shared" si="11"/>
        <v>12.8</v>
      </c>
      <c r="M7" s="6">
        <f t="shared" si="12"/>
        <v>0</v>
      </c>
      <c r="N7" s="5">
        <f t="shared" si="13"/>
        <v>5400</v>
      </c>
      <c r="O7" s="21">
        <f t="shared" si="14"/>
        <v>0</v>
      </c>
      <c r="P7" s="2">
        <f t="shared" si="15"/>
        <v>306</v>
      </c>
      <c r="Q7" s="2">
        <f t="shared" si="16"/>
        <v>239</v>
      </c>
      <c r="R7" s="5">
        <f t="shared" si="17"/>
        <v>18.671875</v>
      </c>
      <c r="S7" s="2">
        <f t="shared" si="18"/>
        <v>67</v>
      </c>
      <c r="T7" s="2">
        <f t="shared" si="19"/>
        <v>172</v>
      </c>
      <c r="U7" s="102">
        <f t="shared" si="20"/>
        <v>0.21895424836601307</v>
      </c>
      <c r="V7" s="102">
        <f t="shared" si="21"/>
        <v>0.78104575163398693</v>
      </c>
      <c r="W7" s="6">
        <f t="shared" si="22"/>
        <v>306</v>
      </c>
      <c r="X7" s="5">
        <f t="shared" si="23"/>
        <v>23.90625</v>
      </c>
      <c r="Y7" s="6">
        <f t="shared" si="24"/>
        <v>0</v>
      </c>
      <c r="Z7" s="5">
        <f t="shared" si="25"/>
        <v>0</v>
      </c>
      <c r="AA7" s="21">
        <f t="shared" si="26"/>
        <v>0</v>
      </c>
      <c r="AB7" s="6">
        <f t="shared" si="27"/>
        <v>0</v>
      </c>
      <c r="AC7" s="5">
        <f t="shared" si="28"/>
        <v>0</v>
      </c>
      <c r="AD7" s="6">
        <f t="shared" si="29"/>
        <v>13</v>
      </c>
      <c r="AE7" s="5">
        <f t="shared" si="30"/>
        <v>1.015625</v>
      </c>
      <c r="AF7" s="21">
        <f t="shared" si="31"/>
        <v>0.35135135135135137</v>
      </c>
      <c r="AG7" s="6">
        <f t="shared" si="32"/>
        <v>3</v>
      </c>
      <c r="AH7" s="5">
        <f t="shared" si="33"/>
        <v>0.234375</v>
      </c>
      <c r="AI7" s="21">
        <f t="shared" si="34"/>
        <v>8.1081081081081086E-2</v>
      </c>
      <c r="AJ7" s="6">
        <f t="shared" si="35"/>
        <v>21</v>
      </c>
      <c r="AK7" s="5">
        <f t="shared" si="36"/>
        <v>1.1246861924686193</v>
      </c>
      <c r="AL7" s="21">
        <f t="shared" si="37"/>
        <v>0.56756756756756754</v>
      </c>
      <c r="AM7" s="21">
        <f t="shared" si="38"/>
        <v>0.46875</v>
      </c>
      <c r="AN7" s="6">
        <f t="shared" si="39"/>
        <v>6</v>
      </c>
      <c r="AO7" s="5">
        <f t="shared" si="40"/>
        <v>0.46875</v>
      </c>
      <c r="AP7" s="6">
        <f t="shared" si="41"/>
        <v>37</v>
      </c>
      <c r="AQ7" s="5">
        <f t="shared" si="42"/>
        <v>2.890625</v>
      </c>
      <c r="AR7" s="2">
        <f t="shared" si="43"/>
        <v>48</v>
      </c>
      <c r="AS7" s="5">
        <f t="shared" si="44"/>
        <v>3.75</v>
      </c>
      <c r="AT7" s="21">
        <f t="shared" si="45"/>
        <v>0.77083333333333337</v>
      </c>
      <c r="AU7" s="20">
        <f t="shared" si="46"/>
        <v>0.68571428571428572</v>
      </c>
      <c r="AV7" s="20">
        <f t="shared" si="47"/>
        <v>0.22916666666666666</v>
      </c>
      <c r="AW7" s="199">
        <f t="shared" si="48"/>
        <v>1.0520833333333333</v>
      </c>
      <c r="AX7" s="24">
        <f t="shared" si="49"/>
        <v>104.72727272727273</v>
      </c>
      <c r="AY7" s="5">
        <f t="shared" si="50"/>
        <v>4.3636363636363633</v>
      </c>
      <c r="AZ7" s="5">
        <f t="shared" si="51"/>
        <v>3.1818181818181817</v>
      </c>
      <c r="BA7" s="5">
        <f t="shared" si="52"/>
        <v>4.8600000000000003</v>
      </c>
      <c r="BB7" s="5">
        <f t="shared" si="53"/>
        <v>0.37968750000000001</v>
      </c>
      <c r="BC7" s="5">
        <f t="shared" si="54"/>
        <v>4.8600000000000003</v>
      </c>
      <c r="BD7" s="5">
        <f t="shared" si="55"/>
        <v>0.37968750000000001</v>
      </c>
      <c r="BE7" s="199">
        <f t="shared" si="56"/>
        <v>0.81</v>
      </c>
      <c r="BF7" s="21">
        <f t="shared" si="57"/>
        <v>0.30643127364438844</v>
      </c>
      <c r="BG7" s="6">
        <f t="shared" si="58"/>
        <v>2</v>
      </c>
      <c r="BH7" s="5">
        <f t="shared" si="59"/>
        <v>0.15625</v>
      </c>
      <c r="BI7" s="6">
        <f t="shared" si="60"/>
        <v>0</v>
      </c>
      <c r="BJ7" s="5">
        <f t="shared" si="61"/>
        <v>0</v>
      </c>
      <c r="BK7" s="20">
        <f t="shared" si="62"/>
        <v>0</v>
      </c>
      <c r="BL7" s="20">
        <f t="shared" si="63"/>
        <v>4.4715447154471545E-2</v>
      </c>
      <c r="BM7" s="6">
        <f t="shared" si="64"/>
        <v>11</v>
      </c>
      <c r="BN7" s="5">
        <f t="shared" si="65"/>
        <v>0.859375</v>
      </c>
      <c r="BO7" s="328">
        <f t="shared" si="66"/>
        <v>0</v>
      </c>
      <c r="BP7" s="329">
        <f t="shared" si="67"/>
        <v>0</v>
      </c>
      <c r="BQ7" s="6">
        <f t="shared" si="68"/>
        <v>57.6</v>
      </c>
      <c r="BR7" s="5">
        <f t="shared" si="69"/>
        <v>4.5</v>
      </c>
      <c r="BS7" s="6">
        <f t="shared" si="70"/>
        <v>89.600000000000009</v>
      </c>
      <c r="BT7" s="5">
        <f t="shared" si="71"/>
        <v>7</v>
      </c>
      <c r="BU7" s="181">
        <f t="shared" si="72"/>
        <v>2</v>
      </c>
      <c r="BV7" s="154">
        <f t="shared" si="73"/>
        <v>0.15625</v>
      </c>
      <c r="BW7" s="181">
        <f t="shared" si="74"/>
        <v>0</v>
      </c>
      <c r="BX7" s="180">
        <f t="shared" si="75"/>
        <v>0</v>
      </c>
      <c r="BY7" s="181">
        <f t="shared" si="76"/>
        <v>2</v>
      </c>
      <c r="BZ7" s="154">
        <f t="shared" si="77"/>
        <v>0.15625</v>
      </c>
      <c r="CA7" s="182">
        <f t="shared" si="78"/>
        <v>0</v>
      </c>
      <c r="CB7" s="2">
        <f t="shared" si="79"/>
        <v>0</v>
      </c>
      <c r="CC7" s="2">
        <f t="shared" si="80"/>
        <v>0</v>
      </c>
      <c r="CD7" s="2">
        <f t="shared" si="81"/>
        <v>0</v>
      </c>
      <c r="CE7" s="2">
        <f t="shared" si="82"/>
        <v>1</v>
      </c>
      <c r="CF7" s="6">
        <f t="shared" si="83"/>
        <v>0</v>
      </c>
      <c r="CG7" s="6">
        <f t="shared" si="84"/>
        <v>379.31</v>
      </c>
      <c r="CH7" s="6">
        <f t="shared" si="85"/>
        <v>276</v>
      </c>
      <c r="CI7" s="20">
        <f t="shared" si="86"/>
        <v>0.72763702512456829</v>
      </c>
      <c r="CJ7" s="133">
        <f t="shared" si="87"/>
        <v>991</v>
      </c>
      <c r="CK7" s="5">
        <f t="shared" si="88"/>
        <v>6.82</v>
      </c>
      <c r="CL7" s="301"/>
      <c r="CM7" s="297" t="s">
        <v>998</v>
      </c>
      <c r="CN7" s="297" t="s">
        <v>1035</v>
      </c>
      <c r="CO7" s="297">
        <v>26</v>
      </c>
      <c r="CP7" s="297" t="s">
        <v>1036</v>
      </c>
      <c r="CQ7" s="297" t="s">
        <v>687</v>
      </c>
      <c r="CR7" s="297" t="s">
        <v>651</v>
      </c>
      <c r="CS7" s="297" t="s">
        <v>640</v>
      </c>
      <c r="CT7" s="297" t="s">
        <v>681</v>
      </c>
      <c r="CU7" s="298">
        <v>46568</v>
      </c>
      <c r="CV7" s="297">
        <v>0</v>
      </c>
      <c r="CW7" s="297">
        <v>1152</v>
      </c>
      <c r="CX7" s="297">
        <v>11</v>
      </c>
      <c r="CY7" s="297">
        <v>13</v>
      </c>
      <c r="CZ7" s="297">
        <v>3</v>
      </c>
      <c r="DA7" s="297">
        <v>21</v>
      </c>
      <c r="DB7" s="297">
        <v>0</v>
      </c>
      <c r="DC7" s="297">
        <v>4.5</v>
      </c>
      <c r="DD7" s="297">
        <v>7</v>
      </c>
      <c r="DE7" s="297">
        <v>6</v>
      </c>
      <c r="DF7" s="297">
        <v>0</v>
      </c>
      <c r="DG7" s="297">
        <v>0</v>
      </c>
      <c r="DH7" s="297">
        <v>0</v>
      </c>
      <c r="DI7" s="297">
        <v>1</v>
      </c>
      <c r="DJ7" s="297">
        <v>0</v>
      </c>
      <c r="DK7" s="297">
        <v>0</v>
      </c>
      <c r="DL7" s="297">
        <v>306</v>
      </c>
      <c r="DM7" s="297">
        <v>239</v>
      </c>
      <c r="DN7" s="297" t="s">
        <v>1037</v>
      </c>
      <c r="DO7" s="297">
        <v>0</v>
      </c>
      <c r="DP7" s="297">
        <v>0</v>
      </c>
      <c r="DQ7" s="297">
        <v>2</v>
      </c>
      <c r="DR7" s="297">
        <v>0</v>
      </c>
      <c r="DS7" s="297">
        <v>0</v>
      </c>
      <c r="DT7" s="297">
        <v>2</v>
      </c>
      <c r="DU7" s="297">
        <v>0</v>
      </c>
      <c r="DV7" s="302">
        <v>6.82</v>
      </c>
    </row>
    <row r="8" spans="1:126" ht="24.95" customHeight="1" thickBot="1" x14ac:dyDescent="0.3">
      <c r="A8" s="29" t="str">
        <f t="shared" si="0"/>
        <v>7º</v>
      </c>
      <c r="B8" s="69" t="str">
        <f t="shared" si="1"/>
        <v>Hervé Koffi</v>
      </c>
      <c r="C8" s="268" t="str">
        <f t="shared" si="2"/>
        <v>BFA</v>
      </c>
      <c r="D8" s="99" t="str">
        <f t="shared" si="3"/>
        <v>Somente Pé Direito</v>
      </c>
      <c r="E8" s="28" t="str">
        <f t="shared" si="4"/>
        <v>Angers</v>
      </c>
      <c r="F8" s="169">
        <f t="shared" si="5"/>
        <v>29</v>
      </c>
      <c r="G8" s="2" t="str">
        <f t="shared" si="6"/>
        <v>2,1M € - 4,2M €</v>
      </c>
      <c r="H8" s="154">
        <f t="shared" si="7"/>
        <v>1.86</v>
      </c>
      <c r="I8" s="64">
        <f t="shared" si="8"/>
        <v>46934</v>
      </c>
      <c r="J8" s="303" t="str">
        <f t="shared" si="9"/>
        <v>60,5m € p/m</v>
      </c>
      <c r="K8" s="96">
        <f t="shared" si="10"/>
        <v>21.086666666666666</v>
      </c>
      <c r="L8" s="146">
        <f t="shared" si="11"/>
        <v>17</v>
      </c>
      <c r="M8" s="6">
        <f t="shared" si="12"/>
        <v>2</v>
      </c>
      <c r="N8" s="5">
        <f t="shared" si="13"/>
        <v>765</v>
      </c>
      <c r="O8" s="21">
        <f t="shared" si="14"/>
        <v>0.11764705882352941</v>
      </c>
      <c r="P8" s="2">
        <f t="shared" si="15"/>
        <v>412</v>
      </c>
      <c r="Q8" s="2">
        <f t="shared" si="16"/>
        <v>359</v>
      </c>
      <c r="R8" s="5">
        <f t="shared" si="17"/>
        <v>21.117647058823529</v>
      </c>
      <c r="S8" s="2">
        <f t="shared" si="18"/>
        <v>53</v>
      </c>
      <c r="T8" s="2">
        <f t="shared" si="19"/>
        <v>306</v>
      </c>
      <c r="U8" s="102">
        <f t="shared" si="20"/>
        <v>0.12864077669902912</v>
      </c>
      <c r="V8" s="102">
        <f t="shared" si="21"/>
        <v>0.87135922330097082</v>
      </c>
      <c r="W8" s="6">
        <f t="shared" si="22"/>
        <v>412</v>
      </c>
      <c r="X8" s="5">
        <f t="shared" si="23"/>
        <v>24.235294117647058</v>
      </c>
      <c r="Y8" s="6">
        <f t="shared" si="24"/>
        <v>0</v>
      </c>
      <c r="Z8" s="5">
        <f t="shared" si="25"/>
        <v>0</v>
      </c>
      <c r="AA8" s="21">
        <f t="shared" si="26"/>
        <v>0</v>
      </c>
      <c r="AB8" s="6">
        <f t="shared" si="27"/>
        <v>0</v>
      </c>
      <c r="AC8" s="5">
        <f t="shared" si="28"/>
        <v>0</v>
      </c>
      <c r="AD8" s="6">
        <f t="shared" si="29"/>
        <v>13</v>
      </c>
      <c r="AE8" s="5">
        <f t="shared" si="30"/>
        <v>0.76470588235294112</v>
      </c>
      <c r="AF8" s="21">
        <f t="shared" si="31"/>
        <v>0.19696969696969696</v>
      </c>
      <c r="AG8" s="6">
        <f t="shared" si="32"/>
        <v>14</v>
      </c>
      <c r="AH8" s="5">
        <f t="shared" si="33"/>
        <v>0.82352941176470584</v>
      </c>
      <c r="AI8" s="21">
        <f t="shared" si="34"/>
        <v>0.21212121212121213</v>
      </c>
      <c r="AJ8" s="6">
        <f t="shared" si="35"/>
        <v>39</v>
      </c>
      <c r="AK8" s="5">
        <f t="shared" si="36"/>
        <v>1.8467966573816157</v>
      </c>
      <c r="AL8" s="21">
        <f t="shared" si="37"/>
        <v>0.59090909090909094</v>
      </c>
      <c r="AM8" s="21">
        <f t="shared" si="38"/>
        <v>0.23529411764705882</v>
      </c>
      <c r="AN8" s="6">
        <f t="shared" si="39"/>
        <v>4</v>
      </c>
      <c r="AO8" s="5">
        <f t="shared" si="40"/>
        <v>0.23529411764705882</v>
      </c>
      <c r="AP8" s="6">
        <f t="shared" si="41"/>
        <v>66</v>
      </c>
      <c r="AQ8" s="5">
        <f t="shared" si="42"/>
        <v>3.8823529411764706</v>
      </c>
      <c r="AR8" s="2">
        <f t="shared" si="43"/>
        <v>80</v>
      </c>
      <c r="AS8" s="5">
        <f t="shared" si="44"/>
        <v>4.7058823529411766</v>
      </c>
      <c r="AT8" s="21">
        <f t="shared" si="45"/>
        <v>0.82499999999999996</v>
      </c>
      <c r="AU8" s="20">
        <f t="shared" si="46"/>
        <v>0.79104477611940294</v>
      </c>
      <c r="AV8" s="20">
        <f t="shared" si="47"/>
        <v>0.17499999999999999</v>
      </c>
      <c r="AW8" s="199">
        <f t="shared" si="48"/>
        <v>1.2437499999999999</v>
      </c>
      <c r="AX8" s="24">
        <f t="shared" si="49"/>
        <v>109.28571428571429</v>
      </c>
      <c r="AY8" s="5">
        <f t="shared" si="50"/>
        <v>5.7142857142857144</v>
      </c>
      <c r="AZ8" s="5">
        <f t="shared" si="51"/>
        <v>4.7857142857142856</v>
      </c>
      <c r="BA8" s="5">
        <f t="shared" si="52"/>
        <v>10.32</v>
      </c>
      <c r="BB8" s="5">
        <f t="shared" si="53"/>
        <v>0.60705882352941176</v>
      </c>
      <c r="BC8" s="5">
        <f t="shared" si="54"/>
        <v>10.32</v>
      </c>
      <c r="BD8" s="5">
        <f t="shared" si="55"/>
        <v>0.60705882352941176</v>
      </c>
      <c r="BE8" s="199">
        <f t="shared" si="56"/>
        <v>2.58</v>
      </c>
      <c r="BF8" s="21">
        <f t="shared" si="57"/>
        <v>0.42434210526315791</v>
      </c>
      <c r="BG8" s="6">
        <f t="shared" si="58"/>
        <v>1</v>
      </c>
      <c r="BH8" s="5">
        <f t="shared" si="59"/>
        <v>5.8823529411764705E-2</v>
      </c>
      <c r="BI8" s="6">
        <f t="shared" si="60"/>
        <v>0</v>
      </c>
      <c r="BJ8" s="5">
        <f t="shared" si="61"/>
        <v>0</v>
      </c>
      <c r="BK8" s="20">
        <f t="shared" si="62"/>
        <v>0</v>
      </c>
      <c r="BL8" s="20">
        <f t="shared" si="63"/>
        <v>5.6910569105691054E-2</v>
      </c>
      <c r="BM8" s="6">
        <f t="shared" si="64"/>
        <v>14</v>
      </c>
      <c r="BN8" s="5">
        <f t="shared" si="65"/>
        <v>0.82352941176470584</v>
      </c>
      <c r="BO8" s="328">
        <f t="shared" si="66"/>
        <v>0</v>
      </c>
      <c r="BP8" s="329">
        <f t="shared" si="67"/>
        <v>0</v>
      </c>
      <c r="BQ8" s="6">
        <f t="shared" si="68"/>
        <v>54.400000000000006</v>
      </c>
      <c r="BR8" s="5">
        <f t="shared" si="69"/>
        <v>3.2</v>
      </c>
      <c r="BS8" s="6">
        <f t="shared" si="70"/>
        <v>120.69999999999999</v>
      </c>
      <c r="BT8" s="5">
        <f t="shared" si="71"/>
        <v>7.1</v>
      </c>
      <c r="BU8" s="181">
        <f t="shared" si="72"/>
        <v>2</v>
      </c>
      <c r="BV8" s="154">
        <f t="shared" si="73"/>
        <v>0.11764705882352941</v>
      </c>
      <c r="BW8" s="181">
        <f t="shared" si="74"/>
        <v>0</v>
      </c>
      <c r="BX8" s="180">
        <f t="shared" si="75"/>
        <v>0</v>
      </c>
      <c r="BY8" s="181">
        <f t="shared" si="76"/>
        <v>2</v>
      </c>
      <c r="BZ8" s="154">
        <f t="shared" si="77"/>
        <v>0.11764705882352941</v>
      </c>
      <c r="CA8" s="182">
        <f t="shared" si="78"/>
        <v>0</v>
      </c>
      <c r="CB8" s="2">
        <f t="shared" si="79"/>
        <v>1</v>
      </c>
      <c r="CC8" s="2">
        <f t="shared" si="80"/>
        <v>0</v>
      </c>
      <c r="CD8" s="2">
        <f t="shared" si="81"/>
        <v>1</v>
      </c>
      <c r="CE8" s="2">
        <f t="shared" si="82"/>
        <v>5</v>
      </c>
      <c r="CF8" s="6">
        <f t="shared" si="83"/>
        <v>1</v>
      </c>
      <c r="CG8" s="6">
        <f t="shared" si="84"/>
        <v>512.44299999999998</v>
      </c>
      <c r="CH8" s="6">
        <f t="shared" si="85"/>
        <v>425</v>
      </c>
      <c r="CI8" s="20">
        <f t="shared" si="86"/>
        <v>0.8293605337569252</v>
      </c>
      <c r="CJ8" s="133">
        <f t="shared" si="87"/>
        <v>991</v>
      </c>
      <c r="CK8" s="5">
        <f t="shared" si="88"/>
        <v>6.78</v>
      </c>
      <c r="CL8" s="301"/>
      <c r="CM8" s="297" t="s">
        <v>1038</v>
      </c>
      <c r="CN8" s="297" t="s">
        <v>1005</v>
      </c>
      <c r="CO8" s="297">
        <v>29</v>
      </c>
      <c r="CP8" s="297" t="s">
        <v>1039</v>
      </c>
      <c r="CQ8" s="297" t="s">
        <v>991</v>
      </c>
      <c r="CR8" s="297" t="s">
        <v>644</v>
      </c>
      <c r="CS8" s="297" t="s">
        <v>1040</v>
      </c>
      <c r="CT8" s="297" t="s">
        <v>575</v>
      </c>
      <c r="CU8" s="298">
        <v>46934</v>
      </c>
      <c r="CV8" s="297">
        <v>2</v>
      </c>
      <c r="CW8" s="297">
        <v>1530</v>
      </c>
      <c r="CX8" s="297">
        <v>14</v>
      </c>
      <c r="CY8" s="297">
        <v>13</v>
      </c>
      <c r="CZ8" s="297">
        <v>14</v>
      </c>
      <c r="DA8" s="297">
        <v>39</v>
      </c>
      <c r="DB8" s="297">
        <v>0</v>
      </c>
      <c r="DC8" s="297">
        <v>3.2</v>
      </c>
      <c r="DD8" s="297">
        <v>7.1</v>
      </c>
      <c r="DE8" s="297">
        <v>4</v>
      </c>
      <c r="DF8" s="297">
        <v>1</v>
      </c>
      <c r="DG8" s="297">
        <v>0</v>
      </c>
      <c r="DH8" s="297">
        <v>1</v>
      </c>
      <c r="DI8" s="297">
        <v>5</v>
      </c>
      <c r="DJ8" s="297">
        <v>0</v>
      </c>
      <c r="DK8" s="297">
        <v>0</v>
      </c>
      <c r="DL8" s="297">
        <v>412</v>
      </c>
      <c r="DM8" s="297">
        <v>359</v>
      </c>
      <c r="DN8" s="297" t="s">
        <v>1041</v>
      </c>
      <c r="DO8" s="297">
        <v>0</v>
      </c>
      <c r="DP8" s="297">
        <v>0</v>
      </c>
      <c r="DQ8" s="297">
        <v>1</v>
      </c>
      <c r="DR8" s="297">
        <v>0</v>
      </c>
      <c r="DS8" s="297">
        <v>0</v>
      </c>
      <c r="DT8" s="297">
        <v>1</v>
      </c>
      <c r="DU8" s="297">
        <v>0</v>
      </c>
      <c r="DV8" s="302">
        <v>6.78</v>
      </c>
    </row>
    <row r="9" spans="1:126" ht="24.95" customHeight="1" thickBot="1" x14ac:dyDescent="0.3">
      <c r="A9" s="29" t="str">
        <f t="shared" si="0"/>
        <v>8º</v>
      </c>
      <c r="B9" s="69" t="str">
        <f t="shared" si="1"/>
        <v>Horaţiu Moldovan</v>
      </c>
      <c r="C9" s="268" t="str">
        <f t="shared" si="2"/>
        <v>ROU</v>
      </c>
      <c r="D9" s="99" t="str">
        <f t="shared" si="3"/>
        <v>Pé Direito</v>
      </c>
      <c r="E9" s="28" t="str">
        <f t="shared" si="4"/>
        <v>Real Oviedo</v>
      </c>
      <c r="F9" s="169">
        <f t="shared" si="5"/>
        <v>28</v>
      </c>
      <c r="G9" s="2" t="str">
        <f t="shared" si="6"/>
        <v>70m € - 700m €</v>
      </c>
      <c r="H9" s="154">
        <f t="shared" si="7"/>
        <v>1.89</v>
      </c>
      <c r="I9" s="64">
        <f t="shared" si="8"/>
        <v>46934</v>
      </c>
      <c r="J9" s="303" t="str">
        <f t="shared" si="9"/>
        <v>72m € p/m</v>
      </c>
      <c r="K9" s="96">
        <f t="shared" si="10"/>
        <v>21.086666666666666</v>
      </c>
      <c r="L9" s="146">
        <f t="shared" si="11"/>
        <v>18</v>
      </c>
      <c r="M9" s="6">
        <f t="shared" si="12"/>
        <v>1</v>
      </c>
      <c r="N9" s="5">
        <f t="shared" si="13"/>
        <v>1620</v>
      </c>
      <c r="O9" s="21">
        <f t="shared" si="14"/>
        <v>5.5555555555555552E-2</v>
      </c>
      <c r="P9" s="2">
        <f t="shared" si="15"/>
        <v>439</v>
      </c>
      <c r="Q9" s="2">
        <f t="shared" si="16"/>
        <v>320</v>
      </c>
      <c r="R9" s="5">
        <f t="shared" si="17"/>
        <v>17.777777777777779</v>
      </c>
      <c r="S9" s="2">
        <f t="shared" si="18"/>
        <v>119</v>
      </c>
      <c r="T9" s="2">
        <f t="shared" si="19"/>
        <v>201</v>
      </c>
      <c r="U9" s="102">
        <f t="shared" si="20"/>
        <v>0.27107061503416857</v>
      </c>
      <c r="V9" s="102">
        <f t="shared" si="21"/>
        <v>0.72892938496583148</v>
      </c>
      <c r="W9" s="6">
        <f t="shared" si="22"/>
        <v>439</v>
      </c>
      <c r="X9" s="5">
        <f t="shared" si="23"/>
        <v>24.388888888888889</v>
      </c>
      <c r="Y9" s="6">
        <f t="shared" si="24"/>
        <v>0</v>
      </c>
      <c r="Z9" s="5">
        <f t="shared" si="25"/>
        <v>0</v>
      </c>
      <c r="AA9" s="21">
        <f t="shared" si="26"/>
        <v>0</v>
      </c>
      <c r="AB9" s="6">
        <f t="shared" si="27"/>
        <v>0</v>
      </c>
      <c r="AC9" s="5">
        <f t="shared" si="28"/>
        <v>0</v>
      </c>
      <c r="AD9" s="6">
        <f t="shared" si="29"/>
        <v>14</v>
      </c>
      <c r="AE9" s="5">
        <f t="shared" si="30"/>
        <v>0.77777777777777779</v>
      </c>
      <c r="AF9" s="21">
        <f t="shared" si="31"/>
        <v>0.20289855072463769</v>
      </c>
      <c r="AG9" s="6">
        <f t="shared" si="32"/>
        <v>11</v>
      </c>
      <c r="AH9" s="5">
        <f t="shared" si="33"/>
        <v>0.61111111111111116</v>
      </c>
      <c r="AI9" s="21">
        <f t="shared" si="34"/>
        <v>0.15942028985507245</v>
      </c>
      <c r="AJ9" s="6">
        <f t="shared" si="35"/>
        <v>44</v>
      </c>
      <c r="AK9" s="5">
        <f t="shared" si="36"/>
        <v>2.4750000000000001</v>
      </c>
      <c r="AL9" s="21">
        <f t="shared" si="37"/>
        <v>0.6376811594202898</v>
      </c>
      <c r="AM9" s="21">
        <f t="shared" si="38"/>
        <v>0.16666666666666666</v>
      </c>
      <c r="AN9" s="6">
        <f t="shared" si="39"/>
        <v>3</v>
      </c>
      <c r="AO9" s="5">
        <f t="shared" si="40"/>
        <v>0.16666666666666666</v>
      </c>
      <c r="AP9" s="6">
        <f t="shared" si="41"/>
        <v>69</v>
      </c>
      <c r="AQ9" s="5">
        <f t="shared" si="42"/>
        <v>3.8333333333333335</v>
      </c>
      <c r="AR9" s="2">
        <f t="shared" si="43"/>
        <v>92</v>
      </c>
      <c r="AS9" s="5">
        <f t="shared" si="44"/>
        <v>5.1111111111111107</v>
      </c>
      <c r="AT9" s="21">
        <f t="shared" si="45"/>
        <v>0.75</v>
      </c>
      <c r="AU9" s="20">
        <f t="shared" si="46"/>
        <v>0.70512820512820518</v>
      </c>
      <c r="AV9" s="20">
        <f t="shared" si="47"/>
        <v>0.25</v>
      </c>
      <c r="AW9" s="199">
        <f t="shared" si="48"/>
        <v>1.1086956521739131</v>
      </c>
      <c r="AX9" s="24">
        <f t="shared" si="49"/>
        <v>70.434782608695656</v>
      </c>
      <c r="AY9" s="5">
        <f t="shared" si="50"/>
        <v>4</v>
      </c>
      <c r="AZ9" s="5">
        <f t="shared" si="51"/>
        <v>3.3913043478260869</v>
      </c>
      <c r="BA9" s="5">
        <f t="shared" si="52"/>
        <v>2.64</v>
      </c>
      <c r="BB9" s="5">
        <f t="shared" si="53"/>
        <v>0.14666666666666667</v>
      </c>
      <c r="BC9" s="5">
        <f t="shared" si="54"/>
        <v>2.64</v>
      </c>
      <c r="BD9" s="5">
        <f t="shared" si="55"/>
        <v>0.14666666666666667</v>
      </c>
      <c r="BE9" s="199">
        <f t="shared" si="56"/>
        <v>0.88</v>
      </c>
      <c r="BF9" s="21">
        <f t="shared" si="57"/>
        <v>0.10296411856474259</v>
      </c>
      <c r="BG9" s="6">
        <f t="shared" si="58"/>
        <v>2</v>
      </c>
      <c r="BH9" s="5">
        <f t="shared" si="59"/>
        <v>0.1111111111111111</v>
      </c>
      <c r="BI9" s="6">
        <f t="shared" si="60"/>
        <v>0</v>
      </c>
      <c r="BJ9" s="5">
        <f t="shared" si="61"/>
        <v>0</v>
      </c>
      <c r="BK9" s="20">
        <f t="shared" si="62"/>
        <v>0</v>
      </c>
      <c r="BL9" s="20">
        <f t="shared" si="63"/>
        <v>9.3495934959349589E-2</v>
      </c>
      <c r="BM9" s="6">
        <f t="shared" si="64"/>
        <v>23</v>
      </c>
      <c r="BN9" s="5">
        <f t="shared" si="65"/>
        <v>1.2777777777777777</v>
      </c>
      <c r="BO9" s="328">
        <f t="shared" si="66"/>
        <v>0</v>
      </c>
      <c r="BP9" s="329">
        <f t="shared" si="67"/>
        <v>0</v>
      </c>
      <c r="BQ9" s="6">
        <f t="shared" si="68"/>
        <v>46.800000000000004</v>
      </c>
      <c r="BR9" s="5">
        <f t="shared" si="69"/>
        <v>2.6</v>
      </c>
      <c r="BS9" s="6">
        <f t="shared" si="70"/>
        <v>176.4</v>
      </c>
      <c r="BT9" s="5">
        <f t="shared" si="71"/>
        <v>9.8000000000000007</v>
      </c>
      <c r="BU9" s="181">
        <f t="shared" si="72"/>
        <v>2</v>
      </c>
      <c r="BV9" s="154">
        <f t="shared" si="73"/>
        <v>0.1111111111111111</v>
      </c>
      <c r="BW9" s="181">
        <f t="shared" si="74"/>
        <v>0</v>
      </c>
      <c r="BX9" s="180">
        <f t="shared" si="75"/>
        <v>0</v>
      </c>
      <c r="BY9" s="181">
        <f t="shared" si="76"/>
        <v>2</v>
      </c>
      <c r="BZ9" s="154">
        <f t="shared" si="77"/>
        <v>0.1111111111111111</v>
      </c>
      <c r="CA9" s="182">
        <f t="shared" si="78"/>
        <v>0</v>
      </c>
      <c r="CB9" s="2">
        <f t="shared" si="79"/>
        <v>0</v>
      </c>
      <c r="CC9" s="2">
        <f t="shared" si="80"/>
        <v>0</v>
      </c>
      <c r="CD9" s="2">
        <f t="shared" si="81"/>
        <v>0</v>
      </c>
      <c r="CE9" s="2">
        <f t="shared" si="82"/>
        <v>2</v>
      </c>
      <c r="CF9" s="6">
        <f t="shared" si="83"/>
        <v>0</v>
      </c>
      <c r="CG9" s="6">
        <f t="shared" si="84"/>
        <v>554.03399999999999</v>
      </c>
      <c r="CH9" s="6">
        <f t="shared" si="85"/>
        <v>389</v>
      </c>
      <c r="CI9" s="20">
        <f t="shared" si="86"/>
        <v>0.70212297440229299</v>
      </c>
      <c r="CJ9" s="133">
        <f t="shared" si="87"/>
        <v>991</v>
      </c>
      <c r="CK9" s="5">
        <f t="shared" si="88"/>
        <v>6.61</v>
      </c>
      <c r="CL9" s="301"/>
      <c r="CM9" s="297" t="s">
        <v>1011</v>
      </c>
      <c r="CN9" s="297" t="s">
        <v>1007</v>
      </c>
      <c r="CO9" s="297">
        <v>28</v>
      </c>
      <c r="CP9" s="297" t="s">
        <v>1034</v>
      </c>
      <c r="CQ9" s="297" t="s">
        <v>967</v>
      </c>
      <c r="CR9" s="297" t="s">
        <v>643</v>
      </c>
      <c r="CS9" s="297" t="s">
        <v>815</v>
      </c>
      <c r="CT9" s="297" t="s">
        <v>593</v>
      </c>
      <c r="CU9" s="298">
        <v>46934</v>
      </c>
      <c r="CV9" s="297">
        <v>1</v>
      </c>
      <c r="CW9" s="297">
        <v>1620</v>
      </c>
      <c r="CX9" s="297">
        <v>23</v>
      </c>
      <c r="CY9" s="297">
        <v>14</v>
      </c>
      <c r="CZ9" s="297">
        <v>11</v>
      </c>
      <c r="DA9" s="297">
        <v>44</v>
      </c>
      <c r="DB9" s="297">
        <v>0</v>
      </c>
      <c r="DC9" s="297">
        <v>2.6</v>
      </c>
      <c r="DD9" s="297">
        <v>9.8000000000000007</v>
      </c>
      <c r="DE9" s="297">
        <v>3</v>
      </c>
      <c r="DF9" s="297">
        <v>0</v>
      </c>
      <c r="DG9" s="297">
        <v>0</v>
      </c>
      <c r="DH9" s="297">
        <v>0</v>
      </c>
      <c r="DI9" s="297">
        <v>2</v>
      </c>
      <c r="DJ9" s="297">
        <v>0</v>
      </c>
      <c r="DK9" s="297">
        <v>0</v>
      </c>
      <c r="DL9" s="297">
        <v>439</v>
      </c>
      <c r="DM9" s="297">
        <v>320</v>
      </c>
      <c r="DN9" s="297" t="s">
        <v>996</v>
      </c>
      <c r="DO9" s="297">
        <v>0</v>
      </c>
      <c r="DP9" s="297">
        <v>0</v>
      </c>
      <c r="DQ9" s="297">
        <v>2</v>
      </c>
      <c r="DR9" s="297">
        <v>0</v>
      </c>
      <c r="DS9" s="297">
        <v>0</v>
      </c>
      <c r="DT9" s="297">
        <v>2</v>
      </c>
      <c r="DU9" s="297">
        <v>0</v>
      </c>
      <c r="DV9" s="302">
        <v>6.61</v>
      </c>
    </row>
    <row r="10" spans="1:126" ht="24.95" customHeight="1" thickBot="1" x14ac:dyDescent="0.3">
      <c r="A10" s="29" t="str">
        <f t="shared" si="0"/>
        <v>9º</v>
      </c>
      <c r="B10" s="69" t="str">
        <f t="shared" si="1"/>
        <v>Martin Dúbravka</v>
      </c>
      <c r="C10" s="268" t="str">
        <f t="shared" si="2"/>
        <v>SVK</v>
      </c>
      <c r="D10" s="99" t="str">
        <f t="shared" si="3"/>
        <v>Pé Direito</v>
      </c>
      <c r="E10" s="28" t="str">
        <f t="shared" si="4"/>
        <v>Burnley</v>
      </c>
      <c r="F10" s="169">
        <f t="shared" si="5"/>
        <v>37</v>
      </c>
      <c r="G10" s="2" t="str">
        <f t="shared" si="6"/>
        <v>170m € - 1,7M €</v>
      </c>
      <c r="H10" s="154">
        <f t="shared" si="7"/>
        <v>1.9</v>
      </c>
      <c r="I10" s="64">
        <f t="shared" si="8"/>
        <v>46203</v>
      </c>
      <c r="J10" s="303" t="str">
        <f t="shared" si="9"/>
        <v>253m € p/m</v>
      </c>
      <c r="K10" s="96">
        <f t="shared" si="10"/>
        <v>21.086666666666666</v>
      </c>
      <c r="L10" s="146">
        <f t="shared" si="11"/>
        <v>23.644444444444446</v>
      </c>
      <c r="M10" s="6">
        <f t="shared" si="12"/>
        <v>1</v>
      </c>
      <c r="N10" s="5">
        <f t="shared" si="13"/>
        <v>2128</v>
      </c>
      <c r="O10" s="21">
        <f t="shared" si="14"/>
        <v>4.2293233082706765E-2</v>
      </c>
      <c r="P10" s="2">
        <f t="shared" si="15"/>
        <v>562</v>
      </c>
      <c r="Q10" s="2">
        <f t="shared" si="16"/>
        <v>471</v>
      </c>
      <c r="R10" s="5">
        <f t="shared" si="17"/>
        <v>19.920112781954884</v>
      </c>
      <c r="S10" s="2">
        <f t="shared" si="18"/>
        <v>91</v>
      </c>
      <c r="T10" s="2">
        <f t="shared" si="19"/>
        <v>380</v>
      </c>
      <c r="U10" s="102">
        <f t="shared" si="20"/>
        <v>0.16192170818505339</v>
      </c>
      <c r="V10" s="102">
        <f t="shared" si="21"/>
        <v>0.83807829181494664</v>
      </c>
      <c r="W10" s="6">
        <f t="shared" si="22"/>
        <v>562</v>
      </c>
      <c r="X10" s="5">
        <f t="shared" si="23"/>
        <v>23.768796992481203</v>
      </c>
      <c r="Y10" s="6">
        <f t="shared" si="24"/>
        <v>0</v>
      </c>
      <c r="Z10" s="5">
        <f t="shared" si="25"/>
        <v>0</v>
      </c>
      <c r="AA10" s="21">
        <f t="shared" si="26"/>
        <v>0</v>
      </c>
      <c r="AB10" s="6">
        <f t="shared" si="27"/>
        <v>0</v>
      </c>
      <c r="AC10" s="5">
        <f t="shared" si="28"/>
        <v>0</v>
      </c>
      <c r="AD10" s="6">
        <f t="shared" si="29"/>
        <v>20</v>
      </c>
      <c r="AE10" s="5">
        <f t="shared" si="30"/>
        <v>0.84586466165413532</v>
      </c>
      <c r="AF10" s="21">
        <f t="shared" si="31"/>
        <v>0.22988505747126436</v>
      </c>
      <c r="AG10" s="6">
        <f t="shared" si="32"/>
        <v>13</v>
      </c>
      <c r="AH10" s="5">
        <f t="shared" si="33"/>
        <v>0.54981203007518797</v>
      </c>
      <c r="AI10" s="21">
        <f t="shared" si="34"/>
        <v>0.14942528735632185</v>
      </c>
      <c r="AJ10" s="6">
        <f t="shared" si="35"/>
        <v>54</v>
      </c>
      <c r="AK10" s="5">
        <f t="shared" si="36"/>
        <v>2.7108280254777073</v>
      </c>
      <c r="AL10" s="21">
        <f t="shared" si="37"/>
        <v>0.62068965517241381</v>
      </c>
      <c r="AM10" s="21">
        <f t="shared" si="38"/>
        <v>0.12687969924812029</v>
      </c>
      <c r="AN10" s="6">
        <f t="shared" si="39"/>
        <v>3</v>
      </c>
      <c r="AO10" s="5">
        <f t="shared" si="40"/>
        <v>0.12687969924812029</v>
      </c>
      <c r="AP10" s="6">
        <f t="shared" si="41"/>
        <v>87</v>
      </c>
      <c r="AQ10" s="5">
        <f t="shared" si="42"/>
        <v>3.6795112781954886</v>
      </c>
      <c r="AR10" s="2">
        <f t="shared" si="43"/>
        <v>119</v>
      </c>
      <c r="AS10" s="5">
        <f t="shared" si="44"/>
        <v>5.0328947368421053</v>
      </c>
      <c r="AT10" s="21">
        <f t="shared" si="45"/>
        <v>0.73109243697478987</v>
      </c>
      <c r="AU10" s="20">
        <f t="shared" si="46"/>
        <v>0.6767676767676768</v>
      </c>
      <c r="AV10" s="20">
        <f t="shared" si="47"/>
        <v>0.26890756302521007</v>
      </c>
      <c r="AW10" s="199">
        <f t="shared" si="48"/>
        <v>1.0672268907563025</v>
      </c>
      <c r="AX10" s="24">
        <f t="shared" si="49"/>
        <v>66.5</v>
      </c>
      <c r="AY10" s="5">
        <f t="shared" si="50"/>
        <v>3.71875</v>
      </c>
      <c r="AZ10" s="5">
        <f t="shared" si="51"/>
        <v>3.09375</v>
      </c>
      <c r="BA10" s="5">
        <f t="shared" si="52"/>
        <v>2.74</v>
      </c>
      <c r="BB10" s="5">
        <f t="shared" si="53"/>
        <v>0.11588345864661655</v>
      </c>
      <c r="BC10" s="5">
        <f t="shared" si="54"/>
        <v>2.74</v>
      </c>
      <c r="BD10" s="5">
        <f t="shared" si="55"/>
        <v>0.11588345864661655</v>
      </c>
      <c r="BE10" s="199">
        <f t="shared" si="56"/>
        <v>0.91333333333333344</v>
      </c>
      <c r="BF10" s="21">
        <f t="shared" si="57"/>
        <v>7.8871617731721355E-2</v>
      </c>
      <c r="BG10" s="6">
        <f t="shared" si="58"/>
        <v>1</v>
      </c>
      <c r="BH10" s="5">
        <f t="shared" si="59"/>
        <v>4.2293233082706765E-2</v>
      </c>
      <c r="BI10" s="6">
        <f t="shared" si="60"/>
        <v>0</v>
      </c>
      <c r="BJ10" s="5">
        <f t="shared" si="61"/>
        <v>0</v>
      </c>
      <c r="BK10" s="20">
        <f t="shared" si="62"/>
        <v>0</v>
      </c>
      <c r="BL10" s="20">
        <f t="shared" si="63"/>
        <v>0.13008130081300814</v>
      </c>
      <c r="BM10" s="6">
        <f t="shared" si="64"/>
        <v>32</v>
      </c>
      <c r="BN10" s="5">
        <f t="shared" si="65"/>
        <v>1.3533834586466165</v>
      </c>
      <c r="BO10" s="328">
        <f t="shared" si="66"/>
        <v>0</v>
      </c>
      <c r="BP10" s="329">
        <f t="shared" si="67"/>
        <v>0</v>
      </c>
      <c r="BQ10" s="6">
        <f t="shared" si="68"/>
        <v>85.12</v>
      </c>
      <c r="BR10" s="5">
        <f t="shared" si="69"/>
        <v>3.6</v>
      </c>
      <c r="BS10" s="6">
        <f t="shared" si="70"/>
        <v>255.36000000000004</v>
      </c>
      <c r="BT10" s="5">
        <f t="shared" si="71"/>
        <v>10.8</v>
      </c>
      <c r="BU10" s="181">
        <f t="shared" si="72"/>
        <v>2</v>
      </c>
      <c r="BV10" s="154">
        <f t="shared" si="73"/>
        <v>8.4586466165413529E-2</v>
      </c>
      <c r="BW10" s="181">
        <f t="shared" si="74"/>
        <v>0</v>
      </c>
      <c r="BX10" s="180">
        <f t="shared" si="75"/>
        <v>0</v>
      </c>
      <c r="BY10" s="181">
        <f t="shared" si="76"/>
        <v>2</v>
      </c>
      <c r="BZ10" s="154">
        <f t="shared" si="77"/>
        <v>8.4586466165413529E-2</v>
      </c>
      <c r="CA10" s="182">
        <f t="shared" si="78"/>
        <v>0</v>
      </c>
      <c r="CB10" s="2">
        <f t="shared" si="79"/>
        <v>1</v>
      </c>
      <c r="CC10" s="2">
        <f t="shared" si="80"/>
        <v>0</v>
      </c>
      <c r="CD10" s="2">
        <f t="shared" si="81"/>
        <v>1</v>
      </c>
      <c r="CE10" s="2">
        <f t="shared" si="82"/>
        <v>4</v>
      </c>
      <c r="CF10" s="6">
        <f t="shared" si="83"/>
        <v>1</v>
      </c>
      <c r="CG10" s="6">
        <f t="shared" si="84"/>
        <v>704.36400000000003</v>
      </c>
      <c r="CH10" s="6">
        <f t="shared" si="85"/>
        <v>558</v>
      </c>
      <c r="CI10" s="20">
        <f t="shared" si="86"/>
        <v>0.79220403087040225</v>
      </c>
      <c r="CJ10" s="133">
        <f t="shared" si="87"/>
        <v>991</v>
      </c>
      <c r="CK10" s="5">
        <f t="shared" si="88"/>
        <v>6.62</v>
      </c>
      <c r="CL10" s="301" t="s">
        <v>1023</v>
      </c>
      <c r="CM10" s="297" t="s">
        <v>1024</v>
      </c>
      <c r="CN10" s="297" t="s">
        <v>1009</v>
      </c>
      <c r="CO10" s="297">
        <v>37</v>
      </c>
      <c r="CP10" s="297" t="s">
        <v>1025</v>
      </c>
      <c r="CQ10" s="297" t="s">
        <v>768</v>
      </c>
      <c r="CR10" s="297" t="s">
        <v>643</v>
      </c>
      <c r="CS10" s="297" t="s">
        <v>1026</v>
      </c>
      <c r="CT10" s="297" t="s">
        <v>681</v>
      </c>
      <c r="CU10" s="298">
        <v>46203</v>
      </c>
      <c r="CV10" s="297">
        <v>1</v>
      </c>
      <c r="CW10" s="297">
        <v>2128</v>
      </c>
      <c r="CX10" s="297">
        <v>32</v>
      </c>
      <c r="CY10" s="297">
        <v>20</v>
      </c>
      <c r="CZ10" s="297">
        <v>13</v>
      </c>
      <c r="DA10" s="297">
        <v>54</v>
      </c>
      <c r="DB10" s="297">
        <v>0</v>
      </c>
      <c r="DC10" s="297">
        <v>3.6</v>
      </c>
      <c r="DD10" s="297">
        <v>10.8</v>
      </c>
      <c r="DE10" s="297">
        <v>3</v>
      </c>
      <c r="DF10" s="297">
        <v>1</v>
      </c>
      <c r="DG10" s="297">
        <v>0</v>
      </c>
      <c r="DH10" s="297">
        <v>1</v>
      </c>
      <c r="DI10" s="297">
        <v>4</v>
      </c>
      <c r="DJ10" s="297">
        <v>0</v>
      </c>
      <c r="DK10" s="297">
        <v>0</v>
      </c>
      <c r="DL10" s="297">
        <v>562</v>
      </c>
      <c r="DM10" s="297">
        <v>471</v>
      </c>
      <c r="DN10" s="297" t="s">
        <v>958</v>
      </c>
      <c r="DO10" s="297">
        <v>0</v>
      </c>
      <c r="DP10" s="297">
        <v>0</v>
      </c>
      <c r="DQ10" s="297">
        <v>1</v>
      </c>
      <c r="DR10" s="297">
        <v>0</v>
      </c>
      <c r="DS10" s="297">
        <v>0</v>
      </c>
      <c r="DT10" s="297">
        <v>1</v>
      </c>
      <c r="DU10" s="297">
        <v>0</v>
      </c>
      <c r="DV10" s="302">
        <v>6.62</v>
      </c>
    </row>
    <row r="11" spans="1:126" ht="24.95" customHeight="1" thickBot="1" x14ac:dyDescent="0.3">
      <c r="A11" s="29" t="str">
        <f t="shared" si="0"/>
        <v>10º</v>
      </c>
      <c r="B11" s="69" t="str">
        <f t="shared" si="1"/>
        <v>Sergio Herrera</v>
      </c>
      <c r="C11" s="268" t="str">
        <f t="shared" si="2"/>
        <v>ESP</v>
      </c>
      <c r="D11" s="99" t="str">
        <f t="shared" si="3"/>
        <v>Pé Direito</v>
      </c>
      <c r="E11" s="28" t="str">
        <f t="shared" si="4"/>
        <v>Osasuna</v>
      </c>
      <c r="F11" s="169">
        <f t="shared" si="5"/>
        <v>32</v>
      </c>
      <c r="G11" s="2" t="str">
        <f t="shared" si="6"/>
        <v>2,9M € - 5,8M €</v>
      </c>
      <c r="H11" s="154">
        <f t="shared" si="7"/>
        <v>1.92</v>
      </c>
      <c r="I11" s="64">
        <f t="shared" si="8"/>
        <v>46203</v>
      </c>
      <c r="J11" s="303" t="str">
        <f t="shared" si="9"/>
        <v>79m € p/m</v>
      </c>
      <c r="K11" s="96">
        <f t="shared" si="10"/>
        <v>21.086666666666666</v>
      </c>
      <c r="L11" s="146">
        <f t="shared" si="11"/>
        <v>17.81111111111111</v>
      </c>
      <c r="M11" s="6">
        <f t="shared" si="12"/>
        <v>2</v>
      </c>
      <c r="N11" s="5">
        <f t="shared" si="13"/>
        <v>801.5</v>
      </c>
      <c r="O11" s="21">
        <f t="shared" si="14"/>
        <v>0.11228945726762321</v>
      </c>
      <c r="P11" s="2">
        <f t="shared" si="15"/>
        <v>435</v>
      </c>
      <c r="Q11" s="2">
        <f t="shared" si="16"/>
        <v>357</v>
      </c>
      <c r="R11" s="5">
        <f t="shared" si="17"/>
        <v>20.043668122270745</v>
      </c>
      <c r="S11" s="2">
        <f t="shared" si="18"/>
        <v>78</v>
      </c>
      <c r="T11" s="2">
        <f t="shared" si="19"/>
        <v>279</v>
      </c>
      <c r="U11" s="102">
        <f t="shared" si="20"/>
        <v>0.1793103448275862</v>
      </c>
      <c r="V11" s="102">
        <f t="shared" si="21"/>
        <v>0.82068965517241377</v>
      </c>
      <c r="W11" s="6">
        <f t="shared" si="22"/>
        <v>435</v>
      </c>
      <c r="X11" s="5">
        <f t="shared" si="23"/>
        <v>24.422956955708049</v>
      </c>
      <c r="Y11" s="6">
        <f t="shared" si="24"/>
        <v>0</v>
      </c>
      <c r="Z11" s="5">
        <f t="shared" si="25"/>
        <v>0</v>
      </c>
      <c r="AA11" s="21">
        <f t="shared" si="26"/>
        <v>0</v>
      </c>
      <c r="AB11" s="6">
        <f t="shared" si="27"/>
        <v>0</v>
      </c>
      <c r="AC11" s="5">
        <f t="shared" si="28"/>
        <v>0</v>
      </c>
      <c r="AD11" s="6">
        <f t="shared" si="29"/>
        <v>16</v>
      </c>
      <c r="AE11" s="5">
        <f t="shared" si="30"/>
        <v>0.89831565814098568</v>
      </c>
      <c r="AF11" s="21">
        <f t="shared" si="31"/>
        <v>0.25396825396825395</v>
      </c>
      <c r="AG11" s="6">
        <f t="shared" si="32"/>
        <v>11</v>
      </c>
      <c r="AH11" s="5">
        <f t="shared" si="33"/>
        <v>0.61759201497192773</v>
      </c>
      <c r="AI11" s="21">
        <f t="shared" si="34"/>
        <v>0.17460317460317459</v>
      </c>
      <c r="AJ11" s="6">
        <f t="shared" si="35"/>
        <v>36</v>
      </c>
      <c r="AK11" s="5">
        <f t="shared" si="36"/>
        <v>1.7960784313725489</v>
      </c>
      <c r="AL11" s="21">
        <f t="shared" si="37"/>
        <v>0.5714285714285714</v>
      </c>
      <c r="AM11" s="21">
        <f t="shared" si="38"/>
        <v>0.39301310043668125</v>
      </c>
      <c r="AN11" s="6">
        <f t="shared" si="39"/>
        <v>7</v>
      </c>
      <c r="AO11" s="5">
        <f t="shared" si="40"/>
        <v>0.39301310043668125</v>
      </c>
      <c r="AP11" s="6">
        <f t="shared" si="41"/>
        <v>63</v>
      </c>
      <c r="AQ11" s="5">
        <f t="shared" si="42"/>
        <v>3.537117903930131</v>
      </c>
      <c r="AR11" s="2">
        <f t="shared" si="43"/>
        <v>86</v>
      </c>
      <c r="AS11" s="5">
        <f t="shared" si="44"/>
        <v>4.8284466625077984</v>
      </c>
      <c r="AT11" s="21">
        <f t="shared" si="45"/>
        <v>0.73255813953488369</v>
      </c>
      <c r="AU11" s="20">
        <f t="shared" si="46"/>
        <v>0.68571428571428572</v>
      </c>
      <c r="AV11" s="20">
        <f t="shared" si="47"/>
        <v>0.26744186046511625</v>
      </c>
      <c r="AW11" s="199">
        <f t="shared" si="48"/>
        <v>1.069767441860465</v>
      </c>
      <c r="AX11" s="24">
        <f t="shared" si="49"/>
        <v>69.695652173913047</v>
      </c>
      <c r="AY11" s="5">
        <f t="shared" si="50"/>
        <v>3.7391304347826089</v>
      </c>
      <c r="AZ11" s="5">
        <f t="shared" si="51"/>
        <v>3.0434782608695654</v>
      </c>
      <c r="BA11" s="5">
        <f t="shared" si="52"/>
        <v>7.41</v>
      </c>
      <c r="BB11" s="5">
        <f t="shared" si="53"/>
        <v>0.41603243917654403</v>
      </c>
      <c r="BC11" s="5">
        <f t="shared" si="54"/>
        <v>6.62</v>
      </c>
      <c r="BD11" s="5">
        <f t="shared" si="55"/>
        <v>0.37167810355583286</v>
      </c>
      <c r="BE11" s="199">
        <f t="shared" si="56"/>
        <v>1.0585714285714287</v>
      </c>
      <c r="BF11" s="21">
        <f t="shared" si="57"/>
        <v>0.24366984544557713</v>
      </c>
      <c r="BG11" s="6">
        <f t="shared" si="58"/>
        <v>3</v>
      </c>
      <c r="BH11" s="5">
        <f t="shared" si="59"/>
        <v>0.16843418590143483</v>
      </c>
      <c r="BI11" s="6">
        <f t="shared" si="60"/>
        <v>1</v>
      </c>
      <c r="BJ11" s="5">
        <f t="shared" si="61"/>
        <v>5.6144728633811605E-2</v>
      </c>
      <c r="BK11" s="20">
        <f t="shared" si="62"/>
        <v>0.33333333333333331</v>
      </c>
      <c r="BL11" s="20">
        <f t="shared" si="63"/>
        <v>9.3495934959349589E-2</v>
      </c>
      <c r="BM11" s="6">
        <f t="shared" si="64"/>
        <v>23</v>
      </c>
      <c r="BN11" s="5">
        <f t="shared" si="65"/>
        <v>1.2913287585776669</v>
      </c>
      <c r="BO11" s="328">
        <f t="shared" si="66"/>
        <v>1</v>
      </c>
      <c r="BP11" s="329">
        <f t="shared" si="67"/>
        <v>5.6144728633811605E-2</v>
      </c>
      <c r="BQ11" s="6">
        <f t="shared" si="68"/>
        <v>64.12</v>
      </c>
      <c r="BR11" s="5">
        <f t="shared" si="69"/>
        <v>3.6</v>
      </c>
      <c r="BS11" s="6">
        <f t="shared" si="70"/>
        <v>142.48888888888888</v>
      </c>
      <c r="BT11" s="5">
        <f t="shared" si="71"/>
        <v>8</v>
      </c>
      <c r="BU11" s="181">
        <f t="shared" si="72"/>
        <v>5</v>
      </c>
      <c r="BV11" s="154">
        <f t="shared" si="73"/>
        <v>0.28072364316905801</v>
      </c>
      <c r="BW11" s="181">
        <f t="shared" si="74"/>
        <v>1</v>
      </c>
      <c r="BX11" s="180">
        <f t="shared" si="75"/>
        <v>5.6144728633811605E-2</v>
      </c>
      <c r="BY11" s="181">
        <f t="shared" si="76"/>
        <v>3</v>
      </c>
      <c r="BZ11" s="154">
        <f t="shared" si="77"/>
        <v>0.16843418590143483</v>
      </c>
      <c r="CA11" s="182">
        <f t="shared" si="78"/>
        <v>0.2</v>
      </c>
      <c r="CB11" s="2">
        <f t="shared" si="79"/>
        <v>1</v>
      </c>
      <c r="CC11" s="2">
        <f t="shared" si="80"/>
        <v>1</v>
      </c>
      <c r="CD11" s="2">
        <f t="shared" si="81"/>
        <v>2</v>
      </c>
      <c r="CE11" s="2">
        <f t="shared" si="82"/>
        <v>4</v>
      </c>
      <c r="CF11" s="6">
        <f t="shared" si="83"/>
        <v>1</v>
      </c>
      <c r="CG11" s="6">
        <f t="shared" si="84"/>
        <v>555.14</v>
      </c>
      <c r="CH11" s="6">
        <f t="shared" si="85"/>
        <v>422</v>
      </c>
      <c r="CI11" s="20">
        <f t="shared" si="86"/>
        <v>0.7601686061173758</v>
      </c>
      <c r="CJ11" s="133">
        <f t="shared" si="87"/>
        <v>991</v>
      </c>
      <c r="CK11" s="5">
        <f t="shared" si="88"/>
        <v>6.67</v>
      </c>
      <c r="CL11" s="299"/>
      <c r="CM11" s="295" t="s">
        <v>937</v>
      </c>
      <c r="CN11" s="295" t="s">
        <v>1014</v>
      </c>
      <c r="CO11" s="295">
        <v>32</v>
      </c>
      <c r="CP11" s="295" t="s">
        <v>1027</v>
      </c>
      <c r="CQ11" s="295" t="s">
        <v>1010</v>
      </c>
      <c r="CR11" s="295" t="s">
        <v>643</v>
      </c>
      <c r="CS11" s="295" t="s">
        <v>922</v>
      </c>
      <c r="CT11" s="295" t="s">
        <v>549</v>
      </c>
      <c r="CU11" s="296">
        <v>46203</v>
      </c>
      <c r="CV11" s="295">
        <v>2</v>
      </c>
      <c r="CW11" s="295">
        <v>1603</v>
      </c>
      <c r="CX11" s="295">
        <v>23</v>
      </c>
      <c r="CY11" s="295">
        <v>16</v>
      </c>
      <c r="CZ11" s="295">
        <v>11</v>
      </c>
      <c r="DA11" s="295">
        <v>36</v>
      </c>
      <c r="DB11" s="295">
        <v>0</v>
      </c>
      <c r="DC11" s="295">
        <v>3.6</v>
      </c>
      <c r="DD11" s="295">
        <v>8</v>
      </c>
      <c r="DE11" s="295">
        <v>7</v>
      </c>
      <c r="DF11" s="295">
        <v>1</v>
      </c>
      <c r="DG11" s="295">
        <v>1</v>
      </c>
      <c r="DH11" s="295">
        <v>1</v>
      </c>
      <c r="DI11" s="295">
        <v>4</v>
      </c>
      <c r="DJ11" s="295">
        <v>0</v>
      </c>
      <c r="DK11" s="295">
        <v>0</v>
      </c>
      <c r="DL11" s="295">
        <v>435</v>
      </c>
      <c r="DM11" s="295">
        <v>357</v>
      </c>
      <c r="DN11" s="295" t="s">
        <v>1028</v>
      </c>
      <c r="DO11" s="295">
        <v>0</v>
      </c>
      <c r="DP11" s="295">
        <v>1</v>
      </c>
      <c r="DQ11" s="295">
        <v>3</v>
      </c>
      <c r="DR11" s="295">
        <v>1</v>
      </c>
      <c r="DS11" s="295">
        <v>0</v>
      </c>
      <c r="DT11" s="295">
        <v>3</v>
      </c>
      <c r="DU11" s="295">
        <v>1</v>
      </c>
      <c r="DV11" s="300">
        <v>6.67</v>
      </c>
    </row>
    <row r="12" spans="1:126" ht="24.95" customHeight="1" x14ac:dyDescent="0.25"/>
    <row r="13" spans="1:126" ht="24.95" customHeight="1" x14ac:dyDescent="0.25"/>
    <row r="14" spans="1:126" ht="24.95" customHeight="1" x14ac:dyDescent="0.25"/>
    <row r="15" spans="1:126" ht="24.95" customHeight="1" x14ac:dyDescent="0.25"/>
    <row r="16" spans="1:126" ht="24.95" customHeight="1" x14ac:dyDescent="0.25"/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  <row r="26" ht="24.95" customHeight="1" x14ac:dyDescent="0.25"/>
    <row r="27" ht="24.95" customHeight="1" x14ac:dyDescent="0.25"/>
    <row r="28" ht="24.95" customHeight="1" x14ac:dyDescent="0.25"/>
    <row r="29" ht="24.95" customHeight="1" x14ac:dyDescent="0.25"/>
    <row r="30" ht="24.95" customHeight="1" x14ac:dyDescent="0.25"/>
    <row r="31" ht="24.95" customHeight="1" x14ac:dyDescent="0.25"/>
    <row r="3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  <row r="363" ht="24.95" customHeight="1" x14ac:dyDescent="0.25"/>
    <row r="364" ht="24.95" customHeight="1" x14ac:dyDescent="0.25"/>
    <row r="365" ht="24.95" customHeight="1" x14ac:dyDescent="0.25"/>
    <row r="366" ht="24.95" customHeight="1" x14ac:dyDescent="0.25"/>
    <row r="367" ht="24.95" customHeight="1" x14ac:dyDescent="0.25"/>
    <row r="368" ht="24.95" customHeight="1" x14ac:dyDescent="0.25"/>
    <row r="369" ht="24.95" customHeight="1" x14ac:dyDescent="0.25"/>
    <row r="370" ht="24.95" customHeight="1" x14ac:dyDescent="0.25"/>
    <row r="371" ht="24.95" customHeight="1" x14ac:dyDescent="0.25"/>
    <row r="372" ht="24.95" customHeight="1" x14ac:dyDescent="0.25"/>
    <row r="373" ht="24.95" customHeight="1" x14ac:dyDescent="0.25"/>
    <row r="374" ht="24.95" customHeight="1" x14ac:dyDescent="0.25"/>
    <row r="375" ht="24.95" customHeight="1" x14ac:dyDescent="0.25"/>
    <row r="376" ht="24.95" customHeight="1" x14ac:dyDescent="0.25"/>
    <row r="377" ht="24.95" customHeight="1" x14ac:dyDescent="0.25"/>
    <row r="378" ht="24.95" customHeight="1" x14ac:dyDescent="0.25"/>
    <row r="379" ht="24.95" customHeight="1" x14ac:dyDescent="0.25"/>
    <row r="380" ht="24.95" customHeight="1" x14ac:dyDescent="0.25"/>
    <row r="381" ht="24.95" customHeight="1" x14ac:dyDescent="0.25"/>
    <row r="382" ht="24.95" customHeight="1" x14ac:dyDescent="0.25"/>
    <row r="383" ht="24.95" customHeight="1" x14ac:dyDescent="0.25"/>
    <row r="384" ht="24.95" customHeight="1" x14ac:dyDescent="0.25"/>
    <row r="385" ht="24.95" customHeight="1" x14ac:dyDescent="0.25"/>
    <row r="386" ht="24.95" customHeight="1" x14ac:dyDescent="0.25"/>
    <row r="387" ht="24.95" customHeight="1" x14ac:dyDescent="0.25"/>
    <row r="388" ht="24.95" customHeight="1" x14ac:dyDescent="0.25"/>
    <row r="389" ht="24.95" customHeight="1" x14ac:dyDescent="0.25"/>
    <row r="390" ht="24.95" customHeight="1" x14ac:dyDescent="0.25"/>
    <row r="391" ht="24.95" customHeight="1" x14ac:dyDescent="0.25"/>
    <row r="392" ht="24.95" customHeight="1" x14ac:dyDescent="0.25"/>
    <row r="393" ht="24.95" customHeight="1" x14ac:dyDescent="0.25"/>
    <row r="394" ht="24.95" customHeight="1" x14ac:dyDescent="0.25"/>
    <row r="395" ht="24.95" customHeight="1" x14ac:dyDescent="0.25"/>
    <row r="396" ht="24.95" customHeight="1" x14ac:dyDescent="0.25"/>
    <row r="397" ht="24.95" customHeight="1" x14ac:dyDescent="0.25"/>
    <row r="398" ht="24.95" customHeight="1" x14ac:dyDescent="0.25"/>
    <row r="399" ht="24.95" customHeight="1" x14ac:dyDescent="0.25"/>
    <row r="400" ht="24.95" customHeight="1" x14ac:dyDescent="0.25"/>
    <row r="401" ht="24.95" customHeight="1" x14ac:dyDescent="0.25"/>
    <row r="402" ht="24.95" customHeight="1" x14ac:dyDescent="0.25"/>
    <row r="403" ht="24.95" customHeight="1" x14ac:dyDescent="0.25"/>
    <row r="404" ht="24.95" customHeight="1" x14ac:dyDescent="0.25"/>
    <row r="405" ht="24.95" customHeight="1" x14ac:dyDescent="0.25"/>
    <row r="406" ht="24.95" customHeight="1" x14ac:dyDescent="0.25"/>
    <row r="407" ht="24.95" customHeight="1" x14ac:dyDescent="0.25"/>
    <row r="408" ht="24.95" customHeight="1" x14ac:dyDescent="0.25"/>
    <row r="409" ht="24.95" customHeight="1" x14ac:dyDescent="0.25"/>
    <row r="410" ht="24.95" customHeight="1" x14ac:dyDescent="0.25"/>
    <row r="411" ht="24.95" customHeight="1" x14ac:dyDescent="0.25"/>
    <row r="412" ht="24.95" customHeight="1" x14ac:dyDescent="0.25"/>
    <row r="413" ht="24.95" customHeight="1" x14ac:dyDescent="0.25"/>
    <row r="414" ht="24.95" customHeight="1" x14ac:dyDescent="0.25"/>
    <row r="415" ht="24.95" customHeight="1" x14ac:dyDescent="0.25"/>
    <row r="416" ht="24.95" customHeight="1" x14ac:dyDescent="0.25"/>
    <row r="417" ht="24.95" customHeight="1" x14ac:dyDescent="0.25"/>
    <row r="418" ht="24.95" customHeight="1" x14ac:dyDescent="0.25"/>
    <row r="419" ht="24.95" customHeight="1" x14ac:dyDescent="0.25"/>
    <row r="420" ht="24.95" customHeight="1" x14ac:dyDescent="0.25"/>
    <row r="421" ht="24.95" customHeight="1" x14ac:dyDescent="0.25"/>
    <row r="422" ht="24.95" customHeight="1" x14ac:dyDescent="0.25"/>
    <row r="423" ht="24.95" customHeight="1" x14ac:dyDescent="0.25"/>
    <row r="424" ht="24.95" customHeight="1" x14ac:dyDescent="0.25"/>
    <row r="425" ht="24.95" customHeight="1" x14ac:dyDescent="0.25"/>
    <row r="426" ht="24.95" customHeight="1" x14ac:dyDescent="0.25"/>
    <row r="427" ht="24.95" customHeight="1" x14ac:dyDescent="0.25"/>
    <row r="428" ht="24.95" customHeight="1" x14ac:dyDescent="0.25"/>
    <row r="429" ht="24.95" customHeight="1" x14ac:dyDescent="0.25"/>
    <row r="430" ht="24.95" customHeight="1" x14ac:dyDescent="0.25"/>
    <row r="431" ht="24.95" customHeight="1" x14ac:dyDescent="0.25"/>
    <row r="432" ht="24.95" customHeight="1" x14ac:dyDescent="0.25"/>
    <row r="433" ht="24.95" customHeight="1" x14ac:dyDescent="0.25"/>
    <row r="434" ht="24.95" customHeight="1" x14ac:dyDescent="0.25"/>
    <row r="435" ht="24.95" customHeight="1" x14ac:dyDescent="0.25"/>
    <row r="436" ht="24.95" customHeight="1" x14ac:dyDescent="0.25"/>
    <row r="437" ht="24.95" customHeight="1" x14ac:dyDescent="0.25"/>
    <row r="438" ht="24.95" customHeight="1" x14ac:dyDescent="0.25"/>
    <row r="439" ht="24.95" customHeight="1" x14ac:dyDescent="0.25"/>
    <row r="440" ht="24.95" customHeight="1" x14ac:dyDescent="0.25"/>
    <row r="441" ht="24.95" customHeight="1" x14ac:dyDescent="0.25"/>
    <row r="442" ht="24.95" customHeight="1" x14ac:dyDescent="0.25"/>
    <row r="443" ht="24.95" customHeight="1" x14ac:dyDescent="0.25"/>
    <row r="444" ht="24.95" customHeight="1" x14ac:dyDescent="0.25"/>
    <row r="445" ht="24.95" customHeight="1" x14ac:dyDescent="0.25"/>
    <row r="446" ht="24.95" customHeight="1" x14ac:dyDescent="0.25"/>
    <row r="447" ht="24.95" customHeight="1" x14ac:dyDescent="0.25"/>
    <row r="448" ht="24.95" customHeight="1" x14ac:dyDescent="0.25"/>
    <row r="449" ht="24.95" customHeight="1" x14ac:dyDescent="0.25"/>
    <row r="450" ht="24.95" customHeight="1" x14ac:dyDescent="0.25"/>
    <row r="451" ht="24.95" customHeight="1" x14ac:dyDescent="0.25"/>
    <row r="452" ht="24.95" customHeight="1" x14ac:dyDescent="0.25"/>
    <row r="453" ht="24.95" customHeight="1" x14ac:dyDescent="0.25"/>
    <row r="454" ht="24.95" customHeight="1" x14ac:dyDescent="0.25"/>
    <row r="455" ht="24.95" customHeight="1" x14ac:dyDescent="0.25"/>
    <row r="456" ht="24.95" customHeight="1" x14ac:dyDescent="0.25"/>
    <row r="457" ht="24.95" customHeight="1" x14ac:dyDescent="0.25"/>
    <row r="458" ht="24.95" customHeight="1" x14ac:dyDescent="0.25"/>
    <row r="459" ht="24.95" customHeight="1" x14ac:dyDescent="0.25"/>
    <row r="460" ht="24.95" customHeight="1" x14ac:dyDescent="0.25"/>
    <row r="461" ht="24.95" customHeight="1" x14ac:dyDescent="0.25"/>
    <row r="462" ht="24.95" customHeight="1" x14ac:dyDescent="0.25"/>
    <row r="463" ht="24.95" customHeight="1" x14ac:dyDescent="0.25"/>
    <row r="464" ht="24.95" customHeight="1" x14ac:dyDescent="0.25"/>
    <row r="465" ht="24.95" customHeight="1" x14ac:dyDescent="0.25"/>
    <row r="466" ht="24.95" customHeight="1" x14ac:dyDescent="0.25"/>
    <row r="467" ht="24.95" customHeight="1" x14ac:dyDescent="0.25"/>
    <row r="468" ht="24.95" customHeight="1" x14ac:dyDescent="0.25"/>
    <row r="469" ht="24.95" customHeight="1" x14ac:dyDescent="0.25"/>
    <row r="470" ht="24.95" customHeight="1" x14ac:dyDescent="0.25"/>
    <row r="471" ht="24.95" customHeight="1" x14ac:dyDescent="0.25"/>
    <row r="472" ht="24.95" customHeight="1" x14ac:dyDescent="0.25"/>
    <row r="473" ht="24.95" customHeight="1" x14ac:dyDescent="0.25"/>
    <row r="474" ht="24.95" customHeight="1" x14ac:dyDescent="0.25"/>
    <row r="475" ht="24.95" customHeight="1" x14ac:dyDescent="0.25"/>
    <row r="476" ht="24.95" customHeight="1" x14ac:dyDescent="0.25"/>
    <row r="477" ht="24.95" customHeight="1" x14ac:dyDescent="0.25"/>
    <row r="478" ht="24.95" customHeight="1" x14ac:dyDescent="0.25"/>
    <row r="479" ht="24.95" customHeight="1" x14ac:dyDescent="0.25"/>
    <row r="480" ht="24.95" customHeight="1" x14ac:dyDescent="0.25"/>
    <row r="481" ht="24.95" customHeight="1" x14ac:dyDescent="0.25"/>
    <row r="482" ht="24.95" customHeight="1" x14ac:dyDescent="0.25"/>
    <row r="483" ht="24.95" customHeight="1" x14ac:dyDescent="0.25"/>
    <row r="484" ht="24.95" customHeight="1" x14ac:dyDescent="0.25"/>
    <row r="485" ht="24.95" customHeight="1" x14ac:dyDescent="0.25"/>
    <row r="486" ht="24.95" customHeight="1" x14ac:dyDescent="0.25"/>
    <row r="487" ht="24.95" customHeight="1" x14ac:dyDescent="0.25"/>
    <row r="488" ht="24.95" customHeight="1" x14ac:dyDescent="0.25"/>
    <row r="489" ht="24.95" customHeight="1" x14ac:dyDescent="0.25"/>
    <row r="490" ht="24.95" customHeight="1" x14ac:dyDescent="0.25"/>
    <row r="491" ht="24.95" customHeight="1" x14ac:dyDescent="0.25"/>
    <row r="492" ht="24.95" customHeight="1" x14ac:dyDescent="0.25"/>
    <row r="493" ht="24.95" customHeight="1" x14ac:dyDescent="0.25"/>
    <row r="494" ht="24.95" customHeight="1" x14ac:dyDescent="0.25"/>
    <row r="495" ht="24.95" customHeight="1" x14ac:dyDescent="0.25"/>
    <row r="496" ht="24.95" customHeight="1" x14ac:dyDescent="0.25"/>
    <row r="497" ht="24.95" customHeight="1" x14ac:dyDescent="0.25"/>
    <row r="498" ht="24.95" customHeight="1" x14ac:dyDescent="0.25"/>
    <row r="499" ht="24.95" customHeight="1" x14ac:dyDescent="0.25"/>
    <row r="500" ht="24.95" customHeight="1" x14ac:dyDescent="0.25"/>
    <row r="501" ht="24.95" customHeight="1" x14ac:dyDescent="0.25"/>
    <row r="502" ht="24.95" customHeight="1" x14ac:dyDescent="0.25"/>
    <row r="503" ht="24.95" customHeight="1" x14ac:dyDescent="0.25"/>
    <row r="504" ht="24.95" customHeight="1" x14ac:dyDescent="0.25"/>
    <row r="505" ht="24.95" customHeight="1" x14ac:dyDescent="0.25"/>
    <row r="506" ht="24.95" customHeight="1" x14ac:dyDescent="0.25"/>
    <row r="507" ht="24.95" customHeight="1" x14ac:dyDescent="0.25"/>
    <row r="508" ht="24.95" customHeight="1" x14ac:dyDescent="0.25"/>
    <row r="509" ht="24.95" customHeight="1" x14ac:dyDescent="0.25"/>
    <row r="510" ht="24.95" customHeight="1" x14ac:dyDescent="0.25"/>
    <row r="511" ht="24.95" customHeight="1" x14ac:dyDescent="0.25"/>
    <row r="512" ht="24.95" customHeight="1" x14ac:dyDescent="0.25"/>
    <row r="513" ht="24.95" customHeight="1" x14ac:dyDescent="0.25"/>
    <row r="514" ht="24.95" customHeight="1" x14ac:dyDescent="0.25"/>
    <row r="515" ht="24.95" customHeight="1" x14ac:dyDescent="0.25"/>
    <row r="516" ht="24.95" customHeight="1" x14ac:dyDescent="0.25"/>
    <row r="517" ht="24.95" customHeight="1" x14ac:dyDescent="0.25"/>
    <row r="518" ht="24.95" customHeight="1" x14ac:dyDescent="0.25"/>
    <row r="519" ht="24.95" customHeight="1" x14ac:dyDescent="0.25"/>
    <row r="520" ht="24.95" customHeight="1" x14ac:dyDescent="0.25"/>
    <row r="521" ht="24.95" customHeight="1" x14ac:dyDescent="0.25"/>
    <row r="522" ht="24.95" customHeight="1" x14ac:dyDescent="0.25"/>
    <row r="523" ht="24.95" customHeight="1" x14ac:dyDescent="0.25"/>
    <row r="524" ht="24.95" customHeight="1" x14ac:dyDescent="0.25"/>
    <row r="525" ht="24.95" customHeight="1" x14ac:dyDescent="0.25"/>
    <row r="526" ht="24.95" customHeight="1" x14ac:dyDescent="0.25"/>
    <row r="527" ht="24.95" customHeight="1" x14ac:dyDescent="0.25"/>
    <row r="528" ht="24.95" customHeight="1" x14ac:dyDescent="0.25"/>
    <row r="529" ht="24.95" customHeight="1" x14ac:dyDescent="0.25"/>
    <row r="530" ht="24.95" customHeight="1" x14ac:dyDescent="0.25"/>
    <row r="531" ht="24.95" customHeight="1" x14ac:dyDescent="0.25"/>
    <row r="532" ht="24.95" customHeight="1" x14ac:dyDescent="0.25"/>
    <row r="533" ht="24.95" customHeight="1" x14ac:dyDescent="0.25"/>
    <row r="534" ht="24.95" customHeight="1" x14ac:dyDescent="0.25"/>
    <row r="535" ht="24.95" customHeight="1" x14ac:dyDescent="0.25"/>
    <row r="536" ht="24.95" customHeight="1" x14ac:dyDescent="0.25"/>
    <row r="537" ht="24.95" customHeight="1" x14ac:dyDescent="0.25"/>
    <row r="538" ht="24.95" customHeight="1" x14ac:dyDescent="0.25"/>
    <row r="539" ht="24.95" customHeight="1" x14ac:dyDescent="0.25"/>
    <row r="540" ht="24.95" customHeight="1" x14ac:dyDescent="0.25"/>
    <row r="541" ht="24.95" customHeight="1" x14ac:dyDescent="0.25"/>
    <row r="542" ht="24.95" customHeight="1" x14ac:dyDescent="0.25"/>
    <row r="543" ht="24.95" customHeight="1" x14ac:dyDescent="0.25"/>
    <row r="544" ht="24.95" customHeight="1" x14ac:dyDescent="0.25"/>
    <row r="545" ht="24.95" customHeight="1" x14ac:dyDescent="0.25"/>
    <row r="546" ht="24.95" customHeight="1" x14ac:dyDescent="0.25"/>
    <row r="547" ht="24.95" customHeight="1" x14ac:dyDescent="0.25"/>
    <row r="548" ht="24.95" customHeight="1" x14ac:dyDescent="0.25"/>
    <row r="549" ht="24.95" customHeight="1" x14ac:dyDescent="0.25"/>
    <row r="550" ht="24.95" customHeight="1" x14ac:dyDescent="0.25"/>
    <row r="551" ht="24.95" customHeight="1" x14ac:dyDescent="0.25"/>
    <row r="552" ht="24.95" customHeight="1" x14ac:dyDescent="0.25"/>
    <row r="553" ht="24.95" customHeight="1" x14ac:dyDescent="0.25"/>
    <row r="554" ht="24.95" customHeight="1" x14ac:dyDescent="0.25"/>
    <row r="555" ht="24.95" customHeight="1" x14ac:dyDescent="0.25"/>
    <row r="556" ht="24.95" customHeight="1" x14ac:dyDescent="0.25"/>
    <row r="557" ht="24.95" customHeight="1" x14ac:dyDescent="0.25"/>
    <row r="558" ht="24.95" customHeight="1" x14ac:dyDescent="0.25"/>
    <row r="559" ht="24.95" customHeight="1" x14ac:dyDescent="0.25"/>
    <row r="560" ht="24.95" customHeight="1" x14ac:dyDescent="0.25"/>
    <row r="561" ht="24.95" customHeight="1" x14ac:dyDescent="0.25"/>
    <row r="562" ht="24.95" customHeight="1" x14ac:dyDescent="0.25"/>
    <row r="563" ht="24.95" customHeight="1" x14ac:dyDescent="0.25"/>
    <row r="564" ht="24.95" customHeight="1" x14ac:dyDescent="0.25"/>
    <row r="565" ht="24.95" customHeight="1" x14ac:dyDescent="0.25"/>
    <row r="566" ht="24.95" customHeight="1" x14ac:dyDescent="0.25"/>
    <row r="567" ht="24.95" customHeight="1" x14ac:dyDescent="0.25"/>
    <row r="568" ht="24.95" customHeight="1" x14ac:dyDescent="0.25"/>
    <row r="569" ht="24.95" customHeight="1" x14ac:dyDescent="0.25"/>
    <row r="570" ht="24.95" customHeight="1" x14ac:dyDescent="0.25"/>
    <row r="571" ht="24.95" customHeight="1" x14ac:dyDescent="0.25"/>
    <row r="572" ht="24.95" customHeight="1" x14ac:dyDescent="0.25"/>
    <row r="573" ht="24.95" customHeight="1" x14ac:dyDescent="0.25"/>
    <row r="574" ht="24.95" customHeight="1" x14ac:dyDescent="0.25"/>
    <row r="575" ht="24.95" customHeight="1" x14ac:dyDescent="0.25"/>
    <row r="576" ht="24.95" customHeight="1" x14ac:dyDescent="0.25"/>
    <row r="577" ht="24.95" customHeight="1" x14ac:dyDescent="0.25"/>
    <row r="578" ht="24.95" customHeight="1" x14ac:dyDescent="0.25"/>
    <row r="579" ht="24.95" customHeight="1" x14ac:dyDescent="0.25"/>
    <row r="580" ht="24.95" customHeight="1" x14ac:dyDescent="0.25"/>
    <row r="581" ht="24.95" customHeight="1" x14ac:dyDescent="0.25"/>
    <row r="582" ht="24.95" customHeight="1" x14ac:dyDescent="0.25"/>
    <row r="583" ht="24.95" customHeight="1" x14ac:dyDescent="0.25"/>
    <row r="584" ht="24.95" customHeight="1" x14ac:dyDescent="0.25"/>
    <row r="585" ht="24.95" customHeight="1" x14ac:dyDescent="0.25"/>
    <row r="586" ht="24.95" customHeight="1" x14ac:dyDescent="0.25"/>
    <row r="587" ht="24.95" customHeight="1" x14ac:dyDescent="0.25"/>
    <row r="588" ht="24.95" customHeight="1" x14ac:dyDescent="0.25"/>
    <row r="589" ht="24.95" customHeight="1" x14ac:dyDescent="0.25"/>
    <row r="590" ht="24.95" customHeight="1" x14ac:dyDescent="0.25"/>
    <row r="591" ht="24.95" customHeight="1" x14ac:dyDescent="0.25"/>
    <row r="592" ht="24.95" customHeight="1" x14ac:dyDescent="0.25"/>
    <row r="593" ht="24.95" customHeight="1" x14ac:dyDescent="0.25"/>
    <row r="594" ht="24.95" customHeight="1" x14ac:dyDescent="0.25"/>
    <row r="595" ht="24.95" customHeight="1" x14ac:dyDescent="0.25"/>
    <row r="596" ht="24.95" customHeight="1" x14ac:dyDescent="0.25"/>
    <row r="597" ht="24.95" customHeight="1" x14ac:dyDescent="0.25"/>
    <row r="598" ht="24.95" customHeight="1" x14ac:dyDescent="0.25"/>
    <row r="599" ht="24.95" customHeight="1" x14ac:dyDescent="0.25"/>
    <row r="600" ht="24.95" customHeight="1" x14ac:dyDescent="0.25"/>
    <row r="601" ht="24.95" customHeight="1" x14ac:dyDescent="0.25"/>
    <row r="602" ht="24.95" customHeight="1" x14ac:dyDescent="0.25"/>
    <row r="603" ht="24.95" customHeight="1" x14ac:dyDescent="0.25"/>
    <row r="604" ht="24.95" customHeight="1" x14ac:dyDescent="0.25"/>
    <row r="605" ht="24.95" customHeight="1" x14ac:dyDescent="0.25"/>
    <row r="606" ht="24.95" customHeight="1" x14ac:dyDescent="0.25"/>
    <row r="607" ht="24.95" customHeight="1" x14ac:dyDescent="0.25"/>
    <row r="608" ht="24.95" customHeight="1" x14ac:dyDescent="0.25"/>
    <row r="609" ht="24.95" customHeight="1" x14ac:dyDescent="0.25"/>
    <row r="610" ht="24.95" customHeight="1" x14ac:dyDescent="0.25"/>
    <row r="611" ht="24.95" customHeight="1" x14ac:dyDescent="0.25"/>
    <row r="612" ht="24.95" customHeight="1" x14ac:dyDescent="0.25"/>
    <row r="613" ht="24.95" customHeight="1" x14ac:dyDescent="0.25"/>
    <row r="614" ht="24.95" customHeight="1" x14ac:dyDescent="0.25"/>
    <row r="615" ht="24.95" customHeight="1" x14ac:dyDescent="0.25"/>
    <row r="616" ht="24.95" customHeight="1" x14ac:dyDescent="0.25"/>
    <row r="617" ht="24.95" customHeight="1" x14ac:dyDescent="0.25"/>
    <row r="618" ht="24.95" customHeight="1" x14ac:dyDescent="0.25"/>
    <row r="619" ht="24.95" customHeight="1" x14ac:dyDescent="0.25"/>
    <row r="620" ht="24.95" customHeight="1" x14ac:dyDescent="0.25"/>
    <row r="621" ht="24.95" customHeight="1" x14ac:dyDescent="0.25"/>
    <row r="622" ht="24.95" customHeight="1" x14ac:dyDescent="0.25"/>
    <row r="623" ht="24.95" customHeight="1" x14ac:dyDescent="0.25"/>
    <row r="624" ht="24.95" customHeight="1" x14ac:dyDescent="0.25"/>
    <row r="625" ht="24.95" customHeight="1" x14ac:dyDescent="0.25"/>
    <row r="626" ht="24.95" customHeight="1" x14ac:dyDescent="0.25"/>
    <row r="627" ht="24.95" customHeight="1" x14ac:dyDescent="0.25"/>
    <row r="628" ht="24.95" customHeight="1" x14ac:dyDescent="0.25"/>
    <row r="629" ht="24.95" customHeight="1" x14ac:dyDescent="0.25"/>
    <row r="630" ht="24.95" customHeight="1" x14ac:dyDescent="0.25"/>
    <row r="631" ht="24.95" customHeight="1" x14ac:dyDescent="0.25"/>
    <row r="632" ht="24.95" customHeight="1" x14ac:dyDescent="0.25"/>
    <row r="633" ht="24.95" customHeight="1" x14ac:dyDescent="0.25"/>
    <row r="634" ht="24.95" customHeight="1" x14ac:dyDescent="0.25"/>
    <row r="635" ht="24.95" customHeight="1" x14ac:dyDescent="0.25"/>
    <row r="636" ht="24.95" customHeight="1" x14ac:dyDescent="0.25"/>
    <row r="637" ht="24.95" customHeight="1" x14ac:dyDescent="0.25"/>
    <row r="638" ht="24.95" customHeight="1" x14ac:dyDescent="0.25"/>
    <row r="639" ht="24.95" customHeight="1" x14ac:dyDescent="0.25"/>
    <row r="640" ht="24.95" customHeight="1" x14ac:dyDescent="0.25"/>
    <row r="641" ht="24.95" customHeight="1" x14ac:dyDescent="0.25"/>
    <row r="642" ht="24.95" customHeight="1" x14ac:dyDescent="0.25"/>
    <row r="643" ht="24.95" customHeight="1" x14ac:dyDescent="0.25"/>
    <row r="644" ht="24.95" customHeight="1" x14ac:dyDescent="0.25"/>
    <row r="645" ht="24.95" customHeight="1" x14ac:dyDescent="0.25"/>
    <row r="646" ht="24.95" customHeight="1" x14ac:dyDescent="0.25"/>
    <row r="647" ht="24.95" customHeight="1" x14ac:dyDescent="0.25"/>
    <row r="648" ht="24.95" customHeight="1" x14ac:dyDescent="0.25"/>
    <row r="649" ht="24.95" customHeight="1" x14ac:dyDescent="0.25"/>
    <row r="650" ht="24.95" customHeight="1" x14ac:dyDescent="0.25"/>
    <row r="651" ht="24.95" customHeight="1" x14ac:dyDescent="0.25"/>
    <row r="652" ht="24.95" customHeight="1" x14ac:dyDescent="0.25"/>
    <row r="653" ht="24.95" customHeight="1" x14ac:dyDescent="0.25"/>
    <row r="654" ht="24.95" customHeight="1" x14ac:dyDescent="0.25"/>
    <row r="655" ht="24.95" customHeight="1" x14ac:dyDescent="0.25"/>
    <row r="656" ht="24.95" customHeight="1" x14ac:dyDescent="0.25"/>
    <row r="657" ht="24.95" customHeight="1" x14ac:dyDescent="0.25"/>
    <row r="658" ht="24.95" customHeight="1" x14ac:dyDescent="0.25"/>
    <row r="659" ht="24.95" customHeight="1" x14ac:dyDescent="0.25"/>
    <row r="660" ht="24.95" customHeight="1" x14ac:dyDescent="0.25"/>
    <row r="661" ht="24.95" customHeight="1" x14ac:dyDescent="0.25"/>
    <row r="662" ht="24.95" customHeight="1" x14ac:dyDescent="0.25"/>
    <row r="663" ht="24.95" customHeight="1" x14ac:dyDescent="0.25"/>
    <row r="664" ht="24.95" customHeight="1" x14ac:dyDescent="0.25"/>
    <row r="665" ht="24.95" customHeight="1" x14ac:dyDescent="0.25"/>
    <row r="666" ht="24.95" customHeight="1" x14ac:dyDescent="0.25"/>
    <row r="667" ht="24.95" customHeight="1" x14ac:dyDescent="0.25"/>
    <row r="668" ht="24.95" customHeight="1" x14ac:dyDescent="0.25"/>
    <row r="669" ht="24.95" customHeight="1" x14ac:dyDescent="0.25"/>
    <row r="670" ht="24.95" customHeight="1" x14ac:dyDescent="0.25"/>
    <row r="671" ht="24.95" customHeight="1" x14ac:dyDescent="0.25"/>
    <row r="672" ht="24.95" customHeight="1" x14ac:dyDescent="0.25"/>
    <row r="673" ht="24.95" customHeight="1" x14ac:dyDescent="0.25"/>
    <row r="674" ht="24.95" customHeight="1" x14ac:dyDescent="0.25"/>
    <row r="675" ht="24.95" customHeight="1" x14ac:dyDescent="0.25"/>
    <row r="676" ht="24.95" customHeight="1" x14ac:dyDescent="0.25"/>
    <row r="677" ht="24.95" customHeight="1" x14ac:dyDescent="0.25"/>
    <row r="678" ht="24.95" customHeight="1" x14ac:dyDescent="0.25"/>
    <row r="679" ht="24.95" customHeight="1" x14ac:dyDescent="0.25"/>
    <row r="680" ht="24.95" customHeight="1" x14ac:dyDescent="0.25"/>
    <row r="681" ht="24.95" customHeight="1" x14ac:dyDescent="0.25"/>
    <row r="682" ht="24.95" customHeight="1" x14ac:dyDescent="0.25"/>
    <row r="683" ht="24.95" customHeight="1" x14ac:dyDescent="0.25"/>
    <row r="684" ht="24.95" customHeight="1" x14ac:dyDescent="0.25"/>
    <row r="685" ht="24.95" customHeight="1" x14ac:dyDescent="0.25"/>
    <row r="686" ht="24.95" customHeight="1" x14ac:dyDescent="0.25"/>
    <row r="687" ht="24.95" customHeight="1" x14ac:dyDescent="0.25"/>
    <row r="688" ht="24.95" customHeight="1" x14ac:dyDescent="0.25"/>
    <row r="689" ht="24.95" customHeight="1" x14ac:dyDescent="0.25"/>
    <row r="690" ht="24.95" customHeight="1" x14ac:dyDescent="0.25"/>
    <row r="691" ht="24.95" customHeight="1" x14ac:dyDescent="0.25"/>
    <row r="692" ht="24.95" customHeight="1" x14ac:dyDescent="0.25"/>
    <row r="693" ht="24.95" customHeight="1" x14ac:dyDescent="0.25"/>
    <row r="694" ht="24.95" customHeight="1" x14ac:dyDescent="0.25"/>
    <row r="695" ht="24.95" customHeight="1" x14ac:dyDescent="0.25"/>
    <row r="696" ht="24.95" customHeight="1" x14ac:dyDescent="0.25"/>
    <row r="697" ht="24.95" customHeight="1" x14ac:dyDescent="0.25"/>
    <row r="698" ht="24.95" customHeight="1" x14ac:dyDescent="0.25"/>
    <row r="699" ht="24.95" customHeight="1" x14ac:dyDescent="0.25"/>
    <row r="700" ht="24.95" customHeight="1" x14ac:dyDescent="0.25"/>
    <row r="701" ht="24.95" customHeight="1" x14ac:dyDescent="0.25"/>
    <row r="702" ht="24.95" customHeight="1" x14ac:dyDescent="0.25"/>
    <row r="703" ht="24.95" customHeight="1" x14ac:dyDescent="0.25"/>
    <row r="704" ht="24.95" customHeight="1" x14ac:dyDescent="0.25"/>
    <row r="705" ht="24.95" customHeight="1" x14ac:dyDescent="0.25"/>
    <row r="706" ht="24.95" customHeight="1" x14ac:dyDescent="0.25"/>
    <row r="707" ht="24.95" customHeight="1" x14ac:dyDescent="0.25"/>
    <row r="708" ht="24.95" customHeight="1" x14ac:dyDescent="0.25"/>
    <row r="709" ht="24.95" customHeight="1" x14ac:dyDescent="0.25"/>
    <row r="710" ht="24.95" customHeight="1" x14ac:dyDescent="0.25"/>
    <row r="711" ht="24.95" customHeight="1" x14ac:dyDescent="0.25"/>
    <row r="712" ht="24.95" customHeight="1" x14ac:dyDescent="0.25"/>
    <row r="713" ht="24.95" customHeight="1" x14ac:dyDescent="0.25"/>
    <row r="714" ht="24.95" customHeight="1" x14ac:dyDescent="0.25"/>
    <row r="715" ht="24.95" customHeight="1" x14ac:dyDescent="0.25"/>
    <row r="716" ht="24.95" customHeight="1" x14ac:dyDescent="0.25"/>
    <row r="717" ht="24.95" customHeight="1" x14ac:dyDescent="0.25"/>
    <row r="718" ht="24.95" customHeight="1" x14ac:dyDescent="0.25"/>
    <row r="719" ht="24.95" customHeight="1" x14ac:dyDescent="0.25"/>
    <row r="720" ht="24.95" customHeight="1" x14ac:dyDescent="0.25"/>
    <row r="721" ht="24.95" customHeight="1" x14ac:dyDescent="0.25"/>
    <row r="722" ht="24.95" customHeight="1" x14ac:dyDescent="0.25"/>
    <row r="723" ht="24.95" customHeight="1" x14ac:dyDescent="0.25"/>
    <row r="724" ht="24.95" customHeight="1" x14ac:dyDescent="0.25"/>
    <row r="725" ht="24.95" customHeight="1" x14ac:dyDescent="0.25"/>
    <row r="726" ht="24.95" customHeight="1" x14ac:dyDescent="0.25"/>
    <row r="727" ht="24.95" customHeight="1" x14ac:dyDescent="0.25"/>
    <row r="728" ht="24.95" customHeight="1" x14ac:dyDescent="0.25"/>
    <row r="729" ht="24.95" customHeight="1" x14ac:dyDescent="0.25"/>
    <row r="730" ht="24.95" customHeight="1" x14ac:dyDescent="0.25"/>
    <row r="731" ht="24.95" customHeight="1" x14ac:dyDescent="0.25"/>
    <row r="732" ht="24.95" customHeight="1" x14ac:dyDescent="0.25"/>
    <row r="733" ht="24.95" customHeight="1" x14ac:dyDescent="0.25"/>
    <row r="734" ht="24.95" customHeight="1" x14ac:dyDescent="0.25"/>
    <row r="735" ht="24.95" customHeight="1" x14ac:dyDescent="0.25"/>
    <row r="736" ht="24.95" customHeight="1" x14ac:dyDescent="0.25"/>
    <row r="737" ht="24.95" customHeight="1" x14ac:dyDescent="0.25"/>
    <row r="738" ht="24.95" customHeight="1" x14ac:dyDescent="0.25"/>
    <row r="739" ht="24.95" customHeight="1" x14ac:dyDescent="0.25"/>
    <row r="740" ht="24.95" customHeight="1" x14ac:dyDescent="0.25"/>
    <row r="741" ht="24.95" customHeight="1" x14ac:dyDescent="0.25"/>
    <row r="742" ht="24.95" customHeight="1" x14ac:dyDescent="0.25"/>
    <row r="743" ht="24.95" customHeight="1" x14ac:dyDescent="0.25"/>
    <row r="744" ht="24.95" customHeight="1" x14ac:dyDescent="0.25"/>
    <row r="745" ht="24.95" customHeight="1" x14ac:dyDescent="0.25"/>
    <row r="746" ht="24.95" customHeight="1" x14ac:dyDescent="0.25"/>
    <row r="747" ht="24.95" customHeight="1" x14ac:dyDescent="0.25"/>
    <row r="748" ht="24.95" customHeight="1" x14ac:dyDescent="0.25"/>
    <row r="749" ht="24.95" customHeight="1" x14ac:dyDescent="0.25"/>
    <row r="750" ht="24.95" customHeight="1" x14ac:dyDescent="0.25"/>
    <row r="751" ht="24.95" customHeight="1" x14ac:dyDescent="0.25"/>
    <row r="752" ht="24.95" customHeight="1" x14ac:dyDescent="0.25"/>
    <row r="753" ht="24.95" customHeight="1" x14ac:dyDescent="0.25"/>
    <row r="754" ht="24.95" customHeight="1" x14ac:dyDescent="0.25"/>
    <row r="755" ht="24.95" customHeight="1" x14ac:dyDescent="0.25"/>
    <row r="756" ht="24.95" customHeight="1" x14ac:dyDescent="0.25"/>
    <row r="757" ht="24.95" customHeight="1" x14ac:dyDescent="0.25"/>
    <row r="758" ht="24.95" customHeight="1" x14ac:dyDescent="0.25"/>
    <row r="759" ht="24.95" customHeight="1" x14ac:dyDescent="0.25"/>
    <row r="760" ht="24.95" customHeight="1" x14ac:dyDescent="0.25"/>
    <row r="761" ht="24.95" customHeight="1" x14ac:dyDescent="0.25"/>
    <row r="762" ht="24.95" customHeight="1" x14ac:dyDescent="0.25"/>
    <row r="763" ht="24.95" customHeight="1" x14ac:dyDescent="0.25"/>
    <row r="764" ht="24.95" customHeight="1" x14ac:dyDescent="0.25"/>
    <row r="765" ht="24.95" customHeight="1" x14ac:dyDescent="0.25"/>
    <row r="766" ht="24.95" customHeight="1" x14ac:dyDescent="0.25"/>
    <row r="767" ht="24.95" customHeight="1" x14ac:dyDescent="0.25"/>
    <row r="768" ht="24.95" customHeight="1" x14ac:dyDescent="0.25"/>
    <row r="769" ht="24.95" customHeight="1" x14ac:dyDescent="0.25"/>
    <row r="770" ht="24.95" customHeight="1" x14ac:dyDescent="0.25"/>
    <row r="771" ht="24.95" customHeight="1" x14ac:dyDescent="0.25"/>
    <row r="772" ht="24.95" customHeight="1" x14ac:dyDescent="0.25"/>
    <row r="773" ht="24.95" customHeight="1" x14ac:dyDescent="0.25"/>
    <row r="774" ht="24.95" customHeight="1" x14ac:dyDescent="0.25"/>
    <row r="775" ht="24.95" customHeight="1" x14ac:dyDescent="0.25"/>
    <row r="776" ht="24.95" customHeight="1" x14ac:dyDescent="0.25"/>
    <row r="777" ht="24.95" customHeight="1" x14ac:dyDescent="0.25"/>
    <row r="778" ht="24.95" customHeight="1" x14ac:dyDescent="0.25"/>
    <row r="779" ht="24.95" customHeight="1" x14ac:dyDescent="0.25"/>
    <row r="780" ht="24.95" customHeight="1" x14ac:dyDescent="0.25"/>
    <row r="781" ht="24.95" customHeight="1" x14ac:dyDescent="0.25"/>
    <row r="782" ht="24.95" customHeight="1" x14ac:dyDescent="0.25"/>
    <row r="783" ht="24.95" customHeight="1" x14ac:dyDescent="0.25"/>
    <row r="784" ht="24.95" customHeight="1" x14ac:dyDescent="0.25"/>
    <row r="785" ht="24.95" customHeight="1" x14ac:dyDescent="0.25"/>
    <row r="786" ht="24.95" customHeight="1" x14ac:dyDescent="0.25"/>
    <row r="787" ht="24.95" customHeight="1" x14ac:dyDescent="0.25"/>
    <row r="788" ht="24.95" customHeight="1" x14ac:dyDescent="0.25"/>
    <row r="789" ht="24.95" customHeight="1" x14ac:dyDescent="0.25"/>
    <row r="790" ht="24.95" customHeight="1" x14ac:dyDescent="0.25"/>
    <row r="791" ht="24.95" customHeight="1" x14ac:dyDescent="0.25"/>
    <row r="792" ht="24.95" customHeight="1" x14ac:dyDescent="0.25"/>
    <row r="793" ht="24.95" customHeight="1" x14ac:dyDescent="0.25"/>
    <row r="794" ht="24.95" customHeight="1" x14ac:dyDescent="0.25"/>
    <row r="795" ht="24.95" customHeight="1" x14ac:dyDescent="0.25"/>
    <row r="796" ht="24.95" customHeight="1" x14ac:dyDescent="0.25"/>
    <row r="797" ht="24.95" customHeight="1" x14ac:dyDescent="0.25"/>
    <row r="798" ht="24.95" customHeight="1" x14ac:dyDescent="0.25"/>
    <row r="799" ht="24.95" customHeight="1" x14ac:dyDescent="0.25"/>
    <row r="800" ht="24.95" customHeight="1" x14ac:dyDescent="0.25"/>
    <row r="801" ht="24.95" customHeight="1" x14ac:dyDescent="0.25"/>
    <row r="802" ht="24.95" customHeight="1" x14ac:dyDescent="0.25"/>
    <row r="803" ht="24.95" customHeight="1" x14ac:dyDescent="0.25"/>
    <row r="804" ht="24.95" customHeight="1" x14ac:dyDescent="0.25"/>
    <row r="805" ht="24.95" customHeight="1" x14ac:dyDescent="0.25"/>
    <row r="806" ht="24.95" customHeight="1" x14ac:dyDescent="0.25"/>
    <row r="807" ht="24.95" customHeight="1" x14ac:dyDescent="0.25"/>
    <row r="808" ht="24.95" customHeight="1" x14ac:dyDescent="0.25"/>
    <row r="809" ht="24.95" customHeight="1" x14ac:dyDescent="0.25"/>
    <row r="810" ht="24.95" customHeight="1" x14ac:dyDescent="0.25"/>
    <row r="811" ht="24.95" customHeight="1" x14ac:dyDescent="0.25"/>
    <row r="812" ht="24.95" customHeight="1" x14ac:dyDescent="0.25"/>
    <row r="813" ht="24.95" customHeight="1" x14ac:dyDescent="0.25"/>
    <row r="814" ht="24.95" customHeight="1" x14ac:dyDescent="0.25"/>
    <row r="815" ht="24.95" customHeight="1" x14ac:dyDescent="0.25"/>
    <row r="816" ht="24.95" customHeight="1" x14ac:dyDescent="0.25"/>
    <row r="817" ht="24.95" customHeight="1" x14ac:dyDescent="0.25"/>
    <row r="818" ht="24.95" customHeight="1" x14ac:dyDescent="0.25"/>
    <row r="819" ht="24.95" customHeight="1" x14ac:dyDescent="0.25"/>
    <row r="820" ht="24.95" customHeight="1" x14ac:dyDescent="0.25"/>
    <row r="821" ht="24.95" customHeight="1" x14ac:dyDescent="0.25"/>
    <row r="822" ht="24.95" customHeight="1" x14ac:dyDescent="0.25"/>
    <row r="823" ht="24.95" customHeight="1" x14ac:dyDescent="0.25"/>
    <row r="824" ht="24.95" customHeight="1" x14ac:dyDescent="0.25"/>
    <row r="825" ht="24.95" customHeight="1" x14ac:dyDescent="0.25"/>
    <row r="826" ht="24.95" customHeight="1" x14ac:dyDescent="0.25"/>
    <row r="827" ht="24.95" customHeight="1" x14ac:dyDescent="0.25"/>
    <row r="828" ht="24.95" customHeight="1" x14ac:dyDescent="0.25"/>
    <row r="829" ht="24.95" customHeight="1" x14ac:dyDescent="0.25"/>
    <row r="830" ht="24.95" customHeight="1" x14ac:dyDescent="0.25"/>
    <row r="831" ht="24.95" customHeight="1" x14ac:dyDescent="0.25"/>
    <row r="832" ht="24.95" customHeight="1" x14ac:dyDescent="0.25"/>
    <row r="833" ht="24.95" customHeight="1" x14ac:dyDescent="0.25"/>
    <row r="834" ht="24.95" customHeight="1" x14ac:dyDescent="0.25"/>
    <row r="835" ht="24.95" customHeight="1" x14ac:dyDescent="0.25"/>
    <row r="836" ht="24.95" customHeight="1" x14ac:dyDescent="0.25"/>
    <row r="837" ht="24.95" customHeight="1" x14ac:dyDescent="0.25"/>
    <row r="838" ht="24.95" customHeight="1" x14ac:dyDescent="0.25"/>
    <row r="839" ht="24.95" customHeight="1" x14ac:dyDescent="0.25"/>
    <row r="840" ht="24.95" customHeight="1" x14ac:dyDescent="0.25"/>
    <row r="841" ht="24.95" customHeight="1" x14ac:dyDescent="0.25"/>
    <row r="842" ht="24.95" customHeight="1" x14ac:dyDescent="0.25"/>
    <row r="843" ht="24.95" customHeight="1" x14ac:dyDescent="0.25"/>
    <row r="844" ht="24.95" customHeight="1" x14ac:dyDescent="0.25"/>
    <row r="845" ht="24.95" customHeight="1" x14ac:dyDescent="0.25"/>
    <row r="846" ht="24.95" customHeight="1" x14ac:dyDescent="0.25"/>
    <row r="847" ht="24.95" customHeight="1" x14ac:dyDescent="0.25"/>
    <row r="848" ht="24.95" customHeight="1" x14ac:dyDescent="0.25"/>
    <row r="849" ht="24.95" customHeight="1" x14ac:dyDescent="0.25"/>
    <row r="850" ht="24.95" customHeight="1" x14ac:dyDescent="0.25"/>
    <row r="851" ht="24.95" customHeight="1" x14ac:dyDescent="0.25"/>
    <row r="852" ht="24.95" customHeight="1" x14ac:dyDescent="0.25"/>
    <row r="853" ht="24.95" customHeight="1" x14ac:dyDescent="0.25"/>
    <row r="854" ht="24.95" customHeight="1" x14ac:dyDescent="0.25"/>
    <row r="855" ht="24.95" customHeight="1" x14ac:dyDescent="0.25"/>
    <row r="856" ht="24.95" customHeight="1" x14ac:dyDescent="0.25"/>
    <row r="857" ht="24.95" customHeight="1" x14ac:dyDescent="0.25"/>
    <row r="858" ht="24.95" customHeight="1" x14ac:dyDescent="0.25"/>
    <row r="859" ht="24.95" customHeight="1" x14ac:dyDescent="0.25"/>
    <row r="860" ht="24.95" customHeight="1" x14ac:dyDescent="0.25"/>
    <row r="861" ht="24.95" customHeight="1" x14ac:dyDescent="0.25"/>
    <row r="862" ht="24.95" customHeight="1" x14ac:dyDescent="0.25"/>
    <row r="863" ht="24.95" customHeight="1" x14ac:dyDescent="0.25"/>
    <row r="864" ht="24.95" customHeight="1" x14ac:dyDescent="0.25"/>
    <row r="865" ht="24.95" customHeight="1" x14ac:dyDescent="0.25"/>
    <row r="866" ht="24.95" customHeight="1" x14ac:dyDescent="0.25"/>
    <row r="867" ht="24.95" customHeight="1" x14ac:dyDescent="0.25"/>
    <row r="868" ht="24.95" customHeight="1" x14ac:dyDescent="0.25"/>
    <row r="869" ht="24.95" customHeight="1" x14ac:dyDescent="0.25"/>
    <row r="870" ht="24.95" customHeight="1" x14ac:dyDescent="0.25"/>
    <row r="871" ht="24.95" customHeight="1" x14ac:dyDescent="0.25"/>
    <row r="872" ht="24.95" customHeight="1" x14ac:dyDescent="0.25"/>
    <row r="873" ht="24.95" customHeight="1" x14ac:dyDescent="0.25"/>
    <row r="874" ht="24.95" customHeight="1" x14ac:dyDescent="0.25"/>
    <row r="875" ht="24.95" customHeight="1" x14ac:dyDescent="0.25"/>
    <row r="876" ht="24.95" customHeight="1" x14ac:dyDescent="0.25"/>
    <row r="877" ht="24.95" customHeight="1" x14ac:dyDescent="0.25"/>
    <row r="878" ht="24.95" customHeight="1" x14ac:dyDescent="0.25"/>
    <row r="879" ht="24.95" customHeight="1" x14ac:dyDescent="0.25"/>
    <row r="880" ht="24.95" customHeight="1" x14ac:dyDescent="0.25"/>
    <row r="881" ht="24.95" customHeight="1" x14ac:dyDescent="0.25"/>
    <row r="882" ht="24.95" customHeight="1" x14ac:dyDescent="0.25"/>
    <row r="883" ht="24.95" customHeight="1" x14ac:dyDescent="0.25"/>
    <row r="884" ht="24.95" customHeight="1" x14ac:dyDescent="0.25"/>
    <row r="885" ht="24.95" customHeight="1" x14ac:dyDescent="0.25"/>
    <row r="886" ht="24.95" customHeight="1" x14ac:dyDescent="0.25"/>
    <row r="887" ht="24.95" customHeight="1" x14ac:dyDescent="0.25"/>
    <row r="888" ht="24.95" customHeight="1" x14ac:dyDescent="0.25"/>
    <row r="889" ht="24.95" customHeight="1" x14ac:dyDescent="0.25"/>
    <row r="890" ht="24.95" customHeight="1" x14ac:dyDescent="0.25"/>
    <row r="891" ht="24.95" customHeight="1" x14ac:dyDescent="0.25"/>
    <row r="892" ht="24.95" customHeight="1" x14ac:dyDescent="0.25"/>
    <row r="893" ht="24.95" customHeight="1" x14ac:dyDescent="0.25"/>
    <row r="894" ht="24.95" customHeight="1" x14ac:dyDescent="0.25"/>
    <row r="895" ht="24.95" customHeight="1" x14ac:dyDescent="0.25"/>
    <row r="896" ht="24.95" customHeight="1" x14ac:dyDescent="0.25"/>
    <row r="897" ht="24.95" customHeight="1" x14ac:dyDescent="0.25"/>
    <row r="898" ht="24.95" customHeight="1" x14ac:dyDescent="0.25"/>
    <row r="899" ht="24.95" customHeight="1" x14ac:dyDescent="0.25"/>
    <row r="900" ht="24.95" customHeight="1" x14ac:dyDescent="0.25"/>
    <row r="901" ht="24.95" customHeight="1" x14ac:dyDescent="0.25"/>
    <row r="902" ht="24.95" customHeight="1" x14ac:dyDescent="0.25"/>
    <row r="903" ht="24.95" customHeight="1" x14ac:dyDescent="0.25"/>
    <row r="904" ht="24.95" customHeight="1" x14ac:dyDescent="0.25"/>
    <row r="905" ht="24.95" customHeight="1" x14ac:dyDescent="0.25"/>
    <row r="906" ht="24.95" customHeight="1" x14ac:dyDescent="0.25"/>
    <row r="907" ht="24.95" customHeight="1" x14ac:dyDescent="0.25"/>
    <row r="908" ht="24.95" customHeight="1" x14ac:dyDescent="0.25"/>
    <row r="909" ht="24.95" customHeight="1" x14ac:dyDescent="0.25"/>
    <row r="910" ht="24.95" customHeight="1" x14ac:dyDescent="0.25"/>
    <row r="911" ht="24.95" customHeight="1" x14ac:dyDescent="0.25"/>
    <row r="912" ht="24.95" customHeight="1" x14ac:dyDescent="0.25"/>
    <row r="913" ht="24.95" customHeight="1" x14ac:dyDescent="0.25"/>
    <row r="914" ht="24.95" customHeight="1" x14ac:dyDescent="0.25"/>
    <row r="915" ht="24.95" customHeight="1" x14ac:dyDescent="0.25"/>
    <row r="916" ht="24.95" customHeight="1" x14ac:dyDescent="0.25"/>
    <row r="917" ht="24.95" customHeight="1" x14ac:dyDescent="0.25"/>
    <row r="918" ht="24.95" customHeight="1" x14ac:dyDescent="0.25"/>
    <row r="919" ht="24.95" customHeight="1" x14ac:dyDescent="0.25"/>
    <row r="920" ht="24.95" customHeight="1" x14ac:dyDescent="0.25"/>
    <row r="921" ht="24.95" customHeight="1" x14ac:dyDescent="0.25"/>
    <row r="922" ht="24.95" customHeight="1" x14ac:dyDescent="0.25"/>
    <row r="923" ht="24.95" customHeight="1" x14ac:dyDescent="0.25"/>
    <row r="924" ht="24.95" customHeight="1" x14ac:dyDescent="0.25"/>
    <row r="925" ht="24.95" customHeight="1" x14ac:dyDescent="0.25"/>
    <row r="926" ht="24.95" customHeight="1" x14ac:dyDescent="0.25"/>
    <row r="927" ht="24.95" customHeight="1" x14ac:dyDescent="0.25"/>
    <row r="928" ht="24.95" customHeight="1" x14ac:dyDescent="0.25"/>
    <row r="929" ht="24.95" customHeight="1" x14ac:dyDescent="0.25"/>
    <row r="930" ht="24.95" customHeight="1" x14ac:dyDescent="0.25"/>
    <row r="931" ht="24.95" customHeight="1" x14ac:dyDescent="0.25"/>
    <row r="932" ht="24.95" customHeight="1" x14ac:dyDescent="0.25"/>
    <row r="933" ht="24.95" customHeight="1" x14ac:dyDescent="0.25"/>
    <row r="934" ht="24.95" customHeight="1" x14ac:dyDescent="0.25"/>
    <row r="935" ht="24.95" customHeight="1" x14ac:dyDescent="0.25"/>
    <row r="936" ht="24.95" customHeight="1" x14ac:dyDescent="0.25"/>
    <row r="937" ht="24.95" customHeight="1" x14ac:dyDescent="0.25"/>
    <row r="938" ht="24.95" customHeight="1" x14ac:dyDescent="0.25"/>
    <row r="939" ht="24.95" customHeight="1" x14ac:dyDescent="0.25"/>
    <row r="940" ht="24.95" customHeight="1" x14ac:dyDescent="0.25"/>
    <row r="941" ht="24.95" customHeight="1" x14ac:dyDescent="0.25"/>
    <row r="942" ht="24.95" customHeight="1" x14ac:dyDescent="0.25"/>
    <row r="943" ht="24.95" customHeight="1" x14ac:dyDescent="0.25"/>
    <row r="944" ht="24.95" customHeight="1" x14ac:dyDescent="0.25"/>
    <row r="945" ht="24.95" customHeight="1" x14ac:dyDescent="0.25"/>
    <row r="946" ht="24.95" customHeight="1" x14ac:dyDescent="0.25"/>
    <row r="947" ht="24.95" customHeight="1" x14ac:dyDescent="0.25"/>
    <row r="948" ht="24.95" customHeight="1" x14ac:dyDescent="0.25"/>
    <row r="949" ht="24.95" customHeight="1" x14ac:dyDescent="0.25"/>
    <row r="950" ht="24.95" customHeight="1" x14ac:dyDescent="0.25"/>
    <row r="951" ht="24.95" customHeight="1" x14ac:dyDescent="0.25"/>
    <row r="952" ht="24.95" customHeight="1" x14ac:dyDescent="0.25"/>
    <row r="953" ht="24.95" customHeight="1" x14ac:dyDescent="0.25"/>
    <row r="954" ht="24.95" customHeight="1" x14ac:dyDescent="0.25"/>
    <row r="955" ht="24.95" customHeight="1" x14ac:dyDescent="0.25"/>
    <row r="956" ht="24.95" customHeight="1" x14ac:dyDescent="0.25"/>
    <row r="957" ht="24.95" customHeight="1" x14ac:dyDescent="0.25"/>
    <row r="958" ht="24.95" customHeight="1" x14ac:dyDescent="0.25"/>
    <row r="959" ht="24.95" customHeight="1" x14ac:dyDescent="0.25"/>
    <row r="960" ht="24.95" customHeight="1" x14ac:dyDescent="0.25"/>
    <row r="961" ht="24.95" customHeight="1" x14ac:dyDescent="0.25"/>
    <row r="962" ht="24.95" customHeight="1" x14ac:dyDescent="0.25"/>
    <row r="963" ht="24.95" customHeight="1" x14ac:dyDescent="0.25"/>
    <row r="964" ht="24.95" customHeight="1" x14ac:dyDescent="0.25"/>
    <row r="965" ht="24.95" customHeight="1" x14ac:dyDescent="0.25"/>
    <row r="966" ht="24.95" customHeight="1" x14ac:dyDescent="0.25"/>
    <row r="967" ht="24.95" customHeight="1" x14ac:dyDescent="0.25"/>
    <row r="968" ht="24.95" customHeight="1" x14ac:dyDescent="0.25"/>
    <row r="969" ht="24.95" customHeight="1" x14ac:dyDescent="0.25"/>
    <row r="970" ht="24.95" customHeight="1" x14ac:dyDescent="0.25"/>
    <row r="971" ht="24.95" customHeight="1" x14ac:dyDescent="0.25"/>
    <row r="972" ht="24.95" customHeight="1" x14ac:dyDescent="0.25"/>
    <row r="973" ht="24.95" customHeight="1" x14ac:dyDescent="0.25"/>
    <row r="974" ht="24.95" customHeight="1" x14ac:dyDescent="0.25"/>
    <row r="975" ht="24.95" customHeight="1" x14ac:dyDescent="0.25"/>
    <row r="976" ht="24.95" customHeight="1" x14ac:dyDescent="0.25"/>
    <row r="977" ht="24.95" customHeight="1" x14ac:dyDescent="0.25"/>
    <row r="978" ht="24.95" customHeight="1" x14ac:dyDescent="0.25"/>
    <row r="979" ht="24.95" customHeight="1" x14ac:dyDescent="0.25"/>
    <row r="980" ht="24.95" customHeight="1" x14ac:dyDescent="0.25"/>
    <row r="981" ht="24.95" customHeight="1" x14ac:dyDescent="0.25"/>
    <row r="982" ht="24.95" customHeight="1" x14ac:dyDescent="0.25"/>
    <row r="983" ht="24.95" customHeight="1" x14ac:dyDescent="0.25"/>
    <row r="984" ht="24.95" customHeight="1" x14ac:dyDescent="0.25"/>
    <row r="985" ht="24.95" customHeight="1" x14ac:dyDescent="0.25"/>
    <row r="986" ht="24.95" customHeight="1" x14ac:dyDescent="0.25"/>
    <row r="987" ht="24.95" customHeight="1" x14ac:dyDescent="0.25"/>
    <row r="988" ht="24.95" customHeight="1" x14ac:dyDescent="0.25"/>
    <row r="989" ht="24.95" customHeight="1" x14ac:dyDescent="0.25"/>
    <row r="990" ht="24.95" customHeight="1" x14ac:dyDescent="0.25"/>
    <row r="991" ht="24.95" customHeight="1" x14ac:dyDescent="0.25"/>
    <row r="992" ht="24.95" customHeight="1" x14ac:dyDescent="0.25"/>
    <row r="993" ht="24.95" customHeight="1" x14ac:dyDescent="0.25"/>
    <row r="994" ht="24.95" customHeight="1" x14ac:dyDescent="0.25"/>
    <row r="995" ht="24.95" customHeight="1" x14ac:dyDescent="0.25"/>
    <row r="996" ht="24.95" customHeight="1" x14ac:dyDescent="0.25"/>
    <row r="997" ht="24.95" customHeight="1" x14ac:dyDescent="0.25"/>
    <row r="998" ht="24.95" customHeight="1" x14ac:dyDescent="0.25"/>
    <row r="999" ht="24.95" customHeight="1" x14ac:dyDescent="0.25"/>
    <row r="1000" ht="24.95" customHeight="1" x14ac:dyDescent="0.25"/>
    <row r="1001" ht="24.95" customHeight="1" x14ac:dyDescent="0.25"/>
  </sheetData>
  <autoFilter ref="B1:DV1" xr:uid="{00000000-0009-0000-0000-000000000000}">
    <sortState xmlns:xlrd2="http://schemas.microsoft.com/office/spreadsheetml/2017/richdata2" ref="B2:DV11">
      <sortCondition ref="B1"/>
    </sortState>
  </autoFilter>
  <phoneticPr fontId="53" type="noConversion"/>
  <conditionalFormatting sqref="S1:T1048576">
    <cfRule type="colorScale" priority="4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:T1048576">
    <cfRule type="colorScale" priority="4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T11">
    <cfRule type="colorScale" priority="480">
      <colorScale>
        <cfvo type="num" val="0"/>
        <cfvo type="num" val="50"/>
        <cfvo type="num" val="60"/>
        <color rgb="FFC00000"/>
        <color rgb="FFFFEB84"/>
        <color theme="9" tint="0.39997558519241921"/>
      </colorScale>
    </cfRule>
  </conditionalFormatting>
  <conditionalFormatting sqref="S1:S1048576">
    <cfRule type="colorScale" priority="355">
      <colorScale>
        <cfvo type="min"/>
        <cfvo type="max"/>
        <color rgb="FFFCFCFF"/>
        <color rgb="FFF8696B"/>
      </colorScale>
    </cfRule>
    <cfRule type="colorScale" priority="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U1048576">
    <cfRule type="colorScale" priority="306">
      <colorScale>
        <cfvo type="min"/>
        <cfvo type="max"/>
        <color rgb="FFFCFCFF"/>
        <color rgb="FFF8696B"/>
      </colorScale>
    </cfRule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:AQ1048576">
    <cfRule type="iconSet" priority="12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:AP1048576">
    <cfRule type="iconSet" priority="12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47">
      <colorScale>
        <cfvo type="min"/>
        <cfvo type="percentile" val="50"/>
        <cfvo type="max"/>
        <color rgb="FFF8696B"/>
        <color theme="8" tint="0.79998168889431442"/>
        <color rgb="FF00B0F0"/>
      </colorScale>
    </cfRule>
  </conditionalFormatting>
  <conditionalFormatting sqref="G1:G1048576">
    <cfRule type="colorScale" priority="4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1:BL1048576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H1048576">
    <cfRule type="colorScale" priority="3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:AK1048576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ntainsText" dxfId="8" priority="67" operator="containsText" text="Sem Data Final">
      <formula>NOT(ISERROR(SEARCH("Sem Data Final",I1)))</formula>
    </cfRule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:AS1048576">
    <cfRule type="iconSet" priority="12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:AR1048576">
    <cfRule type="iconSet" priority="13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82">
      <colorScale>
        <cfvo type="min"/>
        <cfvo type="percentile" val="50"/>
        <cfvo type="max"/>
        <color rgb="FFF8696B"/>
        <color theme="8" tint="0.59999389629810485"/>
        <color theme="4" tint="-0.249977111117893"/>
      </colorScale>
    </cfRule>
    <cfRule type="dataBar" priority="1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{6D537749-53AB-41C5-A1F8-D46AFC65EE80}</x14:id>
        </ext>
      </extLst>
    </cfRule>
  </conditionalFormatting>
  <conditionalFormatting sqref="AY1:AY1048576">
    <cfRule type="colorScale" priority="2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1">
    <cfRule type="colorScale" priority="4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:BA1048576">
    <cfRule type="iconSet" priority="13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4">
      <colorScale>
        <cfvo type="num" val="-1E-4"/>
        <cfvo type="num" val="0"/>
        <cfvo type="max"/>
        <color rgb="FFF8696B"/>
        <color theme="7" tint="0.79998168889431442"/>
        <color rgb="FFEC7524"/>
      </colorScale>
    </cfRule>
  </conditionalFormatting>
  <conditionalFormatting sqref="AZ1:AZ1048576">
    <cfRule type="colorScale" priority="2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1:BB1048576">
    <cfRule type="iconSet" priority="13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3">
      <colorScale>
        <cfvo type="num" val="-1E-4"/>
        <cfvo type="num" val="0"/>
        <cfvo type="max"/>
        <color rgb="FFF8696B"/>
        <color theme="7" tint="0.79998168889431442"/>
        <color rgb="FFEC7524"/>
      </colorScale>
    </cfRule>
  </conditionalFormatting>
  <conditionalFormatting sqref="CK2:CK1048576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196">
      <colorScale>
        <cfvo type="min"/>
        <cfvo type="percentile" val="50"/>
        <cfvo type="max"/>
        <color rgb="FFFFF2CC"/>
        <color rgb="FFF8CBAD"/>
        <color rgb="FFC65911"/>
      </colorScale>
    </cfRule>
  </conditionalFormatting>
  <conditionalFormatting sqref="CJ1:CJ1048576">
    <cfRule type="colorScale" priority="311">
      <colorScale>
        <cfvo type="min"/>
        <cfvo type="max"/>
        <color rgb="FF63BE7B"/>
        <color rgb="FFFFEF9C"/>
      </colorScale>
    </cfRule>
  </conditionalFormatting>
  <conditionalFormatting sqref="F1:F1048576">
    <cfRule type="colorScale" priority="309">
      <colorScale>
        <cfvo type="num" val="23"/>
        <cfvo type="num" val="28"/>
        <cfvo type="num" val="30"/>
        <color rgb="FF63BE7B"/>
        <color rgb="FFFFEB84"/>
        <color rgb="FFF8696B"/>
      </colorScale>
    </cfRule>
  </conditionalFormatting>
  <conditionalFormatting sqref="BI1:BI1048576">
    <cfRule type="colorScale" priority="226">
      <colorScale>
        <cfvo type="min"/>
        <cfvo type="percentile" val="50"/>
        <cfvo type="max"/>
        <color theme="5" tint="0.79998168889431442"/>
        <color theme="5" tint="0.39997558519241921"/>
        <color rgb="FFEC7524"/>
      </colorScale>
    </cfRule>
  </conditionalFormatting>
  <conditionalFormatting sqref="BG1:BG1048576">
    <cfRule type="colorScale" priority="227">
      <colorScale>
        <cfvo type="min"/>
        <cfvo type="percentile" val="50"/>
        <cfvo type="max"/>
        <color theme="5" tint="0.79998168889431442"/>
        <color theme="5" tint="0.39997558519241921"/>
        <color rgb="FFEC7524"/>
      </colorScale>
    </cfRule>
  </conditionalFormatting>
  <conditionalFormatting sqref="H1:H1048576">
    <cfRule type="colorScale" priority="273">
      <colorScale>
        <cfvo type="num" val="1.78"/>
        <cfvo type="percent" val="1.8499000000000001"/>
        <cfvo type="num" val="1.85"/>
        <color rgb="FFF8696B"/>
        <color rgb="FFFFEB84"/>
        <color rgb="FF63BE7B"/>
      </colorScale>
    </cfRule>
  </conditionalFormatting>
  <conditionalFormatting sqref="CK1">
    <cfRule type="colorScale" priority="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1">
    <cfRule type="colorScale" priority="2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1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1">
    <cfRule type="colorScale" priority="2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1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1">
    <cfRule type="colorScale" priority="2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:CD1048576">
    <cfRule type="colorScale" priority="109">
      <colorScale>
        <cfvo type="num" val="0"/>
        <cfvo type="num" val="1"/>
        <cfvo type="max"/>
        <color rgb="FFFCFCFF"/>
        <color rgb="FFFFAFAF"/>
        <color rgb="FFF8696B"/>
      </colorScale>
    </cfRule>
  </conditionalFormatting>
  <conditionalFormatting sqref="BC1:BC1048576">
    <cfRule type="iconSet" priority="12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2">
      <colorScale>
        <cfvo type="num" val="-1E-4"/>
        <cfvo type="num" val="0"/>
        <cfvo type="max"/>
        <color rgb="FFF8696B"/>
        <color theme="7" tint="0.79998168889431442"/>
        <color rgb="FFEC7524"/>
      </colorScale>
    </cfRule>
  </conditionalFormatting>
  <conditionalFormatting sqref="BD1:BD1048576">
    <cfRule type="iconSet" priority="12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1">
      <colorScale>
        <cfvo type="num" val="-1E-4"/>
        <cfvo type="num" val="0"/>
        <cfvo type="max"/>
        <color rgb="FFF8696B"/>
        <color rgb="FFFFF2CC"/>
        <color rgb="FFEC7524"/>
      </colorScale>
    </cfRule>
  </conditionalFormatting>
  <conditionalFormatting sqref="CK1:CK1048576">
    <cfRule type="colorScale" priority="185">
      <colorScale>
        <cfvo type="num" val="6.59"/>
        <cfvo type="num" val="6.99"/>
        <cfvo type="num" val="7"/>
        <color rgb="FFF8696B"/>
        <color rgb="FFFFEB84"/>
        <color rgb="FF63BE7B"/>
      </colorScale>
    </cfRule>
    <cfRule type="iconSet" priority="221">
      <iconSet iconSet="3Arrows">
        <cfvo type="percent" val="0"/>
        <cfvo type="num" val="6.7"/>
        <cfvo type="num" val="7"/>
      </iconSet>
    </cfRule>
  </conditionalFormatting>
  <conditionalFormatting sqref="BM1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1:BM1048576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">
    <cfRule type="colorScale" priority="2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colorScale" priority="15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E1:AE1048576">
    <cfRule type="colorScale" priority="15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F1:AF1048576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K1048576">
    <cfRule type="colorScale" priority="6606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:AG1048576">
    <cfRule type="colorScale" priority="15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H1:AH1048576">
    <cfRule type="colorScale" priority="15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I1:AI1048576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:AJ1048576">
    <cfRule type="colorScale" priority="15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K1:AK1048576">
    <cfRule type="colorScale" priority="1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U1:BU1048576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{4BE9EE7D-CDDB-4B76-9FC0-2CD95ACCE319}</x14:id>
        </ext>
      </extLst>
    </cfRule>
    <cfRule type="colorScale" priority="122">
      <colorScale>
        <cfvo type="min"/>
        <cfvo type="percentile" val="50"/>
        <cfvo type="max"/>
        <color theme="8" tint="0.79998168889431442"/>
        <color theme="8" tint="0.59999389629810485"/>
        <color rgb="FF5A8AC6"/>
      </colorScale>
    </cfRule>
  </conditionalFormatting>
  <conditionalFormatting sqref="BV1:BV1048576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{648AEEE9-13DF-48FA-A43C-E66A6020C798}</x14:id>
        </ext>
      </extLst>
    </cfRule>
    <cfRule type="colorScale" priority="121">
      <colorScale>
        <cfvo type="min"/>
        <cfvo type="percentile" val="50"/>
        <cfvo type="max"/>
        <color theme="8" tint="0.79998168889431442"/>
        <color theme="8" tint="0.59999389629810485"/>
        <color rgb="FF5A8AC6"/>
      </colorScale>
    </cfRule>
  </conditionalFormatting>
  <conditionalFormatting sqref="BW1:BW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{57C7AC16-7E8C-445D-9290-782E5BFF0B76}</x14:id>
        </ext>
      </extLst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11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1:BX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{50FFED53-08B6-497C-9D58-1364802B3BF2}</x14:id>
        </ext>
      </extLst>
    </cfRule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118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1:BY1048576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{F0FF4969-8518-4C18-9439-A6DB8733BA81}</x14:id>
        </ext>
      </extLst>
    </cfRule>
    <cfRule type="colorScale" priority="116">
      <colorScale>
        <cfvo type="min"/>
        <cfvo type="max"/>
        <color rgb="FFFCFCFF"/>
        <color rgb="FFF8696B"/>
      </colorScale>
    </cfRule>
  </conditionalFormatting>
  <conditionalFormatting sqref="BZ1:BZ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{04F2973A-18B8-4617-B93D-E979E0E0DA0A}</x14:id>
        </ext>
      </extLst>
    </cfRule>
    <cfRule type="colorScale" priority="115">
      <colorScale>
        <cfvo type="min"/>
        <cfvo type="max"/>
        <color rgb="FFFCFCFF"/>
        <color rgb="FFF8696B"/>
      </colorScale>
    </cfRule>
  </conditionalFormatting>
  <conditionalFormatting sqref="CA1:CA1048576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1:CB1048576">
    <cfRule type="colorScale" priority="112">
      <colorScale>
        <cfvo type="num" val="0"/>
        <cfvo type="num" val="1"/>
        <cfvo type="max"/>
        <color rgb="FFFCFCFF"/>
        <color rgb="FFFFAFAF"/>
        <color rgb="FFF8696B"/>
      </colorScale>
    </cfRule>
  </conditionalFormatting>
  <conditionalFormatting sqref="CC1:CC1048576">
    <cfRule type="colorScale" priority="110">
      <colorScale>
        <cfvo type="num" val="0.5"/>
        <cfvo type="max"/>
        <color rgb="FFFCFCFF"/>
        <color rgb="FFF8696B"/>
      </colorScale>
    </cfRule>
  </conditionalFormatting>
  <conditionalFormatting sqref="R1:R1048576">
    <cfRule type="iconSet" priority="10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10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:P1048576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100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L1:L1048576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92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95">
      <iconSet iconSet="3ArrowsGray">
        <cfvo type="percent" val="0"/>
        <cfvo type="percent" val="33"/>
        <cfvo type="percent" val="67"/>
      </iconSet>
    </cfRule>
  </conditionalFormatting>
  <conditionalFormatting sqref="N1:N1048576">
    <cfRule type="colorScale" priority="91">
      <colorScale>
        <cfvo type="min"/>
        <cfvo type="percentile" val="50"/>
        <cfvo type="max"/>
        <color theme="5" tint="-0.249977111117893"/>
        <color theme="5" tint="0.39997558519241921"/>
        <color theme="5" tint="0.79998168889431442"/>
      </colorScale>
    </cfRule>
    <cfRule type="iconSet" priority="94">
      <iconSet iconSet="3ArrowsGray">
        <cfvo type="percent" val="0"/>
        <cfvo type="percent" val="33"/>
        <cfvo type="percent" val="67"/>
      </iconSet>
    </cfRule>
  </conditionalFormatting>
  <conditionalFormatting sqref="O1:O1048576">
    <cfRule type="colorScale" priority="90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93">
      <iconSet iconSet="3ArrowsGray">
        <cfvo type="percent" val="0"/>
        <cfvo type="percent" val="33"/>
        <cfvo type="percent" val="67"/>
      </iconSet>
    </cfRule>
  </conditionalFormatting>
  <conditionalFormatting sqref="AT1:AT1048576">
    <cfRule type="iconSet" priority="7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U1048576">
    <cfRule type="iconSet" priority="6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:AW1048576">
    <cfRule type="iconSet" priority="6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:AX1048576">
    <cfRule type="iconSet" priority="6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:AV104857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  <cfRule type="iconSet" priority="58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G1:CG1048576">
    <cfRule type="colorScale" priority="55">
      <colorScale>
        <cfvo type="min"/>
        <cfvo type="max"/>
        <color rgb="FFFFEF9C"/>
        <color rgb="FF63BE7B"/>
      </colorScale>
    </cfRule>
  </conditionalFormatting>
  <conditionalFormatting sqref="CH1:CH1048576">
    <cfRule type="colorScale" priority="54">
      <colorScale>
        <cfvo type="min"/>
        <cfvo type="max"/>
        <color rgb="FFFFEF9C"/>
        <color rgb="FF63BE7B"/>
      </colorScale>
    </cfRule>
  </conditionalFormatting>
  <conditionalFormatting sqref="CI1:CI1048576">
    <cfRule type="iconSet" priority="5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1:CE1048576">
    <cfRule type="colorScale" priority="51">
      <colorScale>
        <cfvo type="min"/>
        <cfvo type="percentile" val="50"/>
        <cfvo type="max"/>
        <color theme="8" tint="0.79998168889431442"/>
        <color theme="4" tint="0.59999389629810485"/>
        <color rgb="FF5799D5"/>
      </colorScale>
    </cfRule>
  </conditionalFormatting>
  <conditionalFormatting sqref="CF1:CF1048576">
    <cfRule type="colorScale" priority="50">
      <colorScale>
        <cfvo type="min"/>
        <cfvo type="max"/>
        <color rgb="FFFCFCFF"/>
        <color rgb="FFF8696B"/>
      </colorScale>
    </cfRule>
  </conditionalFormatting>
  <conditionalFormatting sqref="BN1:BN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{E9A7ED1D-7264-4B20-9282-DA6CAF4BC8E9}</x14:id>
        </ext>
      </extLst>
    </cfRule>
    <cfRule type="colorScale" priority="47">
      <colorScale>
        <cfvo type="min"/>
        <cfvo type="max"/>
        <color rgb="FFFCFCFF"/>
        <color rgb="FFF8696B"/>
      </colorScale>
    </cfRule>
  </conditionalFormatting>
  <conditionalFormatting sqref="BQ1:BQ104857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{ADB8A499-A97D-49B2-B301-1329DDB18C80}</x14:id>
        </ext>
      </extLst>
    </cfRule>
    <cfRule type="iconSet" priority="4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1:BR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{F852551D-5544-4F19-A7FE-F7475D677C53}</x14:id>
        </ext>
      </extLst>
    </cfRule>
    <cfRule type="iconSet" priority="3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:BS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{702A60C2-3457-4868-B22C-49D3CEF76C48}</x14:id>
        </ext>
      </extLst>
    </cfRule>
    <cfRule type="iconSet" priority="37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38">
      <colorScale>
        <cfvo type="min"/>
        <cfvo type="max"/>
        <color rgb="FFFCFCFF"/>
        <color rgb="FFF8696B"/>
      </colorScale>
    </cfRule>
  </conditionalFormatting>
  <conditionalFormatting sqref="BT1:BT1048576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{9E7037D8-2F78-49E1-8FD3-C774A01DBAF5}</x14:id>
        </ext>
      </extLst>
    </cfRule>
    <cfRule type="iconSet" priority="35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36">
      <colorScale>
        <cfvo type="min"/>
        <cfvo type="max"/>
        <color rgb="FFFCFCFF"/>
        <color rgb="FFF8696B"/>
      </colorScale>
    </cfRule>
  </conditionalFormatting>
  <conditionalFormatting sqref="AO1:AO1048576">
    <cfRule type="colorScale" priority="34">
      <colorScale>
        <cfvo type="min"/>
        <cfvo type="percentile" val="50"/>
        <cfvo type="max"/>
        <color rgb="FFFFF2CC"/>
        <color rgb="FFF8CBAD"/>
        <color rgb="FFC65911"/>
      </colorScale>
    </cfRule>
  </conditionalFormatting>
  <conditionalFormatting sqref="AL1:AL1048576">
    <cfRule type="colorScale" priority="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M1:AM1048576">
    <cfRule type="iconSet" priority="3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1048576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1048576">
    <cfRule type="colorScale" priority="29">
      <colorScale>
        <cfvo type="min"/>
        <cfvo type="max"/>
        <color rgb="FFC9E9D1"/>
        <color rgb="FF63BE7B"/>
      </colorScale>
    </cfRule>
  </conditionalFormatting>
  <conditionalFormatting sqref="X1:X1048576">
    <cfRule type="colorScale" priority="27">
      <colorScale>
        <cfvo type="min"/>
        <cfvo type="max"/>
        <color rgb="FFC9E9D1"/>
        <color rgb="FF63BE7B"/>
      </colorScale>
    </cfRule>
  </conditionalFormatting>
  <conditionalFormatting sqref="Y1:Y1048576">
    <cfRule type="colorScale" priority="26">
      <colorScale>
        <cfvo type="min"/>
        <cfvo type="percentile" val="50"/>
        <cfvo type="max"/>
        <color rgb="FFF8696B"/>
        <color rgb="FFC9E9D1"/>
        <color rgb="FF00B0F0"/>
      </colorScale>
    </cfRule>
  </conditionalFormatting>
  <conditionalFormatting sqref="Z1:Z1048576">
    <cfRule type="colorScale" priority="25">
      <colorScale>
        <cfvo type="min"/>
        <cfvo type="percentile" val="50"/>
        <cfvo type="max"/>
        <color rgb="FFF8696B"/>
        <color rgb="FFC9E9D1"/>
        <color rgb="FF00B0F0"/>
      </colorScale>
    </cfRule>
  </conditionalFormatting>
  <conditionalFormatting sqref="AA1:AA1048576">
    <cfRule type="colorScale" priority="24">
      <colorScale>
        <cfvo type="min"/>
        <cfvo type="percentile" val="50"/>
        <cfvo type="max"/>
        <color rgb="FFF8696B"/>
        <color rgb="FFC9E9D1"/>
        <color rgb="FF00B0F0"/>
      </colorScale>
    </cfRule>
  </conditionalFormatting>
  <conditionalFormatting sqref="AB1:AB1048576">
    <cfRule type="colorScale" priority="23">
      <colorScale>
        <cfvo type="min"/>
        <cfvo type="percentile" val="50"/>
        <cfvo type="max"/>
        <color theme="7" tint="0.79998168889431442"/>
        <color rgb="FFC9E9D1"/>
        <color rgb="FF63BE7B"/>
      </colorScale>
    </cfRule>
  </conditionalFormatting>
  <conditionalFormatting sqref="AC1:AC1048576">
    <cfRule type="colorScale" priority="22">
      <colorScale>
        <cfvo type="min"/>
        <cfvo type="percentile" val="50"/>
        <cfvo type="max"/>
        <color rgb="FFFFF2CC"/>
        <color rgb="FFC9E9D1"/>
        <color rgb="FF63BE7B"/>
      </colorScale>
    </cfRule>
  </conditionalFormatting>
  <conditionalFormatting sqref="BF1:BF1048576">
    <cfRule type="iconSet" priority="2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1">
      <colorScale>
        <cfvo type="num" val="-1.0000000000000001E-5"/>
        <cfvo type="num" val="0"/>
        <cfvo type="max"/>
        <color rgb="FFF8696B"/>
        <color rgb="FFFFF2CC"/>
        <color rgb="FFEC7524"/>
      </colorScale>
    </cfRule>
  </conditionalFormatting>
  <conditionalFormatting sqref="BK1:BK1048576">
    <cfRule type="colorScale" priority="19">
      <colorScale>
        <cfvo type="min"/>
        <cfvo type="percentile" val="50"/>
        <cfvo type="max"/>
        <color rgb="FFF8696B"/>
        <color rgb="FFFFF2CC"/>
        <color rgb="FFEC7524"/>
      </colorScale>
    </cfRule>
  </conditionalFormatting>
  <conditionalFormatting sqref="BE1:BE1048576">
    <cfRule type="iconSet" priority="1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8">
      <colorScale>
        <cfvo type="num" val="-1.0000000000000001E-5"/>
        <cfvo type="num" val="0"/>
        <cfvo type="max"/>
        <color rgb="FFF8696B"/>
        <color rgb="FFFFF2CC"/>
        <color rgb="FFEC7524"/>
      </colorScale>
    </cfRule>
  </conditionalFormatting>
  <conditionalFormatting sqref="BH1:BH1048576">
    <cfRule type="dataBar" priority="16">
      <dataBar>
        <cfvo type="min"/>
        <cfvo type="max"/>
        <color theme="5" tint="-0.249977111117893"/>
      </dataBar>
      <extLst>
        <ext xmlns:x14="http://schemas.microsoft.com/office/spreadsheetml/2009/9/main" uri="{B025F937-C7B1-47D3-B67F-A62EFF666E3E}">
          <x14:id>{CA2A2EB0-01C3-41EB-84DB-6FDA66D2A7D6}</x14:id>
        </ext>
      </extLst>
    </cfRule>
  </conditionalFormatting>
  <conditionalFormatting sqref="BJ1:BJ1048576">
    <cfRule type="dataBar" priority="15">
      <dataBar>
        <cfvo type="min"/>
        <cfvo type="max"/>
        <color rgb="FFEC7524"/>
      </dataBar>
      <extLst>
        <ext xmlns:x14="http://schemas.microsoft.com/office/spreadsheetml/2009/9/main" uri="{B025F937-C7B1-47D3-B67F-A62EFF666E3E}">
          <x14:id>{E05C20E0-DEA5-4297-A5E0-AD81D5F854F9}</x14:id>
        </ext>
      </extLst>
    </cfRule>
  </conditionalFormatting>
  <conditionalFormatting sqref="J1:J1048576">
    <cfRule type="colorScale" priority="23736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1:BO1048576">
    <cfRule type="dataBar" priority="14">
      <dataBar>
        <cfvo type="min"/>
        <cfvo type="max"/>
        <color rgb="FFA20000"/>
      </dataBar>
      <extLst>
        <ext xmlns:x14="http://schemas.microsoft.com/office/spreadsheetml/2009/9/main" uri="{B025F937-C7B1-47D3-B67F-A62EFF666E3E}">
          <x14:id>{912F4324-9B94-4CBC-97BC-6E0664AE96AE}</x14:id>
        </ext>
      </extLst>
    </cfRule>
  </conditionalFormatting>
  <conditionalFormatting sqref="BP1:BP1048576">
    <cfRule type="dataBar" priority="13">
      <dataBar>
        <cfvo type="min"/>
        <cfvo type="max"/>
        <color rgb="FFA20000"/>
      </dataBar>
      <extLst>
        <ext xmlns:x14="http://schemas.microsoft.com/office/spreadsheetml/2009/9/main" uri="{B025F937-C7B1-47D3-B67F-A62EFF666E3E}">
          <x14:id>{0D56D725-C2A4-47B5-A774-7D791B524F90}</x14:id>
        </ext>
      </extLst>
    </cfRule>
  </conditionalFormatting>
  <conditionalFormatting sqref="BM12:BM1048576 BM1">
    <cfRule type="colorScale" priority="24413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:U11">
    <cfRule type="colorScale" priority="2441340">
      <colorScale>
        <cfvo type="percent" val="0"/>
        <cfvo type="percent" val="50"/>
        <cfvo type="percent" val="100"/>
        <color theme="9" tint="0.79998168889431442"/>
        <color rgb="FFFF0000"/>
        <color rgb="FFC00000"/>
      </colorScale>
    </cfRule>
  </conditionalFormatting>
  <conditionalFormatting sqref="AI2:AK11">
    <cfRule type="colorScale" priority="24413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2:CK11">
    <cfRule type="colorScale" priority="24413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2:BM11">
    <cfRule type="colorScale" priority="2441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2:BM11">
    <cfRule type="colorScale" priority="2441344">
      <colorScale>
        <cfvo type="min"/>
        <cfvo type="percent" val="50"/>
        <cfvo type="max"/>
        <color theme="0" tint="0.79998168889431442"/>
        <color theme="9" tint="0.59999389629810485"/>
        <color rgb="FF63BE7B"/>
      </colorScale>
    </cfRule>
    <cfRule type="colorScale" priority="2441345">
      <colorScale>
        <cfvo type="min"/>
        <cfvo type="max"/>
        <color rgb="FFFFEF9C"/>
        <color rgb="FF63BE7B"/>
      </colorScale>
    </cfRule>
  </conditionalFormatting>
  <conditionalFormatting sqref="BM2:BM11">
    <cfRule type="colorScale" priority="2441346">
      <colorScale>
        <cfvo type="min"/>
        <cfvo type="percentile" val="50"/>
        <cfvo type="max"/>
        <color theme="5" tint="0.79998168889431442"/>
        <color theme="5" tint="0.39997558519241921"/>
        <color rgb="FFEC7524"/>
      </colorScale>
    </cfRule>
    <cfRule type="colorScale" priority="24413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41348">
      <colorScale>
        <cfvo type="min"/>
        <cfvo type="max"/>
        <color rgb="FFFCFCFF"/>
        <color rgb="FF63BE7B"/>
      </colorScale>
    </cfRule>
  </conditionalFormatting>
  <conditionalFormatting sqref="BM2:BM11">
    <cfRule type="colorScale" priority="244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E11">
    <cfRule type="colorScale" priority="24413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41351">
      <colorScale>
        <cfvo type="min"/>
        <cfvo type="max"/>
        <color rgb="FFFFEF9C"/>
        <color rgb="FF63BE7B"/>
      </colorScale>
    </cfRule>
  </conditionalFormatting>
  <conditionalFormatting sqref="AD2:AE11">
    <cfRule type="colorScale" priority="24413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2:AH11">
    <cfRule type="colorScale" priority="24413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41354">
      <colorScale>
        <cfvo type="min"/>
        <cfvo type="max"/>
        <color rgb="FFFFEF9C"/>
        <color rgb="FF63BE7B"/>
      </colorScale>
    </cfRule>
  </conditionalFormatting>
  <conditionalFormatting sqref="AG2:AH11">
    <cfRule type="colorScale" priority="24413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:AK11">
    <cfRule type="colorScale" priority="2441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:AK11">
    <cfRule type="colorScale" priority="2441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41358">
      <colorScale>
        <cfvo type="min"/>
        <cfvo type="max"/>
        <color rgb="FFFFEF9C"/>
        <color rgb="FF63BE7B"/>
      </colorScale>
    </cfRule>
  </conditionalFormatting>
  <conditionalFormatting sqref="AJ2:AJ11">
    <cfRule type="colorScale" priority="24413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:AK11">
    <cfRule type="colorScale" priority="2441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:AF11">
    <cfRule type="colorScale" priority="2441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2:AP11">
    <cfRule type="dataBar" priority="24413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{2FC819BD-B89C-455D-B6AE-68CC0317ED24}</x14:id>
        </ext>
      </extLst>
    </cfRule>
  </conditionalFormatting>
  <conditionalFormatting sqref="J2:J11">
    <cfRule type="colorScale" priority="24413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D537749-53AB-41C5-A1F8-D46AFC65EE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AR1:AR1048576</xm:sqref>
        </x14:conditionalFormatting>
        <x14:conditionalFormatting xmlns:xm="http://schemas.microsoft.com/office/excel/2006/main">
          <x14:cfRule type="dataBar" id="{4BE9EE7D-CDDB-4B76-9FC0-2CD95ACCE3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BU1:BU1048576</xm:sqref>
        </x14:conditionalFormatting>
        <x14:conditionalFormatting xmlns:xm="http://schemas.microsoft.com/office/excel/2006/main">
          <x14:cfRule type="dataBar" id="{648AEEE9-13DF-48FA-A43C-E66A6020C7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BV1:BV1048576</xm:sqref>
        </x14:conditionalFormatting>
        <x14:conditionalFormatting xmlns:xm="http://schemas.microsoft.com/office/excel/2006/main">
          <x14:cfRule type="dataBar" id="{57C7AC16-7E8C-445D-9290-782E5BFF0B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BW1:BW1048576</xm:sqref>
        </x14:conditionalFormatting>
        <x14:conditionalFormatting xmlns:xm="http://schemas.microsoft.com/office/excel/2006/main">
          <x14:cfRule type="dataBar" id="{50FFED53-08B6-497C-9D58-1364802B3B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BX1:BX1048576</xm:sqref>
        </x14:conditionalFormatting>
        <x14:conditionalFormatting xmlns:xm="http://schemas.microsoft.com/office/excel/2006/main">
          <x14:cfRule type="dataBar" id="{F0FF4969-8518-4C18-9439-A6DB8733BA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BY1:BY1048576</xm:sqref>
        </x14:conditionalFormatting>
        <x14:conditionalFormatting xmlns:xm="http://schemas.microsoft.com/office/excel/2006/main">
          <x14:cfRule type="dataBar" id="{04F2973A-18B8-4617-B93D-E979E0E0DA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BZ1:BZ1048576</xm:sqref>
        </x14:conditionalFormatting>
        <x14:conditionalFormatting xmlns:xm="http://schemas.microsoft.com/office/excel/2006/main">
          <x14:cfRule type="dataBar" id="{E9A7ED1D-7264-4B20-9282-DA6CAF4BC8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BN1:BN1048576</xm:sqref>
        </x14:conditionalFormatting>
        <x14:conditionalFormatting xmlns:xm="http://schemas.microsoft.com/office/excel/2006/main">
          <x14:cfRule type="dataBar" id="{ADB8A499-A97D-49B2-B301-1329DDB18C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BQ1:BQ1048576</xm:sqref>
        </x14:conditionalFormatting>
        <x14:conditionalFormatting xmlns:xm="http://schemas.microsoft.com/office/excel/2006/main">
          <x14:cfRule type="dataBar" id="{F852551D-5544-4F19-A7FE-F7475D677C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BR1:BR1048576</xm:sqref>
        </x14:conditionalFormatting>
        <x14:conditionalFormatting xmlns:xm="http://schemas.microsoft.com/office/excel/2006/main">
          <x14:cfRule type="dataBar" id="{702A60C2-3457-4868-B22C-49D3CEF76C4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BS1:BS1048576</xm:sqref>
        </x14:conditionalFormatting>
        <x14:conditionalFormatting xmlns:xm="http://schemas.microsoft.com/office/excel/2006/main">
          <x14:cfRule type="dataBar" id="{9E7037D8-2F78-49E1-8FD3-C774A01DBA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BT1:BT1048576</xm:sqref>
        </x14:conditionalFormatting>
        <x14:conditionalFormatting xmlns:xm="http://schemas.microsoft.com/office/excel/2006/main">
          <x14:cfRule type="dataBar" id="{CA2A2EB0-01C3-41EB-84DB-6FDA66D2A7D6}">
            <x14:dataBar minLength="0" maxLength="100" border="1" negativeBarBorderColorSameAsPositive="0">
              <x14:cfvo type="autoMin"/>
              <x14:cfvo type="autoMax"/>
              <x14:borderColor theme="5" tint="0.39997558519241921"/>
              <x14:negativeFillColor rgb="FFFF0000"/>
              <x14:negativeBorderColor rgb="FFFF0000"/>
              <x14:axisColor rgb="FF000000"/>
            </x14:dataBar>
          </x14:cfRule>
          <xm:sqref>BH1:BH1048576</xm:sqref>
        </x14:conditionalFormatting>
        <x14:conditionalFormatting xmlns:xm="http://schemas.microsoft.com/office/excel/2006/main">
          <x14:cfRule type="dataBar" id="{E05C20E0-DEA5-4297-A5E0-AD81D5F854F9}">
            <x14:dataBar minLength="0" maxLength="100" border="1" negativeBarBorderColorSameAsPositive="0">
              <x14:cfvo type="autoMin"/>
              <x14:cfvo type="autoMax"/>
              <x14:borderColor theme="5" tint="0.39997558519241921"/>
              <x14:negativeFillColor rgb="FFFF0000"/>
              <x14:negativeBorderColor rgb="FFFF0000"/>
              <x14:axisColor rgb="FF000000"/>
            </x14:dataBar>
          </x14:cfRule>
          <xm:sqref>BJ1:BJ1048576</xm:sqref>
        </x14:conditionalFormatting>
        <x14:conditionalFormatting xmlns:xm="http://schemas.microsoft.com/office/excel/2006/main">
          <x14:cfRule type="dataBar" id="{912F4324-9B94-4CBC-97BC-6E0664AE96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BO1:BO1048576</xm:sqref>
        </x14:conditionalFormatting>
        <x14:conditionalFormatting xmlns:xm="http://schemas.microsoft.com/office/excel/2006/main">
          <x14:cfRule type="dataBar" id="{0D56D725-C2A4-47B5-A774-7D791B524F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BP1:BP1048576</xm:sqref>
        </x14:conditionalFormatting>
        <x14:conditionalFormatting xmlns:xm="http://schemas.microsoft.com/office/excel/2006/main">
          <x14:cfRule type="dataBar" id="{2FC819BD-B89C-455D-B6AE-68CC0317ED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AP2:AP11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7">
    <tabColor theme="4" tint="-0.499984740745262"/>
  </sheetPr>
  <dimension ref="A1:GK11"/>
  <sheetViews>
    <sheetView zoomScale="90" zoomScaleNormal="90" workbookViewId="0">
      <pane xSplit="2" ySplit="1" topLeftCell="C2" activePane="bottomRight" state="frozen"/>
      <selection activeCell="F1" sqref="F1:F1048576"/>
      <selection pane="topRight" activeCell="F1" sqref="F1:F1048576"/>
      <selection pane="bottomLeft" activeCell="F1" sqref="F1:F1048576"/>
      <selection pane="bottomRight"/>
    </sheetView>
  </sheetViews>
  <sheetFormatPr defaultRowHeight="24.95" customHeight="1" x14ac:dyDescent="0.25"/>
  <cols>
    <col min="2" max="2" width="30.7109375" customWidth="1"/>
    <col min="3" max="3" width="12.5703125" customWidth="1"/>
    <col min="4" max="4" width="21.7109375" customWidth="1"/>
    <col min="5" max="5" width="24.28515625" customWidth="1"/>
    <col min="6" max="6" width="14" customWidth="1"/>
    <col min="7" max="7" width="15.7109375" customWidth="1"/>
    <col min="8" max="8" width="17.140625" customWidth="1"/>
    <col min="9" max="9" width="18" customWidth="1"/>
    <col min="10" max="10" width="20.85546875" style="13" bestFit="1" customWidth="1"/>
    <col min="11" max="12" width="15.7109375" customWidth="1"/>
    <col min="13" max="62" width="18.7109375" customWidth="1"/>
    <col min="63" max="64" width="18.7109375" style="190" customWidth="1"/>
    <col min="65" max="73" width="18.7109375" customWidth="1"/>
    <col min="74" max="78" width="18.7109375" style="11" customWidth="1"/>
    <col min="79" max="95" width="18.7109375" customWidth="1"/>
    <col min="96" max="96" width="18.7109375" style="11" customWidth="1"/>
    <col min="97" max="99" width="18.7109375" customWidth="1"/>
    <col min="100" max="122" width="18.7109375" style="11" customWidth="1"/>
    <col min="123" max="129" width="18.7109375" customWidth="1"/>
    <col min="130" max="137" width="18.7109375" style="11" customWidth="1"/>
    <col min="138" max="138" width="18.7109375" style="103" customWidth="1"/>
    <col min="139" max="139" width="9.7109375" style="1" customWidth="1"/>
    <col min="140" max="186" width="12.7109375" style="1" customWidth="1"/>
    <col min="187" max="187" width="9.140625" style="1"/>
  </cols>
  <sheetData>
    <row r="1" spans="1:193" ht="50.1" customHeight="1" thickBot="1" x14ac:dyDescent="0.3">
      <c r="A1" s="112"/>
      <c r="B1" s="4" t="s">
        <v>20</v>
      </c>
      <c r="C1" s="4" t="s">
        <v>214</v>
      </c>
      <c r="D1" s="94" t="s">
        <v>232</v>
      </c>
      <c r="E1" s="4" t="s">
        <v>28</v>
      </c>
      <c r="F1" s="4" t="s">
        <v>29</v>
      </c>
      <c r="G1" s="4" t="s">
        <v>1</v>
      </c>
      <c r="H1" s="4" t="s">
        <v>21</v>
      </c>
      <c r="I1" s="8" t="s">
        <v>90</v>
      </c>
      <c r="J1" s="85" t="s">
        <v>3</v>
      </c>
      <c r="K1" s="4" t="s">
        <v>231</v>
      </c>
      <c r="L1" s="4" t="s">
        <v>121</v>
      </c>
      <c r="M1" s="30" t="s">
        <v>420</v>
      </c>
      <c r="N1" s="30" t="s">
        <v>421</v>
      </c>
      <c r="O1" s="30" t="s">
        <v>424</v>
      </c>
      <c r="P1" s="224" t="s">
        <v>22</v>
      </c>
      <c r="Q1" s="224" t="s">
        <v>24</v>
      </c>
      <c r="R1" s="224" t="s">
        <v>306</v>
      </c>
      <c r="S1" s="224" t="s">
        <v>153</v>
      </c>
      <c r="T1" s="224" t="s">
        <v>305</v>
      </c>
      <c r="U1" s="46" t="s">
        <v>332</v>
      </c>
      <c r="V1" s="46" t="s">
        <v>333</v>
      </c>
      <c r="W1" s="46" t="s">
        <v>334</v>
      </c>
      <c r="X1" s="46" t="s">
        <v>335</v>
      </c>
      <c r="Y1" s="46" t="s">
        <v>336</v>
      </c>
      <c r="Z1" s="46" t="s">
        <v>337</v>
      </c>
      <c r="AA1" s="46" t="s">
        <v>356</v>
      </c>
      <c r="AB1" s="46" t="s">
        <v>327</v>
      </c>
      <c r="AC1" s="98" t="s">
        <v>38</v>
      </c>
      <c r="AD1" s="98" t="s">
        <v>417</v>
      </c>
      <c r="AE1" s="98" t="s">
        <v>416</v>
      </c>
      <c r="AF1" s="104" t="s">
        <v>241</v>
      </c>
      <c r="AG1" s="104" t="s">
        <v>238</v>
      </c>
      <c r="AH1" s="105" t="s">
        <v>239</v>
      </c>
      <c r="AI1" s="104" t="s">
        <v>240</v>
      </c>
      <c r="AJ1" s="323" t="s">
        <v>304</v>
      </c>
      <c r="AK1" s="324" t="s">
        <v>303</v>
      </c>
      <c r="AL1" s="25" t="s">
        <v>302</v>
      </c>
      <c r="AM1" s="25" t="s">
        <v>301</v>
      </c>
      <c r="AN1" s="25" t="s">
        <v>300</v>
      </c>
      <c r="AO1" s="25" t="s">
        <v>299</v>
      </c>
      <c r="AP1" s="113" t="s">
        <v>298</v>
      </c>
      <c r="AQ1" s="132" t="s">
        <v>297</v>
      </c>
      <c r="AR1" s="132" t="s">
        <v>296</v>
      </c>
      <c r="AS1" s="132" t="s">
        <v>295</v>
      </c>
      <c r="AT1" s="25" t="s">
        <v>463</v>
      </c>
      <c r="AU1" s="25" t="s">
        <v>464</v>
      </c>
      <c r="AV1" s="158" t="s">
        <v>598</v>
      </c>
      <c r="AW1" s="158" t="s">
        <v>600</v>
      </c>
      <c r="AX1" s="158" t="s">
        <v>601</v>
      </c>
      <c r="AY1" s="158" t="s">
        <v>602</v>
      </c>
      <c r="AZ1" s="158" t="s">
        <v>605</v>
      </c>
      <c r="BA1" s="158" t="s">
        <v>603</v>
      </c>
      <c r="BB1" s="26" t="s">
        <v>604</v>
      </c>
      <c r="BC1" s="26" t="s">
        <v>599</v>
      </c>
      <c r="BD1" s="26" t="s">
        <v>62</v>
      </c>
      <c r="BE1" s="26" t="s">
        <v>477</v>
      </c>
      <c r="BF1" s="26" t="s">
        <v>51</v>
      </c>
      <c r="BG1" s="26" t="s">
        <v>50</v>
      </c>
      <c r="BH1" s="131" t="s">
        <v>294</v>
      </c>
      <c r="BI1" s="131" t="s">
        <v>293</v>
      </c>
      <c r="BJ1" s="131" t="s">
        <v>292</v>
      </c>
      <c r="BK1" s="26" t="s">
        <v>49</v>
      </c>
      <c r="BL1" s="26" t="s">
        <v>498</v>
      </c>
      <c r="BM1" s="131" t="s">
        <v>182</v>
      </c>
      <c r="BN1" s="131" t="s">
        <v>291</v>
      </c>
      <c r="BO1" s="131" t="s">
        <v>111</v>
      </c>
      <c r="BP1" s="131" t="s">
        <v>290</v>
      </c>
      <c r="BQ1" s="130" t="s">
        <v>245</v>
      </c>
      <c r="BR1" s="130" t="s">
        <v>246</v>
      </c>
      <c r="BS1" s="22" t="s">
        <v>110</v>
      </c>
      <c r="BT1" s="50" t="s">
        <v>465</v>
      </c>
      <c r="BU1" s="50" t="s">
        <v>466</v>
      </c>
      <c r="BV1" s="95" t="s">
        <v>225</v>
      </c>
      <c r="BW1" s="95" t="s">
        <v>226</v>
      </c>
      <c r="BX1" s="95" t="s">
        <v>227</v>
      </c>
      <c r="BY1" s="95" t="s">
        <v>228</v>
      </c>
      <c r="BZ1" s="95" t="s">
        <v>229</v>
      </c>
      <c r="CA1" s="129" t="s">
        <v>82</v>
      </c>
      <c r="CB1" s="38" t="s">
        <v>170</v>
      </c>
      <c r="CC1" s="38" t="s">
        <v>289</v>
      </c>
      <c r="CD1" s="38" t="s">
        <v>288</v>
      </c>
      <c r="CE1" s="80" t="s">
        <v>287</v>
      </c>
      <c r="CF1" s="38" t="s">
        <v>286</v>
      </c>
      <c r="CG1" s="38" t="s">
        <v>315</v>
      </c>
      <c r="CH1" s="38" t="s">
        <v>285</v>
      </c>
      <c r="CI1" s="38" t="s">
        <v>284</v>
      </c>
      <c r="CJ1" s="80" t="s">
        <v>283</v>
      </c>
      <c r="CK1" s="377" t="s">
        <v>282</v>
      </c>
      <c r="CL1" s="377" t="s">
        <v>281</v>
      </c>
      <c r="CM1" s="377" t="s">
        <v>280</v>
      </c>
      <c r="CN1" s="217" t="s">
        <v>433</v>
      </c>
      <c r="CO1" s="217" t="s">
        <v>434</v>
      </c>
      <c r="CP1" s="217" t="s">
        <v>469</v>
      </c>
      <c r="CQ1" s="48" t="s">
        <v>470</v>
      </c>
      <c r="CR1" s="48" t="s">
        <v>279</v>
      </c>
      <c r="CS1" s="49" t="s">
        <v>453</v>
      </c>
      <c r="CT1" s="49" t="s">
        <v>454</v>
      </c>
      <c r="CU1" s="49" t="s">
        <v>455</v>
      </c>
      <c r="CV1" s="49" t="s">
        <v>148</v>
      </c>
      <c r="CW1" s="128" t="s">
        <v>456</v>
      </c>
      <c r="CX1" s="10" t="s">
        <v>147</v>
      </c>
      <c r="CY1" s="127" t="s">
        <v>278</v>
      </c>
      <c r="CZ1" s="127" t="s">
        <v>277</v>
      </c>
      <c r="DA1" s="127" t="s">
        <v>276</v>
      </c>
      <c r="DB1" s="127" t="s">
        <v>275</v>
      </c>
      <c r="DC1" s="373" t="s">
        <v>274</v>
      </c>
      <c r="DD1" s="374" t="s">
        <v>273</v>
      </c>
      <c r="DE1" s="373" t="s">
        <v>272</v>
      </c>
      <c r="DF1" s="373" t="s">
        <v>271</v>
      </c>
      <c r="DG1" s="373" t="s">
        <v>270</v>
      </c>
      <c r="DH1" s="126" t="s">
        <v>269</v>
      </c>
      <c r="DI1" s="125" t="s">
        <v>268</v>
      </c>
      <c r="DJ1" s="277" t="s">
        <v>69</v>
      </c>
      <c r="DK1" s="277" t="s">
        <v>267</v>
      </c>
      <c r="DL1" s="125" t="s">
        <v>266</v>
      </c>
      <c r="DM1" s="124" t="s">
        <v>265</v>
      </c>
      <c r="DN1" s="123" t="s">
        <v>264</v>
      </c>
      <c r="DO1" s="122" t="s">
        <v>263</v>
      </c>
      <c r="DP1" s="122" t="s">
        <v>262</v>
      </c>
      <c r="DQ1" s="121" t="s">
        <v>261</v>
      </c>
      <c r="DR1" s="120" t="s">
        <v>142</v>
      </c>
      <c r="DS1" s="119" t="s">
        <v>145</v>
      </c>
      <c r="DT1" s="119" t="s">
        <v>143</v>
      </c>
      <c r="DU1" s="119" t="s">
        <v>146</v>
      </c>
      <c r="DV1" s="214" t="s">
        <v>451</v>
      </c>
      <c r="DW1" s="214" t="s">
        <v>452</v>
      </c>
      <c r="DX1" s="48" t="s">
        <v>144</v>
      </c>
      <c r="DY1" s="47" t="s">
        <v>18</v>
      </c>
      <c r="DZ1" s="47" t="s">
        <v>81</v>
      </c>
      <c r="EA1" s="47" t="s">
        <v>260</v>
      </c>
      <c r="EB1" s="47" t="s">
        <v>92</v>
      </c>
      <c r="EC1" s="47" t="s">
        <v>171</v>
      </c>
      <c r="ED1" s="43" t="s">
        <v>414</v>
      </c>
      <c r="EE1" s="43" t="s">
        <v>415</v>
      </c>
      <c r="EF1" s="43" t="s">
        <v>567</v>
      </c>
      <c r="EG1" s="43" t="s">
        <v>180</v>
      </c>
      <c r="EH1" s="110" t="s">
        <v>25</v>
      </c>
      <c r="EI1" s="292" t="s">
        <v>14</v>
      </c>
      <c r="EJ1" s="293" t="s">
        <v>20</v>
      </c>
      <c r="EK1" s="293" t="s">
        <v>29</v>
      </c>
      <c r="EL1" s="293" t="s">
        <v>1</v>
      </c>
      <c r="EM1" s="293" t="s">
        <v>2</v>
      </c>
      <c r="EN1" s="293" t="s">
        <v>3</v>
      </c>
      <c r="EO1" s="293" t="s">
        <v>620</v>
      </c>
      <c r="EP1" s="293" t="s">
        <v>40</v>
      </c>
      <c r="EQ1" s="293" t="s">
        <v>89</v>
      </c>
      <c r="ER1" s="293" t="s">
        <v>0</v>
      </c>
      <c r="ES1" s="293" t="s">
        <v>621</v>
      </c>
      <c r="ET1" s="293" t="s">
        <v>682</v>
      </c>
      <c r="EU1" s="293" t="s">
        <v>30</v>
      </c>
      <c r="EV1" s="293" t="s">
        <v>623</v>
      </c>
      <c r="EW1" s="293" t="s">
        <v>683</v>
      </c>
      <c r="EX1" s="293" t="s">
        <v>684</v>
      </c>
      <c r="EY1" s="293" t="s">
        <v>63</v>
      </c>
      <c r="EZ1" s="293" t="s">
        <v>264</v>
      </c>
      <c r="FA1" s="293" t="s">
        <v>189</v>
      </c>
      <c r="FB1" s="293" t="s">
        <v>190</v>
      </c>
      <c r="FC1" s="293" t="s">
        <v>17</v>
      </c>
      <c r="FD1" s="293" t="s">
        <v>11</v>
      </c>
      <c r="FE1" s="293" t="s">
        <v>187</v>
      </c>
      <c r="FF1" s="293" t="s">
        <v>104</v>
      </c>
      <c r="FG1" s="293" t="s">
        <v>635</v>
      </c>
      <c r="FH1" s="293" t="s">
        <v>253</v>
      </c>
      <c r="FI1" s="293" t="s">
        <v>236</v>
      </c>
      <c r="FJ1" s="293" t="s">
        <v>165</v>
      </c>
      <c r="FK1" s="293" t="s">
        <v>48</v>
      </c>
      <c r="FL1" s="293" t="s">
        <v>41</v>
      </c>
      <c r="FM1" s="293" t="s">
        <v>645</v>
      </c>
      <c r="FN1" s="293" t="s">
        <v>49</v>
      </c>
      <c r="FO1" s="293" t="s">
        <v>18</v>
      </c>
      <c r="FP1" s="293" t="s">
        <v>167</v>
      </c>
      <c r="FQ1" s="293" t="s">
        <v>10</v>
      </c>
      <c r="FR1" s="293" t="s">
        <v>647</v>
      </c>
      <c r="FS1" s="293" t="s">
        <v>15</v>
      </c>
      <c r="FT1" s="293" t="s">
        <v>16</v>
      </c>
      <c r="FU1" s="293" t="s">
        <v>4</v>
      </c>
      <c r="FV1" s="293" t="s">
        <v>8</v>
      </c>
      <c r="FW1" s="293" t="s">
        <v>9</v>
      </c>
      <c r="FX1" s="293" t="s">
        <v>5</v>
      </c>
      <c r="FY1" s="293" t="s">
        <v>103</v>
      </c>
      <c r="FZ1" s="293" t="s">
        <v>7</v>
      </c>
      <c r="GA1" s="293" t="s">
        <v>166</v>
      </c>
      <c r="GB1" s="293" t="s">
        <v>648</v>
      </c>
      <c r="GC1" s="293" t="s">
        <v>685</v>
      </c>
      <c r="GD1" s="294" t="s">
        <v>642</v>
      </c>
      <c r="GK1" s="109"/>
    </row>
    <row r="2" spans="1:193" ht="24.95" customHeight="1" thickBot="1" x14ac:dyDescent="0.3">
      <c r="A2" s="29" t="str">
        <f t="shared" ref="A2:A11" si="0">ROW()-1 &amp; "º"</f>
        <v>1º</v>
      </c>
      <c r="B2" s="101" t="str">
        <f t="shared" ref="B2:B11" si="1">EJ2</f>
        <v>Alan Franco</v>
      </c>
      <c r="C2" s="86" t="str">
        <f t="shared" ref="C2:C11" si="2">EO2</f>
        <v>ARG</v>
      </c>
      <c r="D2" s="99" t="str">
        <f t="shared" ref="D2:D11" si="3">EP2</f>
        <v>Somente Pé Direito</v>
      </c>
      <c r="E2" s="67" t="str">
        <f t="shared" ref="E2:E11" si="4">ER2</f>
        <v>São Paulo</v>
      </c>
      <c r="F2" s="168">
        <f t="shared" ref="F2:F11" si="5">IFERROR(SUBSTITUTE(EK2," cm","")/100,0)</f>
        <v>1.81</v>
      </c>
      <c r="G2" s="171">
        <f t="shared" ref="G2:G11" si="6">EL2</f>
        <v>30</v>
      </c>
      <c r="H2" s="68" t="str">
        <f t="shared" ref="H2:H11" si="7">EM2</f>
        <v>400m € - 4M €</v>
      </c>
      <c r="I2" s="201">
        <f t="shared" ref="I2:I11" si="8">IF(EQ2="-", "Sem Data Final", EQ2)</f>
        <v>47118</v>
      </c>
      <c r="J2" s="304" t="str">
        <f t="shared" ref="J2:J11" si="9">EN2</f>
        <v>62m € p/m</v>
      </c>
      <c r="K2" s="96">
        <f t="shared" ref="K2:K11" si="10">AVERAGE(L:L)</f>
        <v>40.308888888888887</v>
      </c>
      <c r="L2" s="147">
        <f t="shared" ref="L2:L11" si="11">IFERROR(ES2/90,0)</f>
        <v>38.033333333333331</v>
      </c>
      <c r="M2" s="147">
        <f t="shared" ref="M2:M11" si="12">IFERROR(IF(ISERROR(FIND("(",ET2)), VALUE(ET2), VALUE(LEFT(ET2,FIND("(",ET2)-2)) + VALUE(MID(ET2,FIND("(",ET2)+1,FIND(")",ET2)-FIND("(",ET2)-1))),0)</f>
        <v>39</v>
      </c>
      <c r="N2" s="147">
        <f t="shared" ref="N2:N11" si="13">IFERROR(ES2/M2,0)</f>
        <v>87.769230769230774</v>
      </c>
      <c r="O2" s="193">
        <f t="shared" ref="O2:O11" si="14">IFERROR(IF(ISERROR(FIND("(",ET2)), "100%", TEXT(VALUE(LEFT(ET2,FIND("(",ET2)-2)) / (VALUE(LEFT(ET2,FIND("(",ET2)-2)) + VALUE(MID(ET2,FIND("(",ET2)+1,FIND(")",ET2)-FIND("(",ET2)-1))),"0%")),0)*1</f>
        <v>0.97</v>
      </c>
      <c r="P2" s="55">
        <f t="shared" ref="P2:P11" si="15">EW2</f>
        <v>3</v>
      </c>
      <c r="Q2" s="55">
        <f t="shared" ref="Q2:Q11" si="16">EX2</f>
        <v>1</v>
      </c>
      <c r="R2" s="55">
        <f t="shared" ref="R2:R11" si="17">IFERROR(EW2+EX2,0)</f>
        <v>4</v>
      </c>
      <c r="S2" s="57">
        <f t="shared" ref="S2:S11" si="18">IFERROR((P2/L2),0)</f>
        <v>7.8878177037686251E-2</v>
      </c>
      <c r="T2" s="57">
        <f t="shared" ref="T2:T11" si="19">IFERROR(R2/L2,0)</f>
        <v>0.105170902716915</v>
      </c>
      <c r="U2" s="57">
        <f t="shared" ref="U2:U11" si="20">SUBSTITUTE(FZ2,".",",")*1</f>
        <v>1.89</v>
      </c>
      <c r="V2" s="57">
        <f t="shared" ref="V2:V11" si="21">IFERROR(U2/L2,0)</f>
        <v>4.9693251533742329E-2</v>
      </c>
      <c r="W2" s="57">
        <f t="shared" ref="W2:W11" si="22">IFERROR(U2-(FX2*0.79),0)</f>
        <v>1.89</v>
      </c>
      <c r="X2" s="57">
        <f t="shared" ref="X2:X11" si="23">IFERROR(W2/L2,0)</f>
        <v>4.9693251533742329E-2</v>
      </c>
      <c r="Y2" s="57">
        <f t="shared" ref="Y2:Y11" si="24">SUBSTITUTE(GA2,".",",")*1</f>
        <v>1.78</v>
      </c>
      <c r="Z2" s="57">
        <f t="shared" ref="Z2:Z11" si="25">IFERROR(Y2/L2,0)</f>
        <v>4.6801051709027174E-2</v>
      </c>
      <c r="AA2" s="57">
        <f t="shared" ref="AA2:AA11" si="26">IFERROR(U2+Y2,0)</f>
        <v>3.67</v>
      </c>
      <c r="AB2" s="57">
        <f t="shared" ref="AB2:AB11" si="27">IFERROR(AA2/L2,0)</f>
        <v>9.6494303242769502E-2</v>
      </c>
      <c r="AC2" s="56">
        <f t="shared" ref="AC2:AC11" si="28">IFERROR(EU2,0)</f>
        <v>3</v>
      </c>
      <c r="AD2" s="57">
        <f t="shared" ref="AD2:AD11" si="29">IFERROR((ES2/EU2),5400)</f>
        <v>1141</v>
      </c>
      <c r="AE2" s="63">
        <f t="shared" ref="AE2:AE11" si="30">IFERROR((AC2*1)/L2,0)</f>
        <v>7.8878177037686251E-2</v>
      </c>
      <c r="AF2" s="317">
        <f t="shared" ref="AF2:AF11" si="31">FX2</f>
        <v>0</v>
      </c>
      <c r="AG2" s="317">
        <f t="shared" ref="AG2:AG11" si="32">FY2</f>
        <v>0</v>
      </c>
      <c r="AH2" s="56">
        <f t="shared" ref="AH2:AH11" si="33">IFERROR(FX2-FY2,0)</f>
        <v>0</v>
      </c>
      <c r="AI2" s="60">
        <f t="shared" ref="AI2:AI11" si="34">IFERROR((AG2*1)/AF2,0.0000001)</f>
        <v>9.9999999999999995E-8</v>
      </c>
      <c r="AJ2" s="305">
        <f t="shared" ref="AJ2:AJ11" si="35">EV2</f>
        <v>0</v>
      </c>
      <c r="AK2" s="306">
        <f t="shared" ref="AK2:AK11" si="36">IFERROR(AJ2/L2,0)</f>
        <v>0</v>
      </c>
      <c r="AL2" s="56">
        <f t="shared" ref="AL2:AL11" si="37">FD2</f>
        <v>193</v>
      </c>
      <c r="AM2" s="57">
        <f t="shared" ref="AM2:AM11" si="38">IFERROR(AL2/L2,0)</f>
        <v>5.0744960560911485</v>
      </c>
      <c r="AN2" s="56">
        <f t="shared" ref="AN2:AN11" si="39">IFERROR(FC2,0)</f>
        <v>146</v>
      </c>
      <c r="AO2" s="57">
        <f t="shared" ref="AO2:AO11" si="40">IFERROR(AN2/L2,0)</f>
        <v>3.8387379491673972</v>
      </c>
      <c r="AP2" s="60">
        <f t="shared" ref="AP2:AP11" si="41">IFERROR((AN2*1)/AL2,0)</f>
        <v>0.75647668393782386</v>
      </c>
      <c r="AQ2" s="56">
        <f t="shared" ref="AQ2:AQ11" si="42">IFERROR(AL2-AN2,0)</f>
        <v>47</v>
      </c>
      <c r="AR2" s="57">
        <f t="shared" ref="AR2:AR11" si="43">IFERROR(AQ2/L2,0)</f>
        <v>1.2357581069237511</v>
      </c>
      <c r="AS2" s="60">
        <f t="shared" ref="AS2:AS11" si="44">IFERROR((AQ2*1)/AL2,0)</f>
        <v>0.24352331606217617</v>
      </c>
      <c r="AT2" s="213">
        <f t="shared" ref="AT2:AT11" si="45">IFERROR((AU2*L2),0)</f>
        <v>45.639999999999993</v>
      </c>
      <c r="AU2" s="212">
        <f t="shared" ref="AU2:AU11" si="46">IFERROR(FE2,0)</f>
        <v>1.2</v>
      </c>
      <c r="AV2" s="63">
        <f t="shared" ref="AV2:AV11" si="47">FV2/FD2</f>
        <v>0.11917098445595854</v>
      </c>
      <c r="AW2" s="213">
        <f t="shared" ref="AW2:AW11" si="48">IFERROR(FV2-FX2,0)</f>
        <v>23</v>
      </c>
      <c r="AX2" s="212">
        <f t="shared" ref="AX2:AX11" si="49">AW2/L2</f>
        <v>0.6047326906222612</v>
      </c>
      <c r="AY2" s="213">
        <f t="shared" ref="AY2:AY11" si="50">IFERROR(FW2-FX2,0)</f>
        <v>9</v>
      </c>
      <c r="AZ2" s="212">
        <f t="shared" ref="AZ2:AZ11" si="51">IFERROR(AY2/L2,0)</f>
        <v>0.23663453111305874</v>
      </c>
      <c r="BA2" s="63">
        <f t="shared" ref="BA2:BA11" si="52">IFERROR(AY2/AW2,0)</f>
        <v>0.39130434782608697</v>
      </c>
      <c r="BB2" s="376">
        <f t="shared" ref="BB2:BB11" si="53">IFERROR(W2/(FV2-FX2),0)</f>
        <v>8.217391304347825E-2</v>
      </c>
      <c r="BC2" s="375">
        <f t="shared" ref="BC2:BC11" si="54">W2-(FX2*0.79)</f>
        <v>1.89</v>
      </c>
      <c r="BD2" s="375">
        <f t="shared" ref="BD2:BD11" si="55">EW2-U2</f>
        <v>1.1100000000000001</v>
      </c>
      <c r="BE2" s="375">
        <f t="shared" ref="BE2:BE11" si="56">IFERROR((EW2-FY2)-W2,0)</f>
        <v>1.1100000000000001</v>
      </c>
      <c r="BF2" s="56">
        <f t="shared" ref="BF2:BF11" si="57">IFERROR(FL2+FH2+FI2,0)</f>
        <v>161</v>
      </c>
      <c r="BG2" s="57">
        <f t="shared" ref="BG2:BG11" si="58">IFERROR(BF2/L2,0)</f>
        <v>4.2331288343558287</v>
      </c>
      <c r="BH2" s="56">
        <f t="shared" ref="BH2:BH11" si="59">FI2</f>
        <v>20</v>
      </c>
      <c r="BI2" s="57">
        <f t="shared" ref="BI2:BI11" si="60">IFERROR(BH2/L2,0)</f>
        <v>0.52585451358457491</v>
      </c>
      <c r="BJ2" s="57">
        <f t="shared" ref="BJ2:BJ11" si="61">IFERROR((FI2+FH2+FL2+FK2)/L2,0)</f>
        <v>4.2857142857142856</v>
      </c>
      <c r="BK2" s="225">
        <f t="shared" ref="BK2:BK11" si="62">FN2</f>
        <v>38</v>
      </c>
      <c r="BL2" s="223">
        <f t="shared" ref="BL2:BL11" si="63">IFERROR(BK2/L2,0)</f>
        <v>0.99912357581069244</v>
      </c>
      <c r="BM2" s="56">
        <f t="shared" ref="BM2:BM11" si="64">FF2+FM2</f>
        <v>38</v>
      </c>
      <c r="BN2" s="57">
        <f t="shared" ref="BN2:BN11" si="65">IFERROR(BM2/L2,0)</f>
        <v>0.99912357581069244</v>
      </c>
      <c r="BO2" s="58">
        <f t="shared" ref="BO2:BO11" si="66">FG2</f>
        <v>22</v>
      </c>
      <c r="BP2" s="57">
        <f t="shared" ref="BP2:BP11" si="67">IFERROR(BO2/L2,0)</f>
        <v>0.5784399649430324</v>
      </c>
      <c r="BQ2" s="75">
        <f t="shared" ref="BQ2:BQ11" si="68">FF2-FG2</f>
        <v>4</v>
      </c>
      <c r="BR2" s="57">
        <f t="shared" ref="BR2:BR11" si="69">IFERROR(BQ2/L2,0)</f>
        <v>0.105170902716915</v>
      </c>
      <c r="BS2" s="114">
        <f t="shared" ref="BS2:BS11" si="70">IFERROR((BO2*1)/BM2,0)</f>
        <v>0.57894736842105265</v>
      </c>
      <c r="BT2" s="56">
        <f t="shared" ref="BT2:BT11" si="71">FK2</f>
        <v>2</v>
      </c>
      <c r="BU2" s="57">
        <f t="shared" ref="BU2:BU11" si="72">IFERROR(BT2/L2,0)</f>
        <v>5.2585451358457498E-2</v>
      </c>
      <c r="BV2" s="61">
        <f t="shared" ref="BV2:BV11" si="73">FA2</f>
        <v>98</v>
      </c>
      <c r="BW2" s="62">
        <f t="shared" ref="BW2:BW11" si="74">FA2/L2</f>
        <v>2.5766871165644174</v>
      </c>
      <c r="BX2" s="61">
        <f t="shared" ref="BX2:BX11" si="75">FB2</f>
        <v>20</v>
      </c>
      <c r="BY2" s="62">
        <f t="shared" ref="BY2:BY11" si="76">IFERROR(FB2/L2,0)</f>
        <v>0.52585451358457491</v>
      </c>
      <c r="BZ2" s="63">
        <f t="shared" ref="BZ2:BZ11" si="77">IFERROR((BY2*1)/BW2,0)</f>
        <v>0.2040816326530612</v>
      </c>
      <c r="CA2" s="61">
        <f t="shared" ref="CA2:CA11" si="78">FS2</f>
        <v>1833</v>
      </c>
      <c r="CB2" s="62">
        <f t="shared" ref="CB2:CB11" si="79">IFERROR(CA2/L2,0)</f>
        <v>48.194566170026292</v>
      </c>
      <c r="CC2" s="61">
        <f t="shared" ref="CC2:CC11" si="80">FT2</f>
        <v>1699</v>
      </c>
      <c r="CD2" s="62">
        <f t="shared" ref="CD2:CD11" si="81">IFERROR(CC2/L2,0)</f>
        <v>44.671340929009645</v>
      </c>
      <c r="CE2" s="63">
        <f t="shared" ref="CE2:CE11" si="82">IFERROR((CC2*1)/CA2,0)</f>
        <v>0.92689579923622478</v>
      </c>
      <c r="CF2" s="56">
        <f t="shared" ref="CF2:CF11" si="83">FS2-FR2</f>
        <v>1714</v>
      </c>
      <c r="CG2" s="62">
        <f t="shared" ref="CG2:CG11" si="84">FT2/L2</f>
        <v>44.671340929009645</v>
      </c>
      <c r="CH2" s="61">
        <f t="shared" ref="CH2:CH11" si="85">FR2</f>
        <v>119</v>
      </c>
      <c r="CI2" s="62">
        <f t="shared" ref="CI2:CI11" si="86">CH2/L2</f>
        <v>3.128834355828221</v>
      </c>
      <c r="CJ2" s="316">
        <f t="shared" ref="CJ2:CJ11" si="87">(CH2*1)/CF2</f>
        <v>6.9428238039673282E-2</v>
      </c>
      <c r="CK2" s="378">
        <f t="shared" ref="CK2:CK11" si="88">FS2-FT2</f>
        <v>134</v>
      </c>
      <c r="CL2" s="379">
        <f t="shared" ref="CL2:CL11" si="89">CK2/L2</f>
        <v>3.523225241016652</v>
      </c>
      <c r="CM2" s="316">
        <f t="shared" ref="CM2:CM11" si="90">(CK2*1)/FS2</f>
        <v>7.3104200763775232E-2</v>
      </c>
      <c r="CN2" s="213">
        <f t="shared" ref="CN2:CN11" si="91">GB2</f>
        <v>19</v>
      </c>
      <c r="CO2" s="212">
        <f t="shared" ref="CO2:CO11" si="92">IFERROR(CN2/L2,0)</f>
        <v>0.49956178790534622</v>
      </c>
      <c r="CP2" s="212">
        <f t="shared" ref="CP2:CP11" si="93">IFERROR(VALUE(SUBSTITUTE(GA2,".",","))/GB2,0)</f>
        <v>9.3684210526315786E-2</v>
      </c>
      <c r="CQ2" s="213">
        <f t="shared" ref="CQ2:CQ11" si="94">IFERROR(GB2+FU2,0)</f>
        <v>23</v>
      </c>
      <c r="CR2" s="62">
        <f t="shared" ref="CR2:CR11" si="95">IFERROR(CQ2/L2,0)</f>
        <v>0.6047326906222612</v>
      </c>
      <c r="CS2" s="61">
        <f t="shared" ref="CS2:CS11" si="96">((FD2)+(FF2)+(FA2))</f>
        <v>317</v>
      </c>
      <c r="CT2" s="62">
        <f t="shared" ref="CT2:CT11" si="97">CS2/L2</f>
        <v>8.3347940403155132</v>
      </c>
      <c r="CU2" s="61">
        <f t="shared" ref="CU2:CU11" si="98">((FC2)+(FG2)+(FB2))</f>
        <v>188</v>
      </c>
      <c r="CV2" s="62">
        <f t="shared" ref="CV2:CV11" si="99">CU2/L2</f>
        <v>4.9430324276950044</v>
      </c>
      <c r="CW2" s="61">
        <f t="shared" ref="CW2:CW11" si="100">((FD2-FC2)+(FF2-FG2)+(FA2-FB2))</f>
        <v>129</v>
      </c>
      <c r="CX2" s="63">
        <f t="shared" ref="CX2:CX11" si="101">IFERROR(CU2/CS2,0)</f>
        <v>0.59305993690851733</v>
      </c>
      <c r="CY2" s="61">
        <f t="shared" ref="CY2:CY11" si="102">(FH2+FI2+FL2+FN2+(FK2*0.5))</f>
        <v>200</v>
      </c>
      <c r="CZ2" s="62">
        <f t="shared" ref="CZ2:CZ11" si="103">CY2/L2</f>
        <v>5.2585451358457496</v>
      </c>
      <c r="DA2" s="61">
        <f t="shared" ref="DA2:DA11" si="104">(FB2+FG2)+(FK2*0.5)</f>
        <v>43</v>
      </c>
      <c r="DB2" s="62">
        <f t="shared" ref="DB2:DB11" si="105">DA2/L2</f>
        <v>1.1305872042068361</v>
      </c>
      <c r="DC2" s="334">
        <f t="shared" ref="DC2:DC11" si="106">IFERROR(FD2+FF2+FH2+FM2,0)</f>
        <v>256</v>
      </c>
      <c r="DD2" s="335">
        <f t="shared" ref="DD2:DD11" si="107">DC2/L2</f>
        <v>6.7309377738825598</v>
      </c>
      <c r="DE2" s="334">
        <f t="shared" ref="DE2:DE11" si="108">IFERROR(FC2+FG2+FH2+FK2,0)</f>
        <v>195</v>
      </c>
      <c r="DF2" s="335">
        <f t="shared" ref="DF2:DF11" si="109">DE2/L2</f>
        <v>5.1270815074496054</v>
      </c>
      <c r="DG2" s="63">
        <f t="shared" ref="DG2:DG11" si="110">IFERROR((DE2*1)/DC2,0)</f>
        <v>0.76171875</v>
      </c>
      <c r="DH2" s="61">
        <f t="shared" ref="DH2:DH11" si="111">IFERROR((FD2-FC2)+(FF2-FG2)+FH2,0)</f>
        <v>76</v>
      </c>
      <c r="DI2" s="62">
        <f t="shared" ref="DI2:DI11" si="112">IFERROR(DH2/L2,0)</f>
        <v>1.9982471516213849</v>
      </c>
      <c r="DJ2" s="61">
        <f t="shared" ref="DJ2:DJ11" si="113">FM2</f>
        <v>12</v>
      </c>
      <c r="DK2" s="62">
        <f t="shared" ref="DK2:DK11" si="114">DJ2/L2</f>
        <v>0.315512708150745</v>
      </c>
      <c r="DL2" s="63">
        <f t="shared" ref="DL2:DL11" si="115">(DH2*1)/DC2</f>
        <v>0.296875</v>
      </c>
      <c r="DM2" s="61">
        <f t="shared" ref="DM2:DM11" si="116">EY2</f>
        <v>2</v>
      </c>
      <c r="DN2" s="61">
        <f t="shared" ref="DN2:DN11" si="117">EZ2</f>
        <v>0</v>
      </c>
      <c r="DO2" s="61">
        <f t="shared" ref="DO2:DO11" si="118">DM2+DN2</f>
        <v>2</v>
      </c>
      <c r="DP2" s="62">
        <f t="shared" ref="DP2:DP11" si="119">(DM2+DN2)/L2</f>
        <v>5.2585451358457498E-2</v>
      </c>
      <c r="DQ2" s="63">
        <f t="shared" ref="DQ2:DQ11" si="120">IFERROR(((DM2+DN2)*1)/FM2,0)</f>
        <v>0.16666666666666666</v>
      </c>
      <c r="DR2" s="61">
        <f t="shared" ref="DR2:DR11" si="121">IFERROR((EV2*3)+(EY2*1.33)+(EZ2*2)+FD2+FF2+FL2+FN2+FH2+FI2+FM2,0)</f>
        <v>432.65999999999997</v>
      </c>
      <c r="DS2" s="62">
        <f t="shared" ref="DS2:DS11" si="122">IFERROR(DR2/L2,0)</f>
        <v>11.37581069237511</v>
      </c>
      <c r="DT2" s="61">
        <f t="shared" ref="DT2:DT11" si="123">IFERROR(FC2+FG2+FL2+FN2+FH2+FI2+FK2*1.5+(AT2*0.5),0)</f>
        <v>392.82</v>
      </c>
      <c r="DU2" s="62">
        <f t="shared" ref="DU2:DU11" si="124">IFERROR(DT2/L2,0)</f>
        <v>10.328308501314636</v>
      </c>
      <c r="DV2" s="61">
        <f t="shared" ref="DV2:DV11" si="125">(EV2*3)+(EY2*1.25)+(EZ2*2)+FM2+CK2</f>
        <v>148.5</v>
      </c>
      <c r="DW2" s="62">
        <f t="shared" ref="DW2:DW11" si="126">IFERROR(DV2/L2,0)</f>
        <v>3.9044697633654692</v>
      </c>
      <c r="DX2" s="63">
        <f t="shared" ref="DX2:DX11" si="127">IFERROR(DT2/DR2,0)</f>
        <v>0.90791845791152415</v>
      </c>
      <c r="DY2" s="62">
        <f t="shared" ref="DY2:DY11" si="128">VALUE(SUBSTITUTE(FO2, " km", ""))</f>
        <v>395</v>
      </c>
      <c r="DZ2" s="62">
        <f t="shared" ref="DZ2:DZ11" si="129">IFERROR(DY2/L2,0)</f>
        <v>10.385626643295355</v>
      </c>
      <c r="EA2" s="62">
        <f t="shared" ref="EA2:EA11" si="130">FP2</f>
        <v>6.1</v>
      </c>
      <c r="EB2" s="61">
        <f t="shared" ref="EB2:EB11" si="131">FQ2</f>
        <v>2</v>
      </c>
      <c r="EC2" s="62">
        <f t="shared" ref="EC2:EC11" si="132">IFERROR(EB2/L2,0)</f>
        <v>5.2585451358457498E-2</v>
      </c>
      <c r="ED2" s="61">
        <f t="shared" ref="ED2:ED11" si="133">IFERROR((FD2-FC2)+(FS2-FT2)+(FF2-FG2)+(FM2),0)</f>
        <v>197</v>
      </c>
      <c r="EE2" s="62">
        <f t="shared" ref="EE2:EE11" si="134">IFERROR((ED2/L2),0)</f>
        <v>5.1796669588080633</v>
      </c>
      <c r="EF2" s="61">
        <f t="shared" ref="EF2:EF11" si="135">EG2*L2</f>
        <v>406.95666666666659</v>
      </c>
      <c r="EG2" s="62">
        <f t="shared" ref="EG2:EG11" si="136">FJ2</f>
        <v>10.7</v>
      </c>
      <c r="EH2" s="62">
        <f t="shared" ref="EH2:EH11" si="137">IFERROR(VALUE(SUBSTITUTE(GD2, ".", ",")),0)</f>
        <v>6.99</v>
      </c>
      <c r="EI2" s="299"/>
      <c r="EJ2" s="295" t="s">
        <v>1183</v>
      </c>
      <c r="EK2" s="295" t="s">
        <v>606</v>
      </c>
      <c r="EL2" s="295">
        <v>30</v>
      </c>
      <c r="EM2" s="295" t="s">
        <v>852</v>
      </c>
      <c r="EN2" s="295" t="s">
        <v>1184</v>
      </c>
      <c r="EO2" s="295" t="s">
        <v>478</v>
      </c>
      <c r="EP2" s="295" t="s">
        <v>644</v>
      </c>
      <c r="EQ2" s="296">
        <v>47118</v>
      </c>
      <c r="ER2" s="295" t="s">
        <v>1176</v>
      </c>
      <c r="ES2" s="295">
        <v>3423</v>
      </c>
      <c r="ET2" s="295" t="s">
        <v>1157</v>
      </c>
      <c r="EU2" s="295">
        <v>3</v>
      </c>
      <c r="EV2" s="295">
        <v>0</v>
      </c>
      <c r="EW2" s="295">
        <v>3</v>
      </c>
      <c r="EX2" s="295">
        <v>1</v>
      </c>
      <c r="EY2" s="295">
        <v>2</v>
      </c>
      <c r="EZ2" s="295">
        <v>0</v>
      </c>
      <c r="FA2" s="295">
        <v>98</v>
      </c>
      <c r="FB2" s="295">
        <v>20</v>
      </c>
      <c r="FC2" s="295">
        <v>146</v>
      </c>
      <c r="FD2" s="295">
        <v>193</v>
      </c>
      <c r="FE2" s="295">
        <v>1.2</v>
      </c>
      <c r="FF2" s="295">
        <v>26</v>
      </c>
      <c r="FG2" s="295">
        <v>22</v>
      </c>
      <c r="FH2" s="295">
        <v>25</v>
      </c>
      <c r="FI2" s="295">
        <v>20</v>
      </c>
      <c r="FJ2" s="295">
        <v>10.7</v>
      </c>
      <c r="FK2" s="295">
        <v>2</v>
      </c>
      <c r="FL2" s="295">
        <v>116</v>
      </c>
      <c r="FM2" s="295">
        <v>12</v>
      </c>
      <c r="FN2" s="295">
        <v>38</v>
      </c>
      <c r="FO2" s="295" t="s">
        <v>1185</v>
      </c>
      <c r="FP2" s="295">
        <v>6.1</v>
      </c>
      <c r="FQ2" s="295">
        <v>2</v>
      </c>
      <c r="FR2" s="295">
        <v>119</v>
      </c>
      <c r="FS2" s="295">
        <v>1833</v>
      </c>
      <c r="FT2" s="295">
        <v>1699</v>
      </c>
      <c r="FU2" s="295">
        <v>4</v>
      </c>
      <c r="FV2" s="295">
        <v>23</v>
      </c>
      <c r="FW2" s="295">
        <v>9</v>
      </c>
      <c r="FX2" s="295">
        <v>0</v>
      </c>
      <c r="FY2" s="295">
        <v>0</v>
      </c>
      <c r="FZ2" s="295" t="s">
        <v>1129</v>
      </c>
      <c r="GA2" s="295" t="s">
        <v>1192</v>
      </c>
      <c r="GB2" s="295">
        <v>19</v>
      </c>
      <c r="GC2" s="295">
        <v>0</v>
      </c>
      <c r="GD2" s="300">
        <v>6.99</v>
      </c>
    </row>
    <row r="3" spans="1:193" ht="24.95" customHeight="1" thickBot="1" x14ac:dyDescent="0.3">
      <c r="A3" s="29" t="str">
        <f t="shared" si="0"/>
        <v>2º</v>
      </c>
      <c r="B3" s="101" t="str">
        <f t="shared" si="1"/>
        <v>Alexander Barboza</v>
      </c>
      <c r="C3" s="86" t="str">
        <f t="shared" si="2"/>
        <v>URU</v>
      </c>
      <c r="D3" s="99" t="str">
        <f t="shared" si="3"/>
        <v>Pé Esquerdo</v>
      </c>
      <c r="E3" s="67" t="str">
        <f t="shared" si="4"/>
        <v>Botafogo</v>
      </c>
      <c r="F3" s="168">
        <f t="shared" si="5"/>
        <v>1.93</v>
      </c>
      <c r="G3" s="171">
        <f t="shared" si="6"/>
        <v>31</v>
      </c>
      <c r="H3" s="68" t="str">
        <f t="shared" si="7"/>
        <v>Não está à venda</v>
      </c>
      <c r="I3" s="201">
        <f t="shared" si="8"/>
        <v>47118</v>
      </c>
      <c r="J3" s="304" t="str">
        <f t="shared" si="9"/>
        <v>79,5m € p/m</v>
      </c>
      <c r="K3" s="96">
        <f t="shared" si="10"/>
        <v>40.308888888888887</v>
      </c>
      <c r="L3" s="147">
        <f t="shared" si="11"/>
        <v>44.422222222222224</v>
      </c>
      <c r="M3" s="147">
        <f t="shared" si="12"/>
        <v>46</v>
      </c>
      <c r="N3" s="147">
        <f t="shared" si="13"/>
        <v>86.913043478260875</v>
      </c>
      <c r="O3" s="193">
        <f t="shared" si="14"/>
        <v>0.98</v>
      </c>
      <c r="P3" s="55">
        <f t="shared" si="15"/>
        <v>3</v>
      </c>
      <c r="Q3" s="55">
        <f t="shared" si="16"/>
        <v>1</v>
      </c>
      <c r="R3" s="55">
        <f t="shared" si="17"/>
        <v>4</v>
      </c>
      <c r="S3" s="57">
        <f t="shared" si="18"/>
        <v>6.7533766883441718E-2</v>
      </c>
      <c r="T3" s="57">
        <f t="shared" si="19"/>
        <v>9.0045022511255624E-2</v>
      </c>
      <c r="U3" s="57">
        <f t="shared" si="20"/>
        <v>2.4</v>
      </c>
      <c r="V3" s="57">
        <f t="shared" si="21"/>
        <v>5.4027013506753374E-2</v>
      </c>
      <c r="W3" s="57">
        <f t="shared" si="22"/>
        <v>2.4</v>
      </c>
      <c r="X3" s="57">
        <f t="shared" si="23"/>
        <v>5.4027013506753374E-2</v>
      </c>
      <c r="Y3" s="57">
        <f t="shared" si="24"/>
        <v>1.01</v>
      </c>
      <c r="Z3" s="57">
        <f t="shared" si="25"/>
        <v>2.2736368184092044E-2</v>
      </c>
      <c r="AA3" s="57">
        <f t="shared" si="26"/>
        <v>3.41</v>
      </c>
      <c r="AB3" s="57">
        <f t="shared" si="27"/>
        <v>7.6763381690845428E-2</v>
      </c>
      <c r="AC3" s="56">
        <f t="shared" si="28"/>
        <v>2</v>
      </c>
      <c r="AD3" s="57">
        <f t="shared" si="29"/>
        <v>1999</v>
      </c>
      <c r="AE3" s="63">
        <f t="shared" si="30"/>
        <v>4.5022511255627812E-2</v>
      </c>
      <c r="AF3" s="317">
        <f t="shared" si="31"/>
        <v>0</v>
      </c>
      <c r="AG3" s="317">
        <f t="shared" si="32"/>
        <v>0</v>
      </c>
      <c r="AH3" s="56">
        <f t="shared" si="33"/>
        <v>0</v>
      </c>
      <c r="AI3" s="60">
        <f t="shared" si="34"/>
        <v>9.9999999999999995E-8</v>
      </c>
      <c r="AJ3" s="305">
        <f t="shared" si="35"/>
        <v>1</v>
      </c>
      <c r="AK3" s="306">
        <f t="shared" si="36"/>
        <v>2.2511255627813906E-2</v>
      </c>
      <c r="AL3" s="56">
        <f t="shared" si="37"/>
        <v>272</v>
      </c>
      <c r="AM3" s="57">
        <f t="shared" si="38"/>
        <v>6.1230615307653826</v>
      </c>
      <c r="AN3" s="56">
        <f t="shared" si="39"/>
        <v>193</v>
      </c>
      <c r="AO3" s="57">
        <f t="shared" si="40"/>
        <v>4.3446723361680837</v>
      </c>
      <c r="AP3" s="60">
        <f t="shared" si="41"/>
        <v>0.7095588235294118</v>
      </c>
      <c r="AQ3" s="56">
        <f t="shared" si="42"/>
        <v>79</v>
      </c>
      <c r="AR3" s="57">
        <f t="shared" si="43"/>
        <v>1.7783891945972985</v>
      </c>
      <c r="AS3" s="60">
        <f t="shared" si="44"/>
        <v>0.29044117647058826</v>
      </c>
      <c r="AT3" s="213">
        <f t="shared" si="45"/>
        <v>97.728888888888903</v>
      </c>
      <c r="AU3" s="212">
        <f t="shared" si="46"/>
        <v>2.2000000000000002</v>
      </c>
      <c r="AV3" s="63">
        <f t="shared" si="47"/>
        <v>6.985294117647059E-2</v>
      </c>
      <c r="AW3" s="213">
        <f t="shared" si="48"/>
        <v>19</v>
      </c>
      <c r="AX3" s="212">
        <f t="shared" si="49"/>
        <v>0.4277138569284642</v>
      </c>
      <c r="AY3" s="213">
        <f t="shared" si="50"/>
        <v>6</v>
      </c>
      <c r="AZ3" s="212">
        <f t="shared" si="51"/>
        <v>0.13506753376688344</v>
      </c>
      <c r="BA3" s="63">
        <f t="shared" si="52"/>
        <v>0.31578947368421051</v>
      </c>
      <c r="BB3" s="376">
        <f t="shared" si="53"/>
        <v>0.12631578947368421</v>
      </c>
      <c r="BC3" s="375">
        <f t="shared" si="54"/>
        <v>2.4</v>
      </c>
      <c r="BD3" s="375">
        <f t="shared" si="55"/>
        <v>0.60000000000000009</v>
      </c>
      <c r="BE3" s="375">
        <f t="shared" si="56"/>
        <v>0.60000000000000009</v>
      </c>
      <c r="BF3" s="56">
        <f t="shared" si="57"/>
        <v>223</v>
      </c>
      <c r="BG3" s="57">
        <f t="shared" si="58"/>
        <v>5.0200100050025007</v>
      </c>
      <c r="BH3" s="56">
        <f t="shared" si="59"/>
        <v>29</v>
      </c>
      <c r="BI3" s="57">
        <f t="shared" si="60"/>
        <v>0.65282641320660328</v>
      </c>
      <c r="BJ3" s="57">
        <f t="shared" si="61"/>
        <v>5.24512256128064</v>
      </c>
      <c r="BK3" s="225">
        <f t="shared" si="62"/>
        <v>39</v>
      </c>
      <c r="BL3" s="223">
        <f t="shared" si="63"/>
        <v>0.87793896948474237</v>
      </c>
      <c r="BM3" s="56">
        <f t="shared" si="64"/>
        <v>84</v>
      </c>
      <c r="BN3" s="57">
        <f t="shared" si="65"/>
        <v>1.8909454727363681</v>
      </c>
      <c r="BO3" s="58">
        <f t="shared" si="66"/>
        <v>42</v>
      </c>
      <c r="BP3" s="57">
        <f t="shared" si="67"/>
        <v>0.94547273636818407</v>
      </c>
      <c r="BQ3" s="75">
        <f t="shared" si="68"/>
        <v>0</v>
      </c>
      <c r="BR3" s="57">
        <f t="shared" si="69"/>
        <v>0</v>
      </c>
      <c r="BS3" s="114">
        <f t="shared" si="70"/>
        <v>0.5</v>
      </c>
      <c r="BT3" s="56">
        <f t="shared" si="71"/>
        <v>10</v>
      </c>
      <c r="BU3" s="57">
        <f t="shared" si="72"/>
        <v>0.22511255627813906</v>
      </c>
      <c r="BV3" s="61">
        <f t="shared" si="73"/>
        <v>123</v>
      </c>
      <c r="BW3" s="62">
        <f t="shared" si="74"/>
        <v>2.7688844422211103</v>
      </c>
      <c r="BX3" s="61">
        <f t="shared" si="75"/>
        <v>40</v>
      </c>
      <c r="BY3" s="62">
        <f t="shared" si="76"/>
        <v>0.90045022511255624</v>
      </c>
      <c r="BZ3" s="63">
        <f t="shared" si="77"/>
        <v>0.32520325203252032</v>
      </c>
      <c r="CA3" s="61">
        <f t="shared" si="78"/>
        <v>2751</v>
      </c>
      <c r="CB3" s="62">
        <f t="shared" si="79"/>
        <v>61.928464232116056</v>
      </c>
      <c r="CC3" s="61">
        <f t="shared" si="80"/>
        <v>2502</v>
      </c>
      <c r="CD3" s="62">
        <f t="shared" si="81"/>
        <v>56.323161580790391</v>
      </c>
      <c r="CE3" s="63">
        <f t="shared" si="82"/>
        <v>0.90948745910577977</v>
      </c>
      <c r="CF3" s="56">
        <f t="shared" si="83"/>
        <v>2387</v>
      </c>
      <c r="CG3" s="62">
        <f t="shared" si="84"/>
        <v>56.323161580790391</v>
      </c>
      <c r="CH3" s="61">
        <f t="shared" si="85"/>
        <v>364</v>
      </c>
      <c r="CI3" s="62">
        <f t="shared" si="86"/>
        <v>8.1940970485242612</v>
      </c>
      <c r="CJ3" s="316">
        <f t="shared" si="87"/>
        <v>0.15249266862170088</v>
      </c>
      <c r="CK3" s="378">
        <f t="shared" si="88"/>
        <v>249</v>
      </c>
      <c r="CL3" s="379">
        <f t="shared" si="89"/>
        <v>5.6053026513256627</v>
      </c>
      <c r="CM3" s="316">
        <f t="shared" si="90"/>
        <v>9.0512540894220284E-2</v>
      </c>
      <c r="CN3" s="213">
        <f t="shared" si="91"/>
        <v>16</v>
      </c>
      <c r="CO3" s="212">
        <f t="shared" si="92"/>
        <v>0.36018009004502249</v>
      </c>
      <c r="CP3" s="212">
        <f t="shared" si="93"/>
        <v>6.3125000000000001E-2</v>
      </c>
      <c r="CQ3" s="213">
        <f t="shared" si="94"/>
        <v>16</v>
      </c>
      <c r="CR3" s="62">
        <f t="shared" si="95"/>
        <v>0.36018009004502249</v>
      </c>
      <c r="CS3" s="61">
        <f t="shared" si="96"/>
        <v>437</v>
      </c>
      <c r="CT3" s="62">
        <f t="shared" si="97"/>
        <v>9.8374187093546777</v>
      </c>
      <c r="CU3" s="61">
        <f t="shared" si="98"/>
        <v>275</v>
      </c>
      <c r="CV3" s="62">
        <f t="shared" si="99"/>
        <v>6.1905952976488239</v>
      </c>
      <c r="CW3" s="61">
        <f t="shared" si="100"/>
        <v>162</v>
      </c>
      <c r="CX3" s="63">
        <f t="shared" si="101"/>
        <v>0.62929061784897022</v>
      </c>
      <c r="CY3" s="61">
        <f t="shared" si="102"/>
        <v>267</v>
      </c>
      <c r="CZ3" s="62">
        <f t="shared" si="103"/>
        <v>6.010505252626313</v>
      </c>
      <c r="DA3" s="61">
        <f t="shared" si="104"/>
        <v>87</v>
      </c>
      <c r="DB3" s="62">
        <f t="shared" si="105"/>
        <v>1.9584792396198099</v>
      </c>
      <c r="DC3" s="334">
        <f t="shared" si="106"/>
        <v>392</v>
      </c>
      <c r="DD3" s="335">
        <f t="shared" si="107"/>
        <v>8.8244122061030517</v>
      </c>
      <c r="DE3" s="334">
        <f t="shared" si="108"/>
        <v>281</v>
      </c>
      <c r="DF3" s="335">
        <f t="shared" si="109"/>
        <v>6.3256628314157073</v>
      </c>
      <c r="DG3" s="63">
        <f t="shared" si="110"/>
        <v>0.71683673469387754</v>
      </c>
      <c r="DH3" s="61">
        <f t="shared" si="111"/>
        <v>115</v>
      </c>
      <c r="DI3" s="62">
        <f t="shared" si="112"/>
        <v>2.5887943971985994</v>
      </c>
      <c r="DJ3" s="61">
        <f t="shared" si="113"/>
        <v>42</v>
      </c>
      <c r="DK3" s="62">
        <f t="shared" si="114"/>
        <v>0.94547273636818407</v>
      </c>
      <c r="DL3" s="63">
        <f t="shared" si="115"/>
        <v>0.29336734693877553</v>
      </c>
      <c r="DM3" s="61">
        <f t="shared" si="116"/>
        <v>8</v>
      </c>
      <c r="DN3" s="61">
        <f t="shared" si="117"/>
        <v>0</v>
      </c>
      <c r="DO3" s="61">
        <f t="shared" si="118"/>
        <v>8</v>
      </c>
      <c r="DP3" s="62">
        <f t="shared" si="119"/>
        <v>0.18009004502251125</v>
      </c>
      <c r="DQ3" s="63">
        <f t="shared" si="120"/>
        <v>0.19047619047619047</v>
      </c>
      <c r="DR3" s="61">
        <f t="shared" si="121"/>
        <v>631.64</v>
      </c>
      <c r="DS3" s="62">
        <f t="shared" si="122"/>
        <v>14.219009504752375</v>
      </c>
      <c r="DT3" s="61">
        <f t="shared" si="123"/>
        <v>560.86444444444442</v>
      </c>
      <c r="DU3" s="62">
        <f t="shared" si="124"/>
        <v>12.625762881440719</v>
      </c>
      <c r="DV3" s="61">
        <f t="shared" si="125"/>
        <v>304</v>
      </c>
      <c r="DW3" s="62">
        <f t="shared" si="126"/>
        <v>6.8434217108554272</v>
      </c>
      <c r="DX3" s="63">
        <f t="shared" si="127"/>
        <v>0.88794953524862963</v>
      </c>
      <c r="DY3" s="62">
        <f t="shared" si="128"/>
        <v>469.8</v>
      </c>
      <c r="DZ3" s="62">
        <f t="shared" si="129"/>
        <v>10.575787893946973</v>
      </c>
      <c r="EA3" s="62">
        <f t="shared" si="130"/>
        <v>8.6999999999999993</v>
      </c>
      <c r="EB3" s="61">
        <f t="shared" si="131"/>
        <v>3</v>
      </c>
      <c r="EC3" s="62">
        <f t="shared" si="132"/>
        <v>6.7533766883441718E-2</v>
      </c>
      <c r="ED3" s="61">
        <f t="shared" si="133"/>
        <v>370</v>
      </c>
      <c r="EE3" s="62">
        <f t="shared" si="134"/>
        <v>8.3291645822911455</v>
      </c>
      <c r="EF3" s="61">
        <f t="shared" si="135"/>
        <v>653.00666666666666</v>
      </c>
      <c r="EG3" s="62">
        <f t="shared" si="136"/>
        <v>14.7</v>
      </c>
      <c r="EH3" s="62">
        <f t="shared" si="137"/>
        <v>6.92</v>
      </c>
      <c r="EI3" s="301"/>
      <c r="EJ3" s="297" t="s">
        <v>1172</v>
      </c>
      <c r="EK3" s="297" t="s">
        <v>1173</v>
      </c>
      <c r="EL3" s="297">
        <v>31</v>
      </c>
      <c r="EM3" s="297" t="s">
        <v>413</v>
      </c>
      <c r="EN3" s="297" t="s">
        <v>1174</v>
      </c>
      <c r="EO3" s="297" t="s">
        <v>594</v>
      </c>
      <c r="EP3" s="297" t="s">
        <v>651</v>
      </c>
      <c r="EQ3" s="298">
        <v>47118</v>
      </c>
      <c r="ER3" s="297" t="s">
        <v>1156</v>
      </c>
      <c r="ES3" s="297">
        <v>3998</v>
      </c>
      <c r="ET3" s="297" t="s">
        <v>905</v>
      </c>
      <c r="EU3" s="297">
        <v>2</v>
      </c>
      <c r="EV3" s="297">
        <v>1</v>
      </c>
      <c r="EW3" s="297">
        <v>3</v>
      </c>
      <c r="EX3" s="297">
        <v>1</v>
      </c>
      <c r="EY3" s="297">
        <v>8</v>
      </c>
      <c r="EZ3" s="297">
        <v>0</v>
      </c>
      <c r="FA3" s="297">
        <v>123</v>
      </c>
      <c r="FB3" s="297">
        <v>40</v>
      </c>
      <c r="FC3" s="297">
        <v>193</v>
      </c>
      <c r="FD3" s="297">
        <v>272</v>
      </c>
      <c r="FE3" s="297">
        <v>2.2000000000000002</v>
      </c>
      <c r="FF3" s="297">
        <v>42</v>
      </c>
      <c r="FG3" s="297">
        <v>42</v>
      </c>
      <c r="FH3" s="297">
        <v>36</v>
      </c>
      <c r="FI3" s="297">
        <v>29</v>
      </c>
      <c r="FJ3" s="297">
        <v>14.7</v>
      </c>
      <c r="FK3" s="297">
        <v>10</v>
      </c>
      <c r="FL3" s="297">
        <v>158</v>
      </c>
      <c r="FM3" s="297">
        <v>42</v>
      </c>
      <c r="FN3" s="297">
        <v>39</v>
      </c>
      <c r="FO3" s="297" t="s">
        <v>1175</v>
      </c>
      <c r="FP3" s="297">
        <v>8.6999999999999993</v>
      </c>
      <c r="FQ3" s="297">
        <v>3</v>
      </c>
      <c r="FR3" s="297">
        <v>364</v>
      </c>
      <c r="FS3" s="297">
        <v>2751</v>
      </c>
      <c r="FT3" s="297">
        <v>2502</v>
      </c>
      <c r="FU3" s="297">
        <v>0</v>
      </c>
      <c r="FV3" s="297">
        <v>19</v>
      </c>
      <c r="FW3" s="297">
        <v>6</v>
      </c>
      <c r="FX3" s="297">
        <v>0</v>
      </c>
      <c r="FY3" s="297">
        <v>0</v>
      </c>
      <c r="FZ3" s="297" t="s">
        <v>1197</v>
      </c>
      <c r="GA3" s="297" t="s">
        <v>1198</v>
      </c>
      <c r="GB3" s="297">
        <v>16</v>
      </c>
      <c r="GC3" s="297">
        <v>0</v>
      </c>
      <c r="GD3" s="302">
        <v>6.92</v>
      </c>
    </row>
    <row r="4" spans="1:193" ht="24.95" customHeight="1" thickBot="1" x14ac:dyDescent="0.3">
      <c r="A4" s="29" t="str">
        <f t="shared" si="0"/>
        <v>3º</v>
      </c>
      <c r="B4" s="101" t="str">
        <f t="shared" si="1"/>
        <v>Danilo</v>
      </c>
      <c r="C4" s="86" t="str">
        <f t="shared" si="2"/>
        <v>BRA</v>
      </c>
      <c r="D4" s="99" t="str">
        <f t="shared" si="3"/>
        <v>Pé Direito</v>
      </c>
      <c r="E4" s="67" t="str">
        <f t="shared" si="4"/>
        <v>Flamengo</v>
      </c>
      <c r="F4" s="168">
        <f t="shared" si="5"/>
        <v>1.84</v>
      </c>
      <c r="G4" s="171">
        <f t="shared" si="6"/>
        <v>35</v>
      </c>
      <c r="H4" s="68" t="str">
        <f t="shared" si="7"/>
        <v>24m € - 240m €</v>
      </c>
      <c r="I4" s="201">
        <f t="shared" si="8"/>
        <v>46387</v>
      </c>
      <c r="J4" s="304" t="str">
        <f t="shared" si="9"/>
        <v>244m € p/m</v>
      </c>
      <c r="K4" s="96">
        <f t="shared" si="10"/>
        <v>40.308888888888887</v>
      </c>
      <c r="L4" s="147">
        <f t="shared" si="11"/>
        <v>42.322222222222223</v>
      </c>
      <c r="M4" s="147">
        <f t="shared" si="12"/>
        <v>47</v>
      </c>
      <c r="N4" s="147">
        <f t="shared" si="13"/>
        <v>81.042553191489361</v>
      </c>
      <c r="O4" s="193">
        <f t="shared" si="14"/>
        <v>0.94</v>
      </c>
      <c r="P4" s="55">
        <f t="shared" si="15"/>
        <v>7</v>
      </c>
      <c r="Q4" s="55">
        <f t="shared" si="16"/>
        <v>1</v>
      </c>
      <c r="R4" s="55">
        <f t="shared" si="17"/>
        <v>8</v>
      </c>
      <c r="S4" s="57">
        <f t="shared" si="18"/>
        <v>0.16539774218955106</v>
      </c>
      <c r="T4" s="57">
        <f t="shared" si="19"/>
        <v>0.18902599107377263</v>
      </c>
      <c r="U4" s="57">
        <f t="shared" si="20"/>
        <v>3.33</v>
      </c>
      <c r="V4" s="57">
        <f t="shared" si="21"/>
        <v>7.8682068784457868E-2</v>
      </c>
      <c r="W4" s="57">
        <f t="shared" si="22"/>
        <v>3.33</v>
      </c>
      <c r="X4" s="57">
        <f t="shared" si="23"/>
        <v>7.8682068784457868E-2</v>
      </c>
      <c r="Y4" s="57">
        <f t="shared" si="24"/>
        <v>1.37</v>
      </c>
      <c r="Z4" s="57">
        <f t="shared" si="25"/>
        <v>3.2370700971383566E-2</v>
      </c>
      <c r="AA4" s="57">
        <f t="shared" si="26"/>
        <v>4.7</v>
      </c>
      <c r="AB4" s="57">
        <f t="shared" si="27"/>
        <v>0.11105276975584143</v>
      </c>
      <c r="AC4" s="56">
        <f t="shared" si="28"/>
        <v>2</v>
      </c>
      <c r="AD4" s="57">
        <f t="shared" si="29"/>
        <v>1904.5</v>
      </c>
      <c r="AE4" s="63">
        <f t="shared" si="30"/>
        <v>4.7256497768443158E-2</v>
      </c>
      <c r="AF4" s="317">
        <f t="shared" si="31"/>
        <v>0</v>
      </c>
      <c r="AG4" s="317">
        <f t="shared" si="32"/>
        <v>0</v>
      </c>
      <c r="AH4" s="56">
        <f t="shared" si="33"/>
        <v>0</v>
      </c>
      <c r="AI4" s="60">
        <f t="shared" si="34"/>
        <v>9.9999999999999995E-8</v>
      </c>
      <c r="AJ4" s="305">
        <f t="shared" si="35"/>
        <v>0</v>
      </c>
      <c r="AK4" s="306">
        <f t="shared" si="36"/>
        <v>0</v>
      </c>
      <c r="AL4" s="56">
        <f t="shared" si="37"/>
        <v>252</v>
      </c>
      <c r="AM4" s="57">
        <f t="shared" si="38"/>
        <v>5.9543187188238385</v>
      </c>
      <c r="AN4" s="56">
        <f t="shared" si="39"/>
        <v>190</v>
      </c>
      <c r="AO4" s="57">
        <f t="shared" si="40"/>
        <v>4.4893672880021001</v>
      </c>
      <c r="AP4" s="60">
        <f t="shared" si="41"/>
        <v>0.75396825396825395</v>
      </c>
      <c r="AQ4" s="56">
        <f t="shared" si="42"/>
        <v>62</v>
      </c>
      <c r="AR4" s="57">
        <f t="shared" si="43"/>
        <v>1.464951430821738</v>
      </c>
      <c r="AS4" s="60">
        <f t="shared" si="44"/>
        <v>0.24603174603174602</v>
      </c>
      <c r="AT4" s="213">
        <f t="shared" si="45"/>
        <v>71.947777777777773</v>
      </c>
      <c r="AU4" s="212">
        <f t="shared" si="46"/>
        <v>1.7</v>
      </c>
      <c r="AV4" s="63">
        <f t="shared" si="47"/>
        <v>0.10714285714285714</v>
      </c>
      <c r="AW4" s="213">
        <f t="shared" si="48"/>
        <v>27</v>
      </c>
      <c r="AX4" s="212">
        <f t="shared" si="49"/>
        <v>0.63796271987398268</v>
      </c>
      <c r="AY4" s="213">
        <f t="shared" si="50"/>
        <v>16</v>
      </c>
      <c r="AZ4" s="212">
        <f t="shared" si="51"/>
        <v>0.37805198214754526</v>
      </c>
      <c r="BA4" s="63">
        <f t="shared" si="52"/>
        <v>0.59259259259259256</v>
      </c>
      <c r="BB4" s="376">
        <f t="shared" si="53"/>
        <v>0.12333333333333334</v>
      </c>
      <c r="BC4" s="375">
        <f t="shared" si="54"/>
        <v>3.33</v>
      </c>
      <c r="BD4" s="375">
        <f t="shared" si="55"/>
        <v>3.67</v>
      </c>
      <c r="BE4" s="375">
        <f t="shared" si="56"/>
        <v>3.67</v>
      </c>
      <c r="BF4" s="56">
        <f t="shared" si="57"/>
        <v>170</v>
      </c>
      <c r="BG4" s="57">
        <f t="shared" si="58"/>
        <v>4.0168023103176687</v>
      </c>
      <c r="BH4" s="56">
        <f t="shared" si="59"/>
        <v>21</v>
      </c>
      <c r="BI4" s="57">
        <f t="shared" si="60"/>
        <v>0.49619322656865317</v>
      </c>
      <c r="BJ4" s="57">
        <f t="shared" si="61"/>
        <v>4.1113153058545553</v>
      </c>
      <c r="BK4" s="225">
        <f t="shared" si="62"/>
        <v>30</v>
      </c>
      <c r="BL4" s="223">
        <f t="shared" si="63"/>
        <v>0.70884746652664743</v>
      </c>
      <c r="BM4" s="56">
        <f t="shared" si="64"/>
        <v>41</v>
      </c>
      <c r="BN4" s="57">
        <f t="shared" si="65"/>
        <v>0.96875820425308479</v>
      </c>
      <c r="BO4" s="58">
        <f t="shared" si="66"/>
        <v>18</v>
      </c>
      <c r="BP4" s="57">
        <f t="shared" si="67"/>
        <v>0.42530847991598847</v>
      </c>
      <c r="BQ4" s="75">
        <f t="shared" si="68"/>
        <v>9</v>
      </c>
      <c r="BR4" s="57">
        <f t="shared" si="69"/>
        <v>0.21265423995799423</v>
      </c>
      <c r="BS4" s="114">
        <f t="shared" si="70"/>
        <v>0.43902439024390244</v>
      </c>
      <c r="BT4" s="56">
        <f t="shared" si="71"/>
        <v>4</v>
      </c>
      <c r="BU4" s="57">
        <f t="shared" si="72"/>
        <v>9.4512995536886316E-2</v>
      </c>
      <c r="BV4" s="61">
        <f t="shared" si="73"/>
        <v>91</v>
      </c>
      <c r="BW4" s="62">
        <f t="shared" si="74"/>
        <v>2.1501706484641638</v>
      </c>
      <c r="BX4" s="61">
        <f t="shared" si="75"/>
        <v>34</v>
      </c>
      <c r="BY4" s="62">
        <f t="shared" si="76"/>
        <v>0.80336046206353373</v>
      </c>
      <c r="BZ4" s="63">
        <f t="shared" si="77"/>
        <v>0.37362637362637363</v>
      </c>
      <c r="CA4" s="61">
        <f t="shared" si="78"/>
        <v>1941</v>
      </c>
      <c r="CB4" s="62">
        <f t="shared" si="79"/>
        <v>45.862431084274085</v>
      </c>
      <c r="CC4" s="61">
        <f t="shared" si="80"/>
        <v>1788</v>
      </c>
      <c r="CD4" s="62">
        <f t="shared" si="81"/>
        <v>42.247309004988182</v>
      </c>
      <c r="CE4" s="63">
        <f t="shared" si="82"/>
        <v>0.92117465224111283</v>
      </c>
      <c r="CF4" s="56">
        <f t="shared" si="83"/>
        <v>1793</v>
      </c>
      <c r="CG4" s="62">
        <f t="shared" si="84"/>
        <v>42.247309004988182</v>
      </c>
      <c r="CH4" s="61">
        <f t="shared" si="85"/>
        <v>148</v>
      </c>
      <c r="CI4" s="62">
        <f t="shared" si="86"/>
        <v>3.4969808348647939</v>
      </c>
      <c r="CJ4" s="316">
        <f t="shared" si="87"/>
        <v>8.2543223647518121E-2</v>
      </c>
      <c r="CK4" s="378">
        <f t="shared" si="88"/>
        <v>153</v>
      </c>
      <c r="CL4" s="379">
        <f t="shared" si="89"/>
        <v>3.6151220792859018</v>
      </c>
      <c r="CM4" s="316">
        <f t="shared" si="90"/>
        <v>7.8825347758887165E-2</v>
      </c>
      <c r="CN4" s="213">
        <f t="shared" si="91"/>
        <v>15</v>
      </c>
      <c r="CO4" s="212">
        <f t="shared" si="92"/>
        <v>0.35442373326332371</v>
      </c>
      <c r="CP4" s="212">
        <f t="shared" si="93"/>
        <v>9.1333333333333336E-2</v>
      </c>
      <c r="CQ4" s="213">
        <f t="shared" si="94"/>
        <v>18</v>
      </c>
      <c r="CR4" s="62">
        <f t="shared" si="95"/>
        <v>0.42530847991598847</v>
      </c>
      <c r="CS4" s="61">
        <f t="shared" si="96"/>
        <v>370</v>
      </c>
      <c r="CT4" s="62">
        <f t="shared" si="97"/>
        <v>8.7424520871619844</v>
      </c>
      <c r="CU4" s="61">
        <f t="shared" si="98"/>
        <v>242</v>
      </c>
      <c r="CV4" s="62">
        <f t="shared" si="99"/>
        <v>5.7180362299816228</v>
      </c>
      <c r="CW4" s="61">
        <f t="shared" si="100"/>
        <v>128</v>
      </c>
      <c r="CX4" s="63">
        <f t="shared" si="101"/>
        <v>0.65405405405405403</v>
      </c>
      <c r="CY4" s="61">
        <f t="shared" si="102"/>
        <v>202</v>
      </c>
      <c r="CZ4" s="62">
        <f t="shared" si="103"/>
        <v>4.7729062746127591</v>
      </c>
      <c r="DA4" s="61">
        <f t="shared" si="104"/>
        <v>54</v>
      </c>
      <c r="DB4" s="62">
        <f t="shared" si="105"/>
        <v>1.2759254397479654</v>
      </c>
      <c r="DC4" s="334">
        <f t="shared" si="106"/>
        <v>318</v>
      </c>
      <c r="DD4" s="335">
        <f t="shared" si="107"/>
        <v>7.5137831451824626</v>
      </c>
      <c r="DE4" s="334">
        <f t="shared" si="108"/>
        <v>237</v>
      </c>
      <c r="DF4" s="335">
        <f t="shared" si="109"/>
        <v>5.5998949855605149</v>
      </c>
      <c r="DG4" s="63">
        <f t="shared" si="110"/>
        <v>0.74528301886792447</v>
      </c>
      <c r="DH4" s="61">
        <f t="shared" si="111"/>
        <v>96</v>
      </c>
      <c r="DI4" s="62">
        <f t="shared" si="112"/>
        <v>2.2683118928852717</v>
      </c>
      <c r="DJ4" s="61">
        <f t="shared" si="113"/>
        <v>14</v>
      </c>
      <c r="DK4" s="62">
        <f t="shared" si="114"/>
        <v>0.33079548437910211</v>
      </c>
      <c r="DL4" s="63">
        <f t="shared" si="115"/>
        <v>0.30188679245283018</v>
      </c>
      <c r="DM4" s="61">
        <f t="shared" si="116"/>
        <v>1</v>
      </c>
      <c r="DN4" s="61">
        <f t="shared" si="117"/>
        <v>0</v>
      </c>
      <c r="DO4" s="61">
        <f t="shared" si="118"/>
        <v>1</v>
      </c>
      <c r="DP4" s="62">
        <f t="shared" si="119"/>
        <v>2.3628248884221579E-2</v>
      </c>
      <c r="DQ4" s="63">
        <f t="shared" si="120"/>
        <v>7.1428571428571425E-2</v>
      </c>
      <c r="DR4" s="61">
        <f t="shared" si="121"/>
        <v>494.33000000000004</v>
      </c>
      <c r="DS4" s="62">
        <f t="shared" si="122"/>
        <v>11.680152270937254</v>
      </c>
      <c r="DT4" s="61">
        <f t="shared" si="123"/>
        <v>449.97388888888889</v>
      </c>
      <c r="DU4" s="62">
        <f t="shared" si="124"/>
        <v>10.632095038067733</v>
      </c>
      <c r="DV4" s="61">
        <f t="shared" si="125"/>
        <v>168.25</v>
      </c>
      <c r="DW4" s="62">
        <f t="shared" si="126"/>
        <v>3.9754528747702809</v>
      </c>
      <c r="DX4" s="63">
        <f t="shared" si="127"/>
        <v>0.91027024232575171</v>
      </c>
      <c r="DY4" s="62">
        <f t="shared" si="128"/>
        <v>428.9</v>
      </c>
      <c r="DZ4" s="62">
        <f t="shared" si="129"/>
        <v>10.134155946442634</v>
      </c>
      <c r="EA4" s="62">
        <f t="shared" si="130"/>
        <v>6.2</v>
      </c>
      <c r="EB4" s="61">
        <f t="shared" si="131"/>
        <v>4</v>
      </c>
      <c r="EC4" s="62">
        <f t="shared" si="132"/>
        <v>9.4512995536886316E-2</v>
      </c>
      <c r="ED4" s="61">
        <f t="shared" si="133"/>
        <v>238</v>
      </c>
      <c r="EE4" s="62">
        <f t="shared" si="134"/>
        <v>5.6235232344447361</v>
      </c>
      <c r="EF4" s="61">
        <f t="shared" si="135"/>
        <v>427.45444444444445</v>
      </c>
      <c r="EG4" s="62">
        <f t="shared" si="136"/>
        <v>10.1</v>
      </c>
      <c r="EH4" s="62">
        <f t="shared" si="137"/>
        <v>6.96</v>
      </c>
      <c r="EI4" s="301" t="s">
        <v>1144</v>
      </c>
      <c r="EJ4" s="297" t="s">
        <v>1145</v>
      </c>
      <c r="EK4" s="297" t="s">
        <v>574</v>
      </c>
      <c r="EL4" s="297">
        <v>35</v>
      </c>
      <c r="EM4" s="297" t="s">
        <v>1146</v>
      </c>
      <c r="EN4" s="297" t="s">
        <v>657</v>
      </c>
      <c r="EO4" s="297" t="s">
        <v>13</v>
      </c>
      <c r="EP4" s="297" t="s">
        <v>643</v>
      </c>
      <c r="EQ4" s="298">
        <v>46387</v>
      </c>
      <c r="ER4" s="297" t="s">
        <v>1147</v>
      </c>
      <c r="ES4" s="297">
        <v>3809</v>
      </c>
      <c r="ET4" s="297" t="s">
        <v>1148</v>
      </c>
      <c r="EU4" s="297">
        <v>2</v>
      </c>
      <c r="EV4" s="297">
        <v>0</v>
      </c>
      <c r="EW4" s="297">
        <v>7</v>
      </c>
      <c r="EX4" s="297">
        <v>1</v>
      </c>
      <c r="EY4" s="297">
        <v>1</v>
      </c>
      <c r="EZ4" s="297">
        <v>0</v>
      </c>
      <c r="FA4" s="297">
        <v>91</v>
      </c>
      <c r="FB4" s="297">
        <v>34</v>
      </c>
      <c r="FC4" s="297">
        <v>190</v>
      </c>
      <c r="FD4" s="297">
        <v>252</v>
      </c>
      <c r="FE4" s="297">
        <v>1.7</v>
      </c>
      <c r="FF4" s="297">
        <v>27</v>
      </c>
      <c r="FG4" s="297">
        <v>18</v>
      </c>
      <c r="FH4" s="297">
        <v>25</v>
      </c>
      <c r="FI4" s="297">
        <v>21</v>
      </c>
      <c r="FJ4" s="297">
        <v>10.1</v>
      </c>
      <c r="FK4" s="297">
        <v>4</v>
      </c>
      <c r="FL4" s="297">
        <v>124</v>
      </c>
      <c r="FM4" s="297">
        <v>14</v>
      </c>
      <c r="FN4" s="297">
        <v>30</v>
      </c>
      <c r="FO4" s="297" t="s">
        <v>1149</v>
      </c>
      <c r="FP4" s="297">
        <v>6.2</v>
      </c>
      <c r="FQ4" s="297">
        <v>4</v>
      </c>
      <c r="FR4" s="297">
        <v>148</v>
      </c>
      <c r="FS4" s="297">
        <v>1941</v>
      </c>
      <c r="FT4" s="297">
        <v>1788</v>
      </c>
      <c r="FU4" s="297">
        <v>3</v>
      </c>
      <c r="FV4" s="297">
        <v>27</v>
      </c>
      <c r="FW4" s="297">
        <v>16</v>
      </c>
      <c r="FX4" s="297">
        <v>0</v>
      </c>
      <c r="FY4" s="297">
        <v>0</v>
      </c>
      <c r="FZ4" s="297" t="s">
        <v>1186</v>
      </c>
      <c r="GA4" s="297" t="s">
        <v>1187</v>
      </c>
      <c r="GB4" s="297">
        <v>15</v>
      </c>
      <c r="GC4" s="297">
        <v>0</v>
      </c>
      <c r="GD4" s="302">
        <v>6.96</v>
      </c>
    </row>
    <row r="5" spans="1:193" ht="24.95" customHeight="1" thickBot="1" x14ac:dyDescent="0.3">
      <c r="A5" s="29" t="str">
        <f t="shared" si="0"/>
        <v>4º</v>
      </c>
      <c r="B5" s="101" t="str">
        <f t="shared" si="1"/>
        <v>Gabriel Lacerda</v>
      </c>
      <c r="C5" s="86" t="str">
        <f t="shared" si="2"/>
        <v>BRA</v>
      </c>
      <c r="D5" s="99" t="str">
        <f t="shared" si="3"/>
        <v>Pé Direito</v>
      </c>
      <c r="E5" s="67" t="str">
        <f t="shared" si="4"/>
        <v>Londrina</v>
      </c>
      <c r="F5" s="168">
        <f t="shared" si="5"/>
        <v>1.87</v>
      </c>
      <c r="G5" s="171">
        <f t="shared" si="6"/>
        <v>27</v>
      </c>
      <c r="H5" s="68" t="str">
        <f t="shared" si="7"/>
        <v>180m € - 1,8M €</v>
      </c>
      <c r="I5" s="201">
        <f t="shared" si="8"/>
        <v>47118</v>
      </c>
      <c r="J5" s="304" t="str">
        <f t="shared" si="9"/>
        <v>6,5m € p/m</v>
      </c>
      <c r="K5" s="96">
        <f t="shared" si="10"/>
        <v>40.308888888888887</v>
      </c>
      <c r="L5" s="147">
        <f t="shared" si="11"/>
        <v>45.533333333333331</v>
      </c>
      <c r="M5" s="147">
        <f t="shared" si="12"/>
        <v>30</v>
      </c>
      <c r="N5" s="147">
        <f t="shared" si="13"/>
        <v>136.6</v>
      </c>
      <c r="O5" s="193">
        <f t="shared" si="14"/>
        <v>0.97</v>
      </c>
      <c r="P5" s="55">
        <f t="shared" si="15"/>
        <v>4</v>
      </c>
      <c r="Q5" s="55">
        <f t="shared" si="16"/>
        <v>3</v>
      </c>
      <c r="R5" s="55">
        <f t="shared" si="17"/>
        <v>7</v>
      </c>
      <c r="S5" s="57">
        <f t="shared" si="18"/>
        <v>8.7847730600292828E-2</v>
      </c>
      <c r="T5" s="57">
        <f t="shared" si="19"/>
        <v>0.15373352855051245</v>
      </c>
      <c r="U5" s="57">
        <f t="shared" si="20"/>
        <v>3.17</v>
      </c>
      <c r="V5" s="57">
        <f t="shared" si="21"/>
        <v>6.9619326500732062E-2</v>
      </c>
      <c r="W5" s="57">
        <f t="shared" si="22"/>
        <v>3.17</v>
      </c>
      <c r="X5" s="57">
        <f t="shared" si="23"/>
        <v>6.9619326500732062E-2</v>
      </c>
      <c r="Y5" s="57">
        <f t="shared" si="24"/>
        <v>2.56</v>
      </c>
      <c r="Z5" s="57">
        <f t="shared" si="25"/>
        <v>5.6222547584187411E-2</v>
      </c>
      <c r="AA5" s="57">
        <f t="shared" si="26"/>
        <v>5.73</v>
      </c>
      <c r="AB5" s="57">
        <f t="shared" si="27"/>
        <v>0.12584187408491948</v>
      </c>
      <c r="AC5" s="56">
        <f t="shared" si="28"/>
        <v>3</v>
      </c>
      <c r="AD5" s="57">
        <f t="shared" si="29"/>
        <v>1366</v>
      </c>
      <c r="AE5" s="63">
        <f t="shared" si="30"/>
        <v>6.5885797950219621E-2</v>
      </c>
      <c r="AF5" s="317">
        <f t="shared" si="31"/>
        <v>0</v>
      </c>
      <c r="AG5" s="317">
        <f t="shared" si="32"/>
        <v>0</v>
      </c>
      <c r="AH5" s="56">
        <f t="shared" si="33"/>
        <v>0</v>
      </c>
      <c r="AI5" s="60">
        <f t="shared" si="34"/>
        <v>9.9999999999999995E-8</v>
      </c>
      <c r="AJ5" s="305">
        <f t="shared" si="35"/>
        <v>1</v>
      </c>
      <c r="AK5" s="306">
        <f t="shared" si="36"/>
        <v>2.1961932650073207E-2</v>
      </c>
      <c r="AL5" s="56">
        <f t="shared" si="37"/>
        <v>263</v>
      </c>
      <c r="AM5" s="57">
        <f t="shared" si="38"/>
        <v>5.7759882869692536</v>
      </c>
      <c r="AN5" s="56">
        <f t="shared" si="39"/>
        <v>198</v>
      </c>
      <c r="AO5" s="57">
        <f t="shared" si="40"/>
        <v>4.3484626647144955</v>
      </c>
      <c r="AP5" s="60">
        <f t="shared" si="41"/>
        <v>0.75285171102661597</v>
      </c>
      <c r="AQ5" s="56">
        <f t="shared" si="42"/>
        <v>65</v>
      </c>
      <c r="AR5" s="57">
        <f t="shared" si="43"/>
        <v>1.4275256222547585</v>
      </c>
      <c r="AS5" s="60">
        <f t="shared" si="44"/>
        <v>0.24714828897338403</v>
      </c>
      <c r="AT5" s="213">
        <f t="shared" si="45"/>
        <v>50.086666666666666</v>
      </c>
      <c r="AU5" s="212">
        <f t="shared" si="46"/>
        <v>1.1000000000000001</v>
      </c>
      <c r="AV5" s="63">
        <f t="shared" si="47"/>
        <v>0.10266159695817491</v>
      </c>
      <c r="AW5" s="213">
        <f t="shared" si="48"/>
        <v>27</v>
      </c>
      <c r="AX5" s="212">
        <f t="shared" si="49"/>
        <v>0.59297218155197662</v>
      </c>
      <c r="AY5" s="213">
        <f t="shared" si="50"/>
        <v>6</v>
      </c>
      <c r="AZ5" s="212">
        <f t="shared" si="51"/>
        <v>0.13177159590043924</v>
      </c>
      <c r="BA5" s="63">
        <f t="shared" si="52"/>
        <v>0.22222222222222221</v>
      </c>
      <c r="BB5" s="376">
        <f t="shared" si="53"/>
        <v>0.1174074074074074</v>
      </c>
      <c r="BC5" s="375">
        <f t="shared" si="54"/>
        <v>3.17</v>
      </c>
      <c r="BD5" s="375">
        <f t="shared" si="55"/>
        <v>0.83000000000000007</v>
      </c>
      <c r="BE5" s="375">
        <f t="shared" si="56"/>
        <v>0.83000000000000007</v>
      </c>
      <c r="BF5" s="56">
        <f t="shared" si="57"/>
        <v>226</v>
      </c>
      <c r="BG5" s="57">
        <f t="shared" si="58"/>
        <v>4.963396778916545</v>
      </c>
      <c r="BH5" s="56">
        <f t="shared" si="59"/>
        <v>42</v>
      </c>
      <c r="BI5" s="57">
        <f t="shared" si="60"/>
        <v>0.92240117130307475</v>
      </c>
      <c r="BJ5" s="57">
        <f t="shared" si="61"/>
        <v>4.9853587115666178</v>
      </c>
      <c r="BK5" s="225">
        <f t="shared" si="62"/>
        <v>60</v>
      </c>
      <c r="BL5" s="223">
        <f t="shared" si="63"/>
        <v>1.3177159590043925</v>
      </c>
      <c r="BM5" s="56">
        <f t="shared" si="64"/>
        <v>28</v>
      </c>
      <c r="BN5" s="57">
        <f t="shared" si="65"/>
        <v>0.6149341142020498</v>
      </c>
      <c r="BO5" s="58">
        <f t="shared" si="66"/>
        <v>8</v>
      </c>
      <c r="BP5" s="57">
        <f t="shared" si="67"/>
        <v>0.17569546120058566</v>
      </c>
      <c r="BQ5" s="75">
        <f t="shared" si="68"/>
        <v>5</v>
      </c>
      <c r="BR5" s="57">
        <f t="shared" si="69"/>
        <v>0.10980966325036604</v>
      </c>
      <c r="BS5" s="114">
        <f t="shared" si="70"/>
        <v>0.2857142857142857</v>
      </c>
      <c r="BT5" s="56">
        <f t="shared" si="71"/>
        <v>1</v>
      </c>
      <c r="BU5" s="57">
        <f t="shared" si="72"/>
        <v>2.1961932650073207E-2</v>
      </c>
      <c r="BV5" s="61">
        <f t="shared" si="73"/>
        <v>117</v>
      </c>
      <c r="BW5" s="62">
        <f t="shared" si="74"/>
        <v>2.5695461200585652</v>
      </c>
      <c r="BX5" s="61">
        <f t="shared" si="75"/>
        <v>28</v>
      </c>
      <c r="BY5" s="62">
        <f t="shared" si="76"/>
        <v>0.6149341142020498</v>
      </c>
      <c r="BZ5" s="63">
        <f t="shared" si="77"/>
        <v>0.23931623931623933</v>
      </c>
      <c r="CA5" s="61">
        <f t="shared" si="78"/>
        <v>1896</v>
      </c>
      <c r="CB5" s="62">
        <f t="shared" si="79"/>
        <v>41.639824304538799</v>
      </c>
      <c r="CC5" s="61">
        <f t="shared" si="80"/>
        <v>1711</v>
      </c>
      <c r="CD5" s="62">
        <f t="shared" si="81"/>
        <v>37.576866764275259</v>
      </c>
      <c r="CE5" s="63">
        <f t="shared" si="82"/>
        <v>0.90242616033755274</v>
      </c>
      <c r="CF5" s="56">
        <f t="shared" si="83"/>
        <v>1813</v>
      </c>
      <c r="CG5" s="62">
        <f t="shared" si="84"/>
        <v>37.576866764275259</v>
      </c>
      <c r="CH5" s="61">
        <f t="shared" si="85"/>
        <v>83</v>
      </c>
      <c r="CI5" s="62">
        <f t="shared" si="86"/>
        <v>1.8228404099560762</v>
      </c>
      <c r="CJ5" s="316">
        <f t="shared" si="87"/>
        <v>4.5780474351902925E-2</v>
      </c>
      <c r="CK5" s="378">
        <f t="shared" si="88"/>
        <v>185</v>
      </c>
      <c r="CL5" s="379">
        <f t="shared" si="89"/>
        <v>4.0629575402635432</v>
      </c>
      <c r="CM5" s="316">
        <f t="shared" si="90"/>
        <v>9.7573839662447259E-2</v>
      </c>
      <c r="CN5" s="213">
        <f t="shared" si="91"/>
        <v>12</v>
      </c>
      <c r="CO5" s="212">
        <f t="shared" si="92"/>
        <v>0.26354319180087848</v>
      </c>
      <c r="CP5" s="212">
        <f t="shared" si="93"/>
        <v>0.21333333333333335</v>
      </c>
      <c r="CQ5" s="213">
        <f t="shared" si="94"/>
        <v>16</v>
      </c>
      <c r="CR5" s="62">
        <f t="shared" si="95"/>
        <v>0.35139092240117131</v>
      </c>
      <c r="CS5" s="61">
        <f t="shared" si="96"/>
        <v>393</v>
      </c>
      <c r="CT5" s="62">
        <f t="shared" si="97"/>
        <v>8.6310395314787698</v>
      </c>
      <c r="CU5" s="61">
        <f t="shared" si="98"/>
        <v>234</v>
      </c>
      <c r="CV5" s="62">
        <f t="shared" si="99"/>
        <v>5.1390922401171304</v>
      </c>
      <c r="CW5" s="61">
        <f t="shared" si="100"/>
        <v>159</v>
      </c>
      <c r="CX5" s="63">
        <f t="shared" si="101"/>
        <v>0.59541984732824427</v>
      </c>
      <c r="CY5" s="61">
        <f t="shared" si="102"/>
        <v>286.5</v>
      </c>
      <c r="CZ5" s="62">
        <f t="shared" si="103"/>
        <v>6.2920937042459739</v>
      </c>
      <c r="DA5" s="61">
        <f t="shared" si="104"/>
        <v>36.5</v>
      </c>
      <c r="DB5" s="62">
        <f t="shared" si="105"/>
        <v>0.8016105417276721</v>
      </c>
      <c r="DC5" s="334">
        <f t="shared" si="106"/>
        <v>333</v>
      </c>
      <c r="DD5" s="335">
        <f t="shared" si="107"/>
        <v>7.3133235724743777</v>
      </c>
      <c r="DE5" s="334">
        <f t="shared" si="108"/>
        <v>249</v>
      </c>
      <c r="DF5" s="335">
        <f t="shared" si="109"/>
        <v>5.4685212298682284</v>
      </c>
      <c r="DG5" s="63">
        <f t="shared" si="110"/>
        <v>0.74774774774774777</v>
      </c>
      <c r="DH5" s="61">
        <f t="shared" si="111"/>
        <v>112</v>
      </c>
      <c r="DI5" s="62">
        <f t="shared" si="112"/>
        <v>2.4597364568081992</v>
      </c>
      <c r="DJ5" s="61">
        <f t="shared" si="113"/>
        <v>15</v>
      </c>
      <c r="DK5" s="62">
        <f t="shared" si="114"/>
        <v>0.32942898975109813</v>
      </c>
      <c r="DL5" s="63">
        <f t="shared" si="115"/>
        <v>0.33633633633633636</v>
      </c>
      <c r="DM5" s="61">
        <f t="shared" si="116"/>
        <v>4</v>
      </c>
      <c r="DN5" s="61">
        <f t="shared" si="117"/>
        <v>2</v>
      </c>
      <c r="DO5" s="61">
        <f t="shared" si="118"/>
        <v>6</v>
      </c>
      <c r="DP5" s="62">
        <f t="shared" si="119"/>
        <v>0.13177159590043924</v>
      </c>
      <c r="DQ5" s="63">
        <f t="shared" si="120"/>
        <v>0.4</v>
      </c>
      <c r="DR5" s="61">
        <f t="shared" si="121"/>
        <v>589.31999999999994</v>
      </c>
      <c r="DS5" s="62">
        <f t="shared" si="122"/>
        <v>12.942606149341142</v>
      </c>
      <c r="DT5" s="61">
        <f t="shared" si="123"/>
        <v>518.54333333333329</v>
      </c>
      <c r="DU5" s="62">
        <f t="shared" si="124"/>
        <v>11.388213762811127</v>
      </c>
      <c r="DV5" s="61">
        <f t="shared" si="125"/>
        <v>212</v>
      </c>
      <c r="DW5" s="62">
        <f t="shared" si="126"/>
        <v>4.6559297218155198</v>
      </c>
      <c r="DX5" s="63">
        <f t="shared" si="127"/>
        <v>0.87990112898481865</v>
      </c>
      <c r="DY5" s="62">
        <f t="shared" si="128"/>
        <v>442.4</v>
      </c>
      <c r="DZ5" s="62">
        <f t="shared" si="129"/>
        <v>9.7159590043923867</v>
      </c>
      <c r="EA5" s="62">
        <f t="shared" si="130"/>
        <v>3.4</v>
      </c>
      <c r="EB5" s="61">
        <f t="shared" si="131"/>
        <v>1</v>
      </c>
      <c r="EC5" s="62">
        <f t="shared" si="132"/>
        <v>2.1961932650073207E-2</v>
      </c>
      <c r="ED5" s="61">
        <f t="shared" si="133"/>
        <v>270</v>
      </c>
      <c r="EE5" s="62">
        <f t="shared" si="134"/>
        <v>5.9297218155197662</v>
      </c>
      <c r="EF5" s="61">
        <f t="shared" si="135"/>
        <v>833.26</v>
      </c>
      <c r="EG5" s="62">
        <f t="shared" si="136"/>
        <v>18.3</v>
      </c>
      <c r="EH5" s="62">
        <f t="shared" si="137"/>
        <v>6.88</v>
      </c>
      <c r="EI5" s="301" t="s">
        <v>19</v>
      </c>
      <c r="EJ5" s="297" t="s">
        <v>1154</v>
      </c>
      <c r="EK5" s="297" t="s">
        <v>910</v>
      </c>
      <c r="EL5" s="297">
        <v>27</v>
      </c>
      <c r="EM5" s="297" t="s">
        <v>956</v>
      </c>
      <c r="EN5" s="297" t="s">
        <v>842</v>
      </c>
      <c r="EO5" s="297" t="s">
        <v>13</v>
      </c>
      <c r="EP5" s="297" t="s">
        <v>643</v>
      </c>
      <c r="EQ5" s="298">
        <v>47118</v>
      </c>
      <c r="ER5" s="297" t="s">
        <v>769</v>
      </c>
      <c r="ES5" s="297">
        <v>4098</v>
      </c>
      <c r="ET5" s="297" t="s">
        <v>1143</v>
      </c>
      <c r="EU5" s="297">
        <v>3</v>
      </c>
      <c r="EV5" s="297">
        <v>1</v>
      </c>
      <c r="EW5" s="297">
        <v>4</v>
      </c>
      <c r="EX5" s="297">
        <v>3</v>
      </c>
      <c r="EY5" s="297">
        <v>4</v>
      </c>
      <c r="EZ5" s="297">
        <v>2</v>
      </c>
      <c r="FA5" s="297">
        <v>117</v>
      </c>
      <c r="FB5" s="297">
        <v>28</v>
      </c>
      <c r="FC5" s="297">
        <v>198</v>
      </c>
      <c r="FD5" s="297">
        <v>263</v>
      </c>
      <c r="FE5" s="297">
        <v>1.1000000000000001</v>
      </c>
      <c r="FF5" s="297">
        <v>13</v>
      </c>
      <c r="FG5" s="297">
        <v>8</v>
      </c>
      <c r="FH5" s="297">
        <v>42</v>
      </c>
      <c r="FI5" s="297">
        <v>42</v>
      </c>
      <c r="FJ5" s="297">
        <v>18.3</v>
      </c>
      <c r="FK5" s="297">
        <v>1</v>
      </c>
      <c r="FL5" s="297">
        <v>142</v>
      </c>
      <c r="FM5" s="297">
        <v>15</v>
      </c>
      <c r="FN5" s="297">
        <v>60</v>
      </c>
      <c r="FO5" s="297" t="s">
        <v>1155</v>
      </c>
      <c r="FP5" s="297">
        <v>3.4</v>
      </c>
      <c r="FQ5" s="297">
        <v>1</v>
      </c>
      <c r="FR5" s="297">
        <v>83</v>
      </c>
      <c r="FS5" s="297">
        <v>1896</v>
      </c>
      <c r="FT5" s="297">
        <v>1711</v>
      </c>
      <c r="FU5" s="297">
        <v>4</v>
      </c>
      <c r="FV5" s="297">
        <v>27</v>
      </c>
      <c r="FW5" s="297">
        <v>6</v>
      </c>
      <c r="FX5" s="297">
        <v>0</v>
      </c>
      <c r="FY5" s="297">
        <v>0</v>
      </c>
      <c r="FZ5" s="297" t="s">
        <v>1195</v>
      </c>
      <c r="GA5" s="297" t="s">
        <v>1196</v>
      </c>
      <c r="GB5" s="297">
        <v>12</v>
      </c>
      <c r="GC5" s="297">
        <v>0</v>
      </c>
      <c r="GD5" s="302">
        <v>6.88</v>
      </c>
    </row>
    <row r="6" spans="1:193" ht="24.95" customHeight="1" thickBot="1" x14ac:dyDescent="0.3">
      <c r="A6" s="29" t="str">
        <f t="shared" si="0"/>
        <v>5º</v>
      </c>
      <c r="B6" s="101" t="str">
        <f t="shared" si="1"/>
        <v>Mariano Bareiro</v>
      </c>
      <c r="C6" s="86" t="str">
        <f t="shared" si="2"/>
        <v>ISR</v>
      </c>
      <c r="D6" s="99" t="str">
        <f t="shared" si="3"/>
        <v>Somente Pé Direito</v>
      </c>
      <c r="E6" s="67" t="str">
        <f t="shared" si="4"/>
        <v>Estudiantes (LP)</v>
      </c>
      <c r="F6" s="168">
        <f t="shared" si="5"/>
        <v>1.82</v>
      </c>
      <c r="G6" s="171">
        <f t="shared" si="6"/>
        <v>31</v>
      </c>
      <c r="H6" s="68" t="str">
        <f t="shared" si="7"/>
        <v>750m € - 1,8M €</v>
      </c>
      <c r="I6" s="201">
        <f t="shared" si="8"/>
        <v>47118</v>
      </c>
      <c r="J6" s="304" t="str">
        <f t="shared" si="9"/>
        <v>10,75m € p/m</v>
      </c>
      <c r="K6" s="96">
        <f t="shared" si="10"/>
        <v>40.308888888888887</v>
      </c>
      <c r="L6" s="147">
        <f t="shared" si="11"/>
        <v>35.87777777777778</v>
      </c>
      <c r="M6" s="147">
        <f t="shared" si="12"/>
        <v>46</v>
      </c>
      <c r="N6" s="147">
        <f t="shared" si="13"/>
        <v>70.195652173913047</v>
      </c>
      <c r="O6" s="193">
        <f t="shared" si="14"/>
        <v>0.98</v>
      </c>
      <c r="P6" s="55">
        <f t="shared" si="15"/>
        <v>3</v>
      </c>
      <c r="Q6" s="55">
        <f t="shared" si="16"/>
        <v>2</v>
      </c>
      <c r="R6" s="55">
        <f t="shared" si="17"/>
        <v>5</v>
      </c>
      <c r="S6" s="57">
        <f t="shared" si="18"/>
        <v>8.3617218953236289E-2</v>
      </c>
      <c r="T6" s="57">
        <f t="shared" si="19"/>
        <v>0.13936203158872715</v>
      </c>
      <c r="U6" s="57">
        <f t="shared" si="20"/>
        <v>2.77</v>
      </c>
      <c r="V6" s="57">
        <f t="shared" si="21"/>
        <v>7.7206565500154839E-2</v>
      </c>
      <c r="W6" s="57">
        <f t="shared" si="22"/>
        <v>2.77</v>
      </c>
      <c r="X6" s="57">
        <f t="shared" si="23"/>
        <v>7.7206565500154839E-2</v>
      </c>
      <c r="Y6" s="57">
        <f t="shared" si="24"/>
        <v>3.2</v>
      </c>
      <c r="Z6" s="57">
        <f t="shared" si="25"/>
        <v>8.919170021678538E-2</v>
      </c>
      <c r="AA6" s="57">
        <f t="shared" si="26"/>
        <v>5.9700000000000006</v>
      </c>
      <c r="AB6" s="57">
        <f t="shared" si="27"/>
        <v>0.16639826571694025</v>
      </c>
      <c r="AC6" s="56">
        <f t="shared" si="28"/>
        <v>0</v>
      </c>
      <c r="AD6" s="57">
        <f t="shared" si="29"/>
        <v>5400</v>
      </c>
      <c r="AE6" s="63">
        <f t="shared" si="30"/>
        <v>0</v>
      </c>
      <c r="AF6" s="317">
        <f t="shared" si="31"/>
        <v>0</v>
      </c>
      <c r="AG6" s="317">
        <f t="shared" si="32"/>
        <v>0</v>
      </c>
      <c r="AH6" s="56">
        <f t="shared" si="33"/>
        <v>0</v>
      </c>
      <c r="AI6" s="60">
        <f t="shared" si="34"/>
        <v>9.9999999999999995E-8</v>
      </c>
      <c r="AJ6" s="305">
        <f t="shared" si="35"/>
        <v>0</v>
      </c>
      <c r="AK6" s="306">
        <f t="shared" si="36"/>
        <v>0</v>
      </c>
      <c r="AL6" s="56">
        <f t="shared" si="37"/>
        <v>123</v>
      </c>
      <c r="AM6" s="57">
        <f t="shared" si="38"/>
        <v>3.428305977082688</v>
      </c>
      <c r="AN6" s="56">
        <f t="shared" si="39"/>
        <v>74</v>
      </c>
      <c r="AO6" s="57">
        <f t="shared" si="40"/>
        <v>2.0625580675131618</v>
      </c>
      <c r="AP6" s="60">
        <f t="shared" si="41"/>
        <v>0.60162601626016265</v>
      </c>
      <c r="AQ6" s="56">
        <f t="shared" si="42"/>
        <v>49</v>
      </c>
      <c r="AR6" s="57">
        <f t="shared" si="43"/>
        <v>1.3657479095695262</v>
      </c>
      <c r="AS6" s="60">
        <f t="shared" si="44"/>
        <v>0.3983739837398374</v>
      </c>
      <c r="AT6" s="213">
        <f t="shared" si="45"/>
        <v>10.763333333333334</v>
      </c>
      <c r="AU6" s="212">
        <f t="shared" si="46"/>
        <v>0.3</v>
      </c>
      <c r="AV6" s="63">
        <f t="shared" si="47"/>
        <v>0.2032520325203252</v>
      </c>
      <c r="AW6" s="213">
        <f t="shared" si="48"/>
        <v>25</v>
      </c>
      <c r="AX6" s="212">
        <f t="shared" si="49"/>
        <v>0.69681015794363577</v>
      </c>
      <c r="AY6" s="213">
        <f t="shared" si="50"/>
        <v>8</v>
      </c>
      <c r="AZ6" s="212">
        <f t="shared" si="51"/>
        <v>0.22297925054196344</v>
      </c>
      <c r="BA6" s="63">
        <f t="shared" si="52"/>
        <v>0.32</v>
      </c>
      <c r="BB6" s="376">
        <f t="shared" si="53"/>
        <v>0.1108</v>
      </c>
      <c r="BC6" s="375">
        <f t="shared" si="54"/>
        <v>2.77</v>
      </c>
      <c r="BD6" s="375">
        <f t="shared" si="55"/>
        <v>0.22999999999999998</v>
      </c>
      <c r="BE6" s="375">
        <f t="shared" si="56"/>
        <v>0.22999999999999998</v>
      </c>
      <c r="BF6" s="56">
        <f t="shared" si="57"/>
        <v>164</v>
      </c>
      <c r="BG6" s="57">
        <f t="shared" si="58"/>
        <v>4.571074636110251</v>
      </c>
      <c r="BH6" s="56">
        <f t="shared" si="59"/>
        <v>19</v>
      </c>
      <c r="BI6" s="57">
        <f t="shared" si="60"/>
        <v>0.52957572003716313</v>
      </c>
      <c r="BJ6" s="57">
        <f t="shared" si="61"/>
        <v>4.6546918550634873</v>
      </c>
      <c r="BK6" s="225">
        <f t="shared" si="62"/>
        <v>43</v>
      </c>
      <c r="BL6" s="223">
        <f t="shared" si="63"/>
        <v>1.1985134716630534</v>
      </c>
      <c r="BM6" s="56">
        <f t="shared" si="64"/>
        <v>81</v>
      </c>
      <c r="BN6" s="57">
        <f t="shared" si="65"/>
        <v>2.2576649117373799</v>
      </c>
      <c r="BO6" s="58">
        <f t="shared" si="66"/>
        <v>44</v>
      </c>
      <c r="BP6" s="57">
        <f t="shared" si="67"/>
        <v>1.226385877980799</v>
      </c>
      <c r="BQ6" s="75">
        <f t="shared" si="68"/>
        <v>17</v>
      </c>
      <c r="BR6" s="57">
        <f t="shared" si="69"/>
        <v>0.47383090740167233</v>
      </c>
      <c r="BS6" s="114">
        <f t="shared" si="70"/>
        <v>0.54320987654320985</v>
      </c>
      <c r="BT6" s="56">
        <f t="shared" si="71"/>
        <v>3</v>
      </c>
      <c r="BU6" s="57">
        <f t="shared" si="72"/>
        <v>8.3617218953236289E-2</v>
      </c>
      <c r="BV6" s="61">
        <f t="shared" si="73"/>
        <v>202</v>
      </c>
      <c r="BW6" s="62">
        <f t="shared" si="74"/>
        <v>5.6302260761845773</v>
      </c>
      <c r="BX6" s="61">
        <f t="shared" si="75"/>
        <v>50</v>
      </c>
      <c r="BY6" s="62">
        <f t="shared" si="76"/>
        <v>1.3936203158872715</v>
      </c>
      <c r="BZ6" s="63">
        <f t="shared" si="77"/>
        <v>0.24752475247524752</v>
      </c>
      <c r="CA6" s="61">
        <f t="shared" si="78"/>
        <v>1783</v>
      </c>
      <c r="CB6" s="62">
        <f t="shared" si="79"/>
        <v>49.696500464540101</v>
      </c>
      <c r="CC6" s="61">
        <f t="shared" si="80"/>
        <v>1621</v>
      </c>
      <c r="CD6" s="62">
        <f t="shared" si="81"/>
        <v>45.181170641065343</v>
      </c>
      <c r="CE6" s="63">
        <f t="shared" si="82"/>
        <v>0.90914189568143577</v>
      </c>
      <c r="CF6" s="56">
        <f t="shared" si="83"/>
        <v>1669</v>
      </c>
      <c r="CG6" s="62">
        <f t="shared" si="84"/>
        <v>45.181170641065343</v>
      </c>
      <c r="CH6" s="61">
        <f t="shared" si="85"/>
        <v>114</v>
      </c>
      <c r="CI6" s="62">
        <f t="shared" si="86"/>
        <v>3.1774543202229792</v>
      </c>
      <c r="CJ6" s="316">
        <f t="shared" si="87"/>
        <v>6.8304373876572802E-2</v>
      </c>
      <c r="CK6" s="378">
        <f t="shared" si="88"/>
        <v>162</v>
      </c>
      <c r="CL6" s="379">
        <f t="shared" si="89"/>
        <v>4.5153298234747599</v>
      </c>
      <c r="CM6" s="316">
        <f t="shared" si="90"/>
        <v>9.0858104318564212E-2</v>
      </c>
      <c r="CN6" s="213">
        <f t="shared" si="91"/>
        <v>16</v>
      </c>
      <c r="CO6" s="212">
        <f t="shared" si="92"/>
        <v>0.44595850108392687</v>
      </c>
      <c r="CP6" s="212">
        <f t="shared" si="93"/>
        <v>0.2</v>
      </c>
      <c r="CQ6" s="213">
        <f t="shared" si="94"/>
        <v>24</v>
      </c>
      <c r="CR6" s="62">
        <f t="shared" si="95"/>
        <v>0.66893775162589031</v>
      </c>
      <c r="CS6" s="61">
        <f t="shared" si="96"/>
        <v>386</v>
      </c>
      <c r="CT6" s="62">
        <f t="shared" si="97"/>
        <v>10.758748838649737</v>
      </c>
      <c r="CU6" s="61">
        <f t="shared" si="98"/>
        <v>168</v>
      </c>
      <c r="CV6" s="62">
        <f t="shared" si="99"/>
        <v>4.6825642613812324</v>
      </c>
      <c r="CW6" s="61">
        <f t="shared" si="100"/>
        <v>218</v>
      </c>
      <c r="CX6" s="63">
        <f t="shared" si="101"/>
        <v>0.43523316062176165</v>
      </c>
      <c r="CY6" s="61">
        <f t="shared" si="102"/>
        <v>208.5</v>
      </c>
      <c r="CZ6" s="62">
        <f t="shared" si="103"/>
        <v>5.8113967172499219</v>
      </c>
      <c r="DA6" s="61">
        <f t="shared" si="104"/>
        <v>95.5</v>
      </c>
      <c r="DB6" s="62">
        <f t="shared" si="105"/>
        <v>2.6618148033446887</v>
      </c>
      <c r="DC6" s="334">
        <f t="shared" si="106"/>
        <v>229</v>
      </c>
      <c r="DD6" s="335">
        <f t="shared" si="107"/>
        <v>6.3827810467637036</v>
      </c>
      <c r="DE6" s="334">
        <f t="shared" si="108"/>
        <v>146</v>
      </c>
      <c r="DF6" s="335">
        <f t="shared" si="109"/>
        <v>4.0693713223908325</v>
      </c>
      <c r="DG6" s="63">
        <f t="shared" si="110"/>
        <v>0.63755458515283847</v>
      </c>
      <c r="DH6" s="61">
        <f t="shared" si="111"/>
        <v>91</v>
      </c>
      <c r="DI6" s="62">
        <f t="shared" si="112"/>
        <v>2.5363889749148343</v>
      </c>
      <c r="DJ6" s="61">
        <f t="shared" si="113"/>
        <v>20</v>
      </c>
      <c r="DK6" s="62">
        <f t="shared" si="114"/>
        <v>0.55744812635490859</v>
      </c>
      <c r="DL6" s="63">
        <f t="shared" si="115"/>
        <v>0.39737991266375544</v>
      </c>
      <c r="DM6" s="61">
        <f t="shared" si="116"/>
        <v>2</v>
      </c>
      <c r="DN6" s="61">
        <f t="shared" si="117"/>
        <v>0</v>
      </c>
      <c r="DO6" s="61">
        <f t="shared" si="118"/>
        <v>2</v>
      </c>
      <c r="DP6" s="62">
        <f t="shared" si="119"/>
        <v>5.5744812635490859E-2</v>
      </c>
      <c r="DQ6" s="63">
        <f t="shared" si="120"/>
        <v>0.1</v>
      </c>
      <c r="DR6" s="61">
        <f t="shared" si="121"/>
        <v>413.65999999999997</v>
      </c>
      <c r="DS6" s="62">
        <f t="shared" si="122"/>
        <v>11.529699597398574</v>
      </c>
      <c r="DT6" s="61">
        <f t="shared" si="123"/>
        <v>334.88166666666666</v>
      </c>
      <c r="DU6" s="62">
        <f t="shared" si="124"/>
        <v>9.3339578816971187</v>
      </c>
      <c r="DV6" s="61">
        <f t="shared" si="125"/>
        <v>184.5</v>
      </c>
      <c r="DW6" s="62">
        <f t="shared" si="126"/>
        <v>5.1424589656240318</v>
      </c>
      <c r="DX6" s="63">
        <f t="shared" si="127"/>
        <v>0.80955776886009445</v>
      </c>
      <c r="DY6" s="62">
        <f t="shared" si="128"/>
        <v>404.3</v>
      </c>
      <c r="DZ6" s="62">
        <f t="shared" si="129"/>
        <v>11.268813874264477</v>
      </c>
      <c r="EA6" s="62">
        <f t="shared" si="130"/>
        <v>8.8000000000000007</v>
      </c>
      <c r="EB6" s="61">
        <f t="shared" si="131"/>
        <v>6</v>
      </c>
      <c r="EC6" s="62">
        <f t="shared" si="132"/>
        <v>0.16723443790647258</v>
      </c>
      <c r="ED6" s="61">
        <f t="shared" si="133"/>
        <v>248</v>
      </c>
      <c r="EE6" s="62">
        <f t="shared" si="134"/>
        <v>6.9123567668008663</v>
      </c>
      <c r="EF6" s="61">
        <f t="shared" si="135"/>
        <v>362.36555555555555</v>
      </c>
      <c r="EG6" s="62">
        <f t="shared" si="136"/>
        <v>10.1</v>
      </c>
      <c r="EH6" s="62">
        <f t="shared" si="137"/>
        <v>7.04</v>
      </c>
      <c r="EI6" s="301"/>
      <c r="EJ6" s="297" t="s">
        <v>1158</v>
      </c>
      <c r="EK6" s="297" t="s">
        <v>546</v>
      </c>
      <c r="EL6" s="297">
        <v>31</v>
      </c>
      <c r="EM6" s="297" t="s">
        <v>1159</v>
      </c>
      <c r="EN6" s="297" t="s">
        <v>677</v>
      </c>
      <c r="EO6" s="297" t="s">
        <v>1160</v>
      </c>
      <c r="EP6" s="297" t="s">
        <v>644</v>
      </c>
      <c r="EQ6" s="298">
        <v>47118</v>
      </c>
      <c r="ER6" s="297" t="s">
        <v>1153</v>
      </c>
      <c r="ES6" s="297">
        <v>3229</v>
      </c>
      <c r="ET6" s="297" t="s">
        <v>905</v>
      </c>
      <c r="EU6" s="297">
        <v>0</v>
      </c>
      <c r="EV6" s="297">
        <v>0</v>
      </c>
      <c r="EW6" s="297">
        <v>3</v>
      </c>
      <c r="EX6" s="297">
        <v>2</v>
      </c>
      <c r="EY6" s="297">
        <v>2</v>
      </c>
      <c r="EZ6" s="297">
        <v>0</v>
      </c>
      <c r="FA6" s="297">
        <v>202</v>
      </c>
      <c r="FB6" s="297">
        <v>50</v>
      </c>
      <c r="FC6" s="297">
        <v>74</v>
      </c>
      <c r="FD6" s="297">
        <v>123</v>
      </c>
      <c r="FE6" s="297">
        <v>0.3</v>
      </c>
      <c r="FF6" s="297">
        <v>61</v>
      </c>
      <c r="FG6" s="297">
        <v>44</v>
      </c>
      <c r="FH6" s="297">
        <v>25</v>
      </c>
      <c r="FI6" s="297">
        <v>19</v>
      </c>
      <c r="FJ6" s="297">
        <v>10.1</v>
      </c>
      <c r="FK6" s="297">
        <v>3</v>
      </c>
      <c r="FL6" s="297">
        <v>120</v>
      </c>
      <c r="FM6" s="297">
        <v>20</v>
      </c>
      <c r="FN6" s="297">
        <v>43</v>
      </c>
      <c r="FO6" s="297" t="s">
        <v>1161</v>
      </c>
      <c r="FP6" s="297">
        <v>8.8000000000000007</v>
      </c>
      <c r="FQ6" s="297">
        <v>6</v>
      </c>
      <c r="FR6" s="297">
        <v>114</v>
      </c>
      <c r="FS6" s="297">
        <v>1783</v>
      </c>
      <c r="FT6" s="297">
        <v>1621</v>
      </c>
      <c r="FU6" s="297">
        <v>8</v>
      </c>
      <c r="FV6" s="297">
        <v>25</v>
      </c>
      <c r="FW6" s="297">
        <v>8</v>
      </c>
      <c r="FX6" s="297">
        <v>0</v>
      </c>
      <c r="FY6" s="297">
        <v>0</v>
      </c>
      <c r="FZ6" s="297" t="s">
        <v>1200</v>
      </c>
      <c r="GA6" s="297" t="s">
        <v>749</v>
      </c>
      <c r="GB6" s="297">
        <v>16</v>
      </c>
      <c r="GC6" s="297">
        <v>0</v>
      </c>
      <c r="GD6" s="302">
        <v>7.04</v>
      </c>
    </row>
    <row r="7" spans="1:193" ht="24.95" customHeight="1" thickBot="1" x14ac:dyDescent="0.3">
      <c r="A7" s="29" t="str">
        <f t="shared" si="0"/>
        <v>6º</v>
      </c>
      <c r="B7" s="101" t="str">
        <f t="shared" si="1"/>
        <v>Mateus Silva</v>
      </c>
      <c r="C7" s="86" t="str">
        <f t="shared" si="2"/>
        <v>BRA</v>
      </c>
      <c r="D7" s="99" t="str">
        <f t="shared" si="3"/>
        <v>Somente Pé Direito</v>
      </c>
      <c r="E7" s="67" t="str">
        <f t="shared" si="4"/>
        <v>Ponte Preta</v>
      </c>
      <c r="F7" s="168">
        <f t="shared" si="5"/>
        <v>1.92</v>
      </c>
      <c r="G7" s="171">
        <f t="shared" si="6"/>
        <v>31</v>
      </c>
      <c r="H7" s="68" t="str">
        <f t="shared" si="7"/>
        <v>Não está à venda</v>
      </c>
      <c r="I7" s="201">
        <f t="shared" si="8"/>
        <v>46752</v>
      </c>
      <c r="J7" s="304" t="str">
        <f t="shared" si="9"/>
        <v>6,25m € p/m</v>
      </c>
      <c r="K7" s="96">
        <f t="shared" si="10"/>
        <v>40.308888888888887</v>
      </c>
      <c r="L7" s="147">
        <f t="shared" si="11"/>
        <v>36.488888888888887</v>
      </c>
      <c r="M7" s="147">
        <f t="shared" si="12"/>
        <v>38</v>
      </c>
      <c r="N7" s="147">
        <f t="shared" si="13"/>
        <v>86.421052631578945</v>
      </c>
      <c r="O7" s="193">
        <f t="shared" si="14"/>
        <v>0.92</v>
      </c>
      <c r="P7" s="55">
        <f t="shared" si="15"/>
        <v>3</v>
      </c>
      <c r="Q7" s="55">
        <f t="shared" si="16"/>
        <v>0</v>
      </c>
      <c r="R7" s="55">
        <f t="shared" si="17"/>
        <v>3</v>
      </c>
      <c r="S7" s="57">
        <f t="shared" si="18"/>
        <v>8.221680876979294E-2</v>
      </c>
      <c r="T7" s="57">
        <f t="shared" si="19"/>
        <v>8.221680876979294E-2</v>
      </c>
      <c r="U7" s="57">
        <f t="shared" si="20"/>
        <v>2.66</v>
      </c>
      <c r="V7" s="57">
        <f t="shared" si="21"/>
        <v>7.2898903775883081E-2</v>
      </c>
      <c r="W7" s="57">
        <f t="shared" si="22"/>
        <v>2.66</v>
      </c>
      <c r="X7" s="57">
        <f t="shared" si="23"/>
        <v>7.2898903775883081E-2</v>
      </c>
      <c r="Y7" s="57">
        <f t="shared" si="24"/>
        <v>0.35</v>
      </c>
      <c r="Z7" s="57">
        <f t="shared" si="25"/>
        <v>9.5919610231425083E-3</v>
      </c>
      <c r="AA7" s="57">
        <f t="shared" si="26"/>
        <v>3.0100000000000002</v>
      </c>
      <c r="AB7" s="57">
        <f t="shared" si="27"/>
        <v>8.2490864799025593E-2</v>
      </c>
      <c r="AC7" s="56">
        <f t="shared" si="28"/>
        <v>3</v>
      </c>
      <c r="AD7" s="57">
        <f t="shared" si="29"/>
        <v>1094.6666666666667</v>
      </c>
      <c r="AE7" s="63">
        <f t="shared" si="30"/>
        <v>8.221680876979294E-2</v>
      </c>
      <c r="AF7" s="317">
        <f t="shared" si="31"/>
        <v>0</v>
      </c>
      <c r="AG7" s="317">
        <f t="shared" si="32"/>
        <v>0</v>
      </c>
      <c r="AH7" s="56">
        <f t="shared" si="33"/>
        <v>0</v>
      </c>
      <c r="AI7" s="60">
        <f t="shared" si="34"/>
        <v>9.9999999999999995E-8</v>
      </c>
      <c r="AJ7" s="305">
        <f t="shared" si="35"/>
        <v>0</v>
      </c>
      <c r="AK7" s="306">
        <f t="shared" si="36"/>
        <v>0</v>
      </c>
      <c r="AL7" s="56">
        <f t="shared" si="37"/>
        <v>195</v>
      </c>
      <c r="AM7" s="57">
        <f t="shared" si="38"/>
        <v>5.3440925700365414</v>
      </c>
      <c r="AN7" s="56">
        <f t="shared" si="39"/>
        <v>151</v>
      </c>
      <c r="AO7" s="57">
        <f t="shared" si="40"/>
        <v>4.138246041412911</v>
      </c>
      <c r="AP7" s="60">
        <f t="shared" si="41"/>
        <v>0.77435897435897438</v>
      </c>
      <c r="AQ7" s="56">
        <f t="shared" si="42"/>
        <v>44</v>
      </c>
      <c r="AR7" s="57">
        <f t="shared" si="43"/>
        <v>1.2058465286236297</v>
      </c>
      <c r="AS7" s="60">
        <f t="shared" si="44"/>
        <v>0.22564102564102564</v>
      </c>
      <c r="AT7" s="213">
        <f t="shared" si="45"/>
        <v>47.435555555555553</v>
      </c>
      <c r="AU7" s="212">
        <f t="shared" si="46"/>
        <v>1.3</v>
      </c>
      <c r="AV7" s="63">
        <f t="shared" si="47"/>
        <v>0.11794871794871795</v>
      </c>
      <c r="AW7" s="213">
        <f t="shared" si="48"/>
        <v>23</v>
      </c>
      <c r="AX7" s="212">
        <f t="shared" si="49"/>
        <v>0.63032886723507919</v>
      </c>
      <c r="AY7" s="213">
        <f t="shared" si="50"/>
        <v>6</v>
      </c>
      <c r="AZ7" s="212">
        <f t="shared" si="51"/>
        <v>0.16443361753958588</v>
      </c>
      <c r="BA7" s="63">
        <f t="shared" si="52"/>
        <v>0.2608695652173913</v>
      </c>
      <c r="BB7" s="376">
        <f t="shared" si="53"/>
        <v>0.11565217391304349</v>
      </c>
      <c r="BC7" s="375">
        <f t="shared" si="54"/>
        <v>2.66</v>
      </c>
      <c r="BD7" s="375">
        <f t="shared" si="55"/>
        <v>0.33999999999999986</v>
      </c>
      <c r="BE7" s="375">
        <f t="shared" si="56"/>
        <v>0.33999999999999986</v>
      </c>
      <c r="BF7" s="56">
        <f t="shared" si="57"/>
        <v>161</v>
      </c>
      <c r="BG7" s="57">
        <f t="shared" si="58"/>
        <v>4.4123020706455547</v>
      </c>
      <c r="BH7" s="56">
        <f t="shared" si="59"/>
        <v>32</v>
      </c>
      <c r="BI7" s="57">
        <f t="shared" si="60"/>
        <v>0.87697929354445803</v>
      </c>
      <c r="BJ7" s="57">
        <f t="shared" si="61"/>
        <v>4.6315468940316693</v>
      </c>
      <c r="BK7" s="225">
        <f t="shared" si="62"/>
        <v>51</v>
      </c>
      <c r="BL7" s="223">
        <f t="shared" si="63"/>
        <v>1.39768574908648</v>
      </c>
      <c r="BM7" s="56">
        <f t="shared" si="64"/>
        <v>45</v>
      </c>
      <c r="BN7" s="57">
        <f t="shared" si="65"/>
        <v>1.2332521315468941</v>
      </c>
      <c r="BO7" s="58">
        <f t="shared" si="66"/>
        <v>21</v>
      </c>
      <c r="BP7" s="57">
        <f t="shared" si="67"/>
        <v>0.57551766138855054</v>
      </c>
      <c r="BQ7" s="75">
        <f t="shared" si="68"/>
        <v>8</v>
      </c>
      <c r="BR7" s="57">
        <f t="shared" si="69"/>
        <v>0.21924482338611451</v>
      </c>
      <c r="BS7" s="114">
        <f t="shared" si="70"/>
        <v>0.46666666666666667</v>
      </c>
      <c r="BT7" s="56">
        <f t="shared" si="71"/>
        <v>8</v>
      </c>
      <c r="BU7" s="57">
        <f t="shared" si="72"/>
        <v>0.21924482338611451</v>
      </c>
      <c r="BV7" s="61">
        <f t="shared" si="73"/>
        <v>92</v>
      </c>
      <c r="BW7" s="62">
        <f t="shared" si="74"/>
        <v>2.5213154689403168</v>
      </c>
      <c r="BX7" s="61">
        <f t="shared" si="75"/>
        <v>33</v>
      </c>
      <c r="BY7" s="62">
        <f t="shared" si="76"/>
        <v>0.90438489646772235</v>
      </c>
      <c r="BZ7" s="63">
        <f t="shared" si="77"/>
        <v>0.35869565217391308</v>
      </c>
      <c r="CA7" s="61">
        <f t="shared" si="78"/>
        <v>1572</v>
      </c>
      <c r="CB7" s="62">
        <f t="shared" si="79"/>
        <v>43.081607795371504</v>
      </c>
      <c r="CC7" s="61">
        <f t="shared" si="80"/>
        <v>1388</v>
      </c>
      <c r="CD7" s="62">
        <f t="shared" si="81"/>
        <v>38.038976857490866</v>
      </c>
      <c r="CE7" s="63">
        <f t="shared" si="82"/>
        <v>0.88295165394402031</v>
      </c>
      <c r="CF7" s="56">
        <f t="shared" si="83"/>
        <v>1504</v>
      </c>
      <c r="CG7" s="62">
        <f t="shared" si="84"/>
        <v>38.038976857490866</v>
      </c>
      <c r="CH7" s="61">
        <f t="shared" si="85"/>
        <v>68</v>
      </c>
      <c r="CI7" s="62">
        <f t="shared" si="86"/>
        <v>1.8635809987819734</v>
      </c>
      <c r="CJ7" s="316">
        <f t="shared" si="87"/>
        <v>4.5212765957446811E-2</v>
      </c>
      <c r="CK7" s="378">
        <f t="shared" si="88"/>
        <v>184</v>
      </c>
      <c r="CL7" s="379">
        <f t="shared" si="89"/>
        <v>5.0426309378806335</v>
      </c>
      <c r="CM7" s="316">
        <f t="shared" si="90"/>
        <v>0.11704834605597965</v>
      </c>
      <c r="CN7" s="213">
        <f t="shared" si="91"/>
        <v>1</v>
      </c>
      <c r="CO7" s="212">
        <f t="shared" si="92"/>
        <v>2.7405602923264313E-2</v>
      </c>
      <c r="CP7" s="212">
        <f t="shared" si="93"/>
        <v>0.35</v>
      </c>
      <c r="CQ7" s="213">
        <f t="shared" si="94"/>
        <v>3</v>
      </c>
      <c r="CR7" s="62">
        <f t="shared" si="95"/>
        <v>8.221680876979294E-2</v>
      </c>
      <c r="CS7" s="61">
        <f t="shared" si="96"/>
        <v>316</v>
      </c>
      <c r="CT7" s="62">
        <f t="shared" si="97"/>
        <v>8.660170523751523</v>
      </c>
      <c r="CU7" s="61">
        <f t="shared" si="98"/>
        <v>205</v>
      </c>
      <c r="CV7" s="62">
        <f t="shared" si="99"/>
        <v>5.6181485992691842</v>
      </c>
      <c r="CW7" s="61">
        <f t="shared" si="100"/>
        <v>111</v>
      </c>
      <c r="CX7" s="63">
        <f t="shared" si="101"/>
        <v>0.64873417721518989</v>
      </c>
      <c r="CY7" s="61">
        <f t="shared" si="102"/>
        <v>216</v>
      </c>
      <c r="CZ7" s="62">
        <f t="shared" si="103"/>
        <v>5.919610231425092</v>
      </c>
      <c r="DA7" s="61">
        <f t="shared" si="104"/>
        <v>58</v>
      </c>
      <c r="DB7" s="62">
        <f t="shared" si="105"/>
        <v>1.5895249695493301</v>
      </c>
      <c r="DC7" s="334">
        <f t="shared" si="106"/>
        <v>264</v>
      </c>
      <c r="DD7" s="335">
        <f t="shared" si="107"/>
        <v>7.2350791717417788</v>
      </c>
      <c r="DE7" s="334">
        <f t="shared" si="108"/>
        <v>204</v>
      </c>
      <c r="DF7" s="335">
        <f t="shared" si="109"/>
        <v>5.5907429963459201</v>
      </c>
      <c r="DG7" s="63">
        <f t="shared" si="110"/>
        <v>0.77272727272727271</v>
      </c>
      <c r="DH7" s="61">
        <f t="shared" si="111"/>
        <v>76</v>
      </c>
      <c r="DI7" s="62">
        <f t="shared" si="112"/>
        <v>2.082825822168088</v>
      </c>
      <c r="DJ7" s="61">
        <f t="shared" si="113"/>
        <v>16</v>
      </c>
      <c r="DK7" s="62">
        <f t="shared" si="114"/>
        <v>0.43848964677222901</v>
      </c>
      <c r="DL7" s="63">
        <f t="shared" si="115"/>
        <v>0.2878787878787879</v>
      </c>
      <c r="DM7" s="61">
        <f t="shared" si="116"/>
        <v>7</v>
      </c>
      <c r="DN7" s="61">
        <f t="shared" si="117"/>
        <v>0</v>
      </c>
      <c r="DO7" s="61">
        <f t="shared" si="118"/>
        <v>7</v>
      </c>
      <c r="DP7" s="62">
        <f t="shared" si="119"/>
        <v>0.19183922046285018</v>
      </c>
      <c r="DQ7" s="63">
        <f t="shared" si="120"/>
        <v>0.4375</v>
      </c>
      <c r="DR7" s="61">
        <f t="shared" si="121"/>
        <v>461.31</v>
      </c>
      <c r="DS7" s="62">
        <f t="shared" si="122"/>
        <v>12.64247868453106</v>
      </c>
      <c r="DT7" s="61">
        <f t="shared" si="123"/>
        <v>419.71777777777777</v>
      </c>
      <c r="DU7" s="62">
        <f t="shared" si="124"/>
        <v>11.502618757612668</v>
      </c>
      <c r="DV7" s="61">
        <f t="shared" si="125"/>
        <v>208.75</v>
      </c>
      <c r="DW7" s="62">
        <f t="shared" si="126"/>
        <v>5.7209196102314257</v>
      </c>
      <c r="DX7" s="63">
        <f t="shared" si="127"/>
        <v>0.90983888876845886</v>
      </c>
      <c r="DY7" s="62">
        <f t="shared" si="128"/>
        <v>364.7</v>
      </c>
      <c r="DZ7" s="62">
        <f t="shared" si="129"/>
        <v>9.9948233861144953</v>
      </c>
      <c r="EA7" s="62">
        <f t="shared" si="130"/>
        <v>4.5</v>
      </c>
      <c r="EB7" s="61">
        <f t="shared" si="131"/>
        <v>0</v>
      </c>
      <c r="EC7" s="62">
        <f t="shared" si="132"/>
        <v>0</v>
      </c>
      <c r="ED7" s="61">
        <f t="shared" si="133"/>
        <v>252</v>
      </c>
      <c r="EE7" s="62">
        <f t="shared" si="134"/>
        <v>6.9062119366626069</v>
      </c>
      <c r="EF7" s="61">
        <f t="shared" si="135"/>
        <v>576.5244444444445</v>
      </c>
      <c r="EG7" s="62">
        <f t="shared" si="136"/>
        <v>15.8</v>
      </c>
      <c r="EH7" s="62">
        <f t="shared" si="137"/>
        <v>6.93</v>
      </c>
      <c r="EI7" s="301"/>
      <c r="EJ7" s="297" t="s">
        <v>1163</v>
      </c>
      <c r="EK7" s="297" t="s">
        <v>549</v>
      </c>
      <c r="EL7" s="297">
        <v>31</v>
      </c>
      <c r="EM7" s="297" t="s">
        <v>413</v>
      </c>
      <c r="EN7" s="297" t="s">
        <v>680</v>
      </c>
      <c r="EO7" s="297" t="s">
        <v>13</v>
      </c>
      <c r="EP7" s="297" t="s">
        <v>644</v>
      </c>
      <c r="EQ7" s="298">
        <v>46752</v>
      </c>
      <c r="ER7" s="297" t="s">
        <v>1164</v>
      </c>
      <c r="ES7" s="297">
        <v>3284</v>
      </c>
      <c r="ET7" s="297" t="s">
        <v>1165</v>
      </c>
      <c r="EU7" s="297">
        <v>3</v>
      </c>
      <c r="EV7" s="297">
        <v>0</v>
      </c>
      <c r="EW7" s="297">
        <v>3</v>
      </c>
      <c r="EX7" s="297">
        <v>0</v>
      </c>
      <c r="EY7" s="297">
        <v>7</v>
      </c>
      <c r="EZ7" s="297">
        <v>0</v>
      </c>
      <c r="FA7" s="297">
        <v>92</v>
      </c>
      <c r="FB7" s="297">
        <v>33</v>
      </c>
      <c r="FC7" s="297">
        <v>151</v>
      </c>
      <c r="FD7" s="297">
        <v>195</v>
      </c>
      <c r="FE7" s="297">
        <v>1.3</v>
      </c>
      <c r="FF7" s="297">
        <v>29</v>
      </c>
      <c r="FG7" s="297">
        <v>21</v>
      </c>
      <c r="FH7" s="297">
        <v>24</v>
      </c>
      <c r="FI7" s="297">
        <v>32</v>
      </c>
      <c r="FJ7" s="297">
        <v>15.8</v>
      </c>
      <c r="FK7" s="297">
        <v>8</v>
      </c>
      <c r="FL7" s="297">
        <v>105</v>
      </c>
      <c r="FM7" s="297">
        <v>16</v>
      </c>
      <c r="FN7" s="297">
        <v>51</v>
      </c>
      <c r="FO7" s="297" t="s">
        <v>1166</v>
      </c>
      <c r="FP7" s="297">
        <v>4.5</v>
      </c>
      <c r="FQ7" s="297">
        <v>0</v>
      </c>
      <c r="FR7" s="297">
        <v>68</v>
      </c>
      <c r="FS7" s="297">
        <v>1572</v>
      </c>
      <c r="FT7" s="297">
        <v>1388</v>
      </c>
      <c r="FU7" s="297">
        <v>2</v>
      </c>
      <c r="FV7" s="297">
        <v>23</v>
      </c>
      <c r="FW7" s="297">
        <v>6</v>
      </c>
      <c r="FX7" s="297">
        <v>0</v>
      </c>
      <c r="FY7" s="297">
        <v>0</v>
      </c>
      <c r="FZ7" s="297" t="s">
        <v>1190</v>
      </c>
      <c r="GA7" s="297" t="s">
        <v>1199</v>
      </c>
      <c r="GB7" s="297">
        <v>1</v>
      </c>
      <c r="GC7" s="297">
        <v>0</v>
      </c>
      <c r="GD7" s="302">
        <v>6.93</v>
      </c>
    </row>
    <row r="8" spans="1:193" ht="24.95" customHeight="1" thickBot="1" x14ac:dyDescent="0.3">
      <c r="A8" s="29" t="str">
        <f t="shared" si="0"/>
        <v>7º</v>
      </c>
      <c r="B8" s="101" t="str">
        <f t="shared" si="1"/>
        <v>Pedro Henrique</v>
      </c>
      <c r="C8" s="86" t="str">
        <f t="shared" si="2"/>
        <v>BRA</v>
      </c>
      <c r="D8" s="99" t="str">
        <f t="shared" si="3"/>
        <v>Pé Direito</v>
      </c>
      <c r="E8" s="67" t="str">
        <f t="shared" si="4"/>
        <v>Bragantino</v>
      </c>
      <c r="F8" s="168">
        <f t="shared" si="5"/>
        <v>1.88</v>
      </c>
      <c r="G8" s="171">
        <f t="shared" si="6"/>
        <v>31</v>
      </c>
      <c r="H8" s="68" t="str">
        <f t="shared" si="7"/>
        <v>25M €</v>
      </c>
      <c r="I8" s="201">
        <f t="shared" si="8"/>
        <v>46752</v>
      </c>
      <c r="J8" s="304" t="str">
        <f t="shared" si="9"/>
        <v>35m € p/m</v>
      </c>
      <c r="K8" s="96">
        <f t="shared" si="10"/>
        <v>40.308888888888887</v>
      </c>
      <c r="L8" s="147">
        <f t="shared" si="11"/>
        <v>49.477777777777774</v>
      </c>
      <c r="M8" s="147">
        <f t="shared" si="12"/>
        <v>51</v>
      </c>
      <c r="N8" s="147">
        <f t="shared" si="13"/>
        <v>87.313725490196077</v>
      </c>
      <c r="O8" s="193">
        <f t="shared" si="14"/>
        <v>0.98</v>
      </c>
      <c r="P8" s="55">
        <f t="shared" si="15"/>
        <v>6</v>
      </c>
      <c r="Q8" s="55">
        <f t="shared" si="16"/>
        <v>2</v>
      </c>
      <c r="R8" s="55">
        <f t="shared" si="17"/>
        <v>8</v>
      </c>
      <c r="S8" s="57">
        <f t="shared" si="18"/>
        <v>0.12126656186840333</v>
      </c>
      <c r="T8" s="57">
        <f t="shared" si="19"/>
        <v>0.1616887491578711</v>
      </c>
      <c r="U8" s="57">
        <f t="shared" si="20"/>
        <v>3.28</v>
      </c>
      <c r="V8" s="57">
        <f t="shared" si="21"/>
        <v>6.6292387154727156E-2</v>
      </c>
      <c r="W8" s="57">
        <f t="shared" si="22"/>
        <v>3.28</v>
      </c>
      <c r="X8" s="57">
        <f t="shared" si="23"/>
        <v>6.6292387154727156E-2</v>
      </c>
      <c r="Y8" s="57">
        <f t="shared" si="24"/>
        <v>1.67</v>
      </c>
      <c r="Z8" s="57">
        <f t="shared" si="25"/>
        <v>3.3752526386705596E-2</v>
      </c>
      <c r="AA8" s="57">
        <f t="shared" si="26"/>
        <v>4.9499999999999993</v>
      </c>
      <c r="AB8" s="57">
        <f t="shared" si="27"/>
        <v>0.10004491354143273</v>
      </c>
      <c r="AC8" s="56">
        <f t="shared" si="28"/>
        <v>4</v>
      </c>
      <c r="AD8" s="57">
        <f t="shared" si="29"/>
        <v>1113.25</v>
      </c>
      <c r="AE8" s="63">
        <f t="shared" si="30"/>
        <v>8.0844374578935549E-2</v>
      </c>
      <c r="AF8" s="317">
        <f t="shared" si="31"/>
        <v>0</v>
      </c>
      <c r="AG8" s="317">
        <f t="shared" si="32"/>
        <v>0</v>
      </c>
      <c r="AH8" s="56">
        <f t="shared" si="33"/>
        <v>0</v>
      </c>
      <c r="AI8" s="60">
        <f t="shared" si="34"/>
        <v>9.9999999999999995E-8</v>
      </c>
      <c r="AJ8" s="305">
        <f t="shared" si="35"/>
        <v>0</v>
      </c>
      <c r="AK8" s="306">
        <f t="shared" si="36"/>
        <v>0</v>
      </c>
      <c r="AL8" s="56">
        <f t="shared" si="37"/>
        <v>290</v>
      </c>
      <c r="AM8" s="57">
        <f t="shared" si="38"/>
        <v>5.8612171569728275</v>
      </c>
      <c r="AN8" s="56">
        <f t="shared" si="39"/>
        <v>223</v>
      </c>
      <c r="AO8" s="57">
        <f t="shared" si="40"/>
        <v>4.5070738827756571</v>
      </c>
      <c r="AP8" s="60">
        <f t="shared" si="41"/>
        <v>0.76896551724137929</v>
      </c>
      <c r="AQ8" s="56">
        <f t="shared" si="42"/>
        <v>67</v>
      </c>
      <c r="AR8" s="57">
        <f t="shared" si="43"/>
        <v>1.3541432741971706</v>
      </c>
      <c r="AS8" s="60">
        <f t="shared" si="44"/>
        <v>0.23103448275862068</v>
      </c>
      <c r="AT8" s="213">
        <f t="shared" si="45"/>
        <v>69.268888888888881</v>
      </c>
      <c r="AU8" s="212">
        <f t="shared" si="46"/>
        <v>1.4</v>
      </c>
      <c r="AV8" s="63">
        <f t="shared" si="47"/>
        <v>0.1310344827586207</v>
      </c>
      <c r="AW8" s="213">
        <f t="shared" si="48"/>
        <v>38</v>
      </c>
      <c r="AX8" s="212">
        <f t="shared" si="49"/>
        <v>0.76802155849988774</v>
      </c>
      <c r="AY8" s="213">
        <f t="shared" si="50"/>
        <v>13</v>
      </c>
      <c r="AZ8" s="212">
        <f t="shared" si="51"/>
        <v>0.26274421738154058</v>
      </c>
      <c r="BA8" s="63">
        <f t="shared" si="52"/>
        <v>0.34210526315789475</v>
      </c>
      <c r="BB8" s="376">
        <f t="shared" si="53"/>
        <v>8.6315789473684207E-2</v>
      </c>
      <c r="BC8" s="375">
        <f t="shared" si="54"/>
        <v>3.28</v>
      </c>
      <c r="BD8" s="375">
        <f t="shared" si="55"/>
        <v>2.72</v>
      </c>
      <c r="BE8" s="375">
        <f t="shared" si="56"/>
        <v>2.72</v>
      </c>
      <c r="BF8" s="56">
        <f t="shared" si="57"/>
        <v>187</v>
      </c>
      <c r="BG8" s="57">
        <f t="shared" si="58"/>
        <v>3.7794745115652373</v>
      </c>
      <c r="BH8" s="56">
        <f t="shared" si="59"/>
        <v>29</v>
      </c>
      <c r="BI8" s="57">
        <f t="shared" si="60"/>
        <v>0.58612171569728277</v>
      </c>
      <c r="BJ8" s="57">
        <f t="shared" si="61"/>
        <v>4.0017965416573098</v>
      </c>
      <c r="BK8" s="225">
        <f t="shared" si="62"/>
        <v>50</v>
      </c>
      <c r="BL8" s="223">
        <f t="shared" si="63"/>
        <v>1.0105546822366944</v>
      </c>
      <c r="BM8" s="56">
        <f t="shared" si="64"/>
        <v>62</v>
      </c>
      <c r="BN8" s="57">
        <f t="shared" si="65"/>
        <v>1.2530878059735011</v>
      </c>
      <c r="BO8" s="58">
        <f t="shared" si="66"/>
        <v>43</v>
      </c>
      <c r="BP8" s="57">
        <f t="shared" si="67"/>
        <v>0.86907702672355724</v>
      </c>
      <c r="BQ8" s="75">
        <f t="shared" si="68"/>
        <v>2</v>
      </c>
      <c r="BR8" s="57">
        <f t="shared" si="69"/>
        <v>4.0422187289467774E-2</v>
      </c>
      <c r="BS8" s="114">
        <f t="shared" si="70"/>
        <v>0.69354838709677424</v>
      </c>
      <c r="BT8" s="56">
        <f t="shared" si="71"/>
        <v>11</v>
      </c>
      <c r="BU8" s="57">
        <f t="shared" si="72"/>
        <v>0.22232203009207277</v>
      </c>
      <c r="BV8" s="61">
        <f t="shared" si="73"/>
        <v>109</v>
      </c>
      <c r="BW8" s="62">
        <f t="shared" si="74"/>
        <v>2.2030092072759939</v>
      </c>
      <c r="BX8" s="61">
        <f t="shared" si="75"/>
        <v>41</v>
      </c>
      <c r="BY8" s="62">
        <f t="shared" si="76"/>
        <v>0.82865483943408946</v>
      </c>
      <c r="BZ8" s="63">
        <f t="shared" si="77"/>
        <v>0.37614678899082571</v>
      </c>
      <c r="CA8" s="61">
        <f t="shared" si="78"/>
        <v>2433</v>
      </c>
      <c r="CB8" s="62">
        <f t="shared" si="79"/>
        <v>49.173590837637548</v>
      </c>
      <c r="CC8" s="61">
        <f t="shared" si="80"/>
        <v>2246</v>
      </c>
      <c r="CD8" s="62">
        <f t="shared" si="81"/>
        <v>45.394116326072314</v>
      </c>
      <c r="CE8" s="63">
        <f t="shared" si="82"/>
        <v>0.92314015618577883</v>
      </c>
      <c r="CF8" s="56">
        <f t="shared" si="83"/>
        <v>2274</v>
      </c>
      <c r="CG8" s="62">
        <f t="shared" si="84"/>
        <v>45.394116326072314</v>
      </c>
      <c r="CH8" s="61">
        <f t="shared" si="85"/>
        <v>159</v>
      </c>
      <c r="CI8" s="62">
        <f t="shared" si="86"/>
        <v>3.2135638895126881</v>
      </c>
      <c r="CJ8" s="316">
        <f t="shared" si="87"/>
        <v>6.9920844327176782E-2</v>
      </c>
      <c r="CK8" s="378">
        <f t="shared" si="88"/>
        <v>187</v>
      </c>
      <c r="CL8" s="379">
        <f t="shared" si="89"/>
        <v>3.7794745115652373</v>
      </c>
      <c r="CM8" s="316">
        <f t="shared" si="90"/>
        <v>7.6859843814221132E-2</v>
      </c>
      <c r="CN8" s="213">
        <f t="shared" si="91"/>
        <v>9</v>
      </c>
      <c r="CO8" s="212">
        <f t="shared" si="92"/>
        <v>0.18189984280260499</v>
      </c>
      <c r="CP8" s="212">
        <f t="shared" si="93"/>
        <v>0.18555555555555556</v>
      </c>
      <c r="CQ8" s="213">
        <f t="shared" si="94"/>
        <v>16</v>
      </c>
      <c r="CR8" s="62">
        <f t="shared" si="95"/>
        <v>0.3233774983157422</v>
      </c>
      <c r="CS8" s="61">
        <f t="shared" si="96"/>
        <v>444</v>
      </c>
      <c r="CT8" s="62">
        <f t="shared" si="97"/>
        <v>8.9737255782618472</v>
      </c>
      <c r="CU8" s="61">
        <f t="shared" si="98"/>
        <v>307</v>
      </c>
      <c r="CV8" s="62">
        <f t="shared" si="99"/>
        <v>6.2048057489333042</v>
      </c>
      <c r="CW8" s="61">
        <f t="shared" si="100"/>
        <v>137</v>
      </c>
      <c r="CX8" s="63">
        <f t="shared" si="101"/>
        <v>0.69144144144144148</v>
      </c>
      <c r="CY8" s="61">
        <f t="shared" si="102"/>
        <v>242.5</v>
      </c>
      <c r="CZ8" s="62">
        <f t="shared" si="103"/>
        <v>4.901190208847968</v>
      </c>
      <c r="DA8" s="61">
        <f t="shared" si="104"/>
        <v>89.5</v>
      </c>
      <c r="DB8" s="62">
        <f t="shared" si="105"/>
        <v>1.8088928812036831</v>
      </c>
      <c r="DC8" s="334">
        <f t="shared" si="106"/>
        <v>381</v>
      </c>
      <c r="DD8" s="335">
        <f t="shared" si="107"/>
        <v>7.7004266786436117</v>
      </c>
      <c r="DE8" s="334">
        <f t="shared" si="108"/>
        <v>306</v>
      </c>
      <c r="DF8" s="335">
        <f t="shared" si="109"/>
        <v>6.1845946552885698</v>
      </c>
      <c r="DG8" s="63">
        <f t="shared" si="110"/>
        <v>0.80314960629921262</v>
      </c>
      <c r="DH8" s="61">
        <f t="shared" si="111"/>
        <v>98</v>
      </c>
      <c r="DI8" s="62">
        <f t="shared" si="112"/>
        <v>1.9806871771839212</v>
      </c>
      <c r="DJ8" s="61">
        <f t="shared" si="113"/>
        <v>17</v>
      </c>
      <c r="DK8" s="62">
        <f t="shared" si="114"/>
        <v>0.34358859196047609</v>
      </c>
      <c r="DL8" s="63">
        <f t="shared" si="115"/>
        <v>0.2572178477690289</v>
      </c>
      <c r="DM8" s="61">
        <f t="shared" si="116"/>
        <v>3</v>
      </c>
      <c r="DN8" s="61">
        <f t="shared" si="117"/>
        <v>0</v>
      </c>
      <c r="DO8" s="61">
        <f t="shared" si="118"/>
        <v>3</v>
      </c>
      <c r="DP8" s="62">
        <f t="shared" si="119"/>
        <v>6.0633280934201665E-2</v>
      </c>
      <c r="DQ8" s="63">
        <f t="shared" si="120"/>
        <v>0.17647058823529413</v>
      </c>
      <c r="DR8" s="61">
        <f t="shared" si="121"/>
        <v>592.99</v>
      </c>
      <c r="DS8" s="62">
        <f t="shared" si="122"/>
        <v>11.984976420390749</v>
      </c>
      <c r="DT8" s="61">
        <f t="shared" si="123"/>
        <v>554.1344444444444</v>
      </c>
      <c r="DU8" s="62">
        <f t="shared" si="124"/>
        <v>11.199663148439255</v>
      </c>
      <c r="DV8" s="61">
        <f t="shared" si="125"/>
        <v>207.75</v>
      </c>
      <c r="DW8" s="62">
        <f t="shared" si="126"/>
        <v>4.1988547046934652</v>
      </c>
      <c r="DX8" s="63">
        <f t="shared" si="127"/>
        <v>0.93447519257397993</v>
      </c>
      <c r="DY8" s="62">
        <f t="shared" si="128"/>
        <v>486.8</v>
      </c>
      <c r="DZ8" s="62">
        <f t="shared" si="129"/>
        <v>9.8387603862564568</v>
      </c>
      <c r="EA8" s="62">
        <f t="shared" si="130"/>
        <v>4.7</v>
      </c>
      <c r="EB8" s="61">
        <f t="shared" si="131"/>
        <v>4</v>
      </c>
      <c r="EC8" s="62">
        <f t="shared" si="132"/>
        <v>8.0844374578935549E-2</v>
      </c>
      <c r="ED8" s="61">
        <f t="shared" si="133"/>
        <v>273</v>
      </c>
      <c r="EE8" s="62">
        <f t="shared" si="134"/>
        <v>5.5176285650123518</v>
      </c>
      <c r="EF8" s="61">
        <f t="shared" si="135"/>
        <v>534.36</v>
      </c>
      <c r="EG8" s="62">
        <f t="shared" si="136"/>
        <v>10.8</v>
      </c>
      <c r="EH8" s="62">
        <f t="shared" si="137"/>
        <v>6.94</v>
      </c>
      <c r="EI8" s="299"/>
      <c r="EJ8" s="295" t="s">
        <v>695</v>
      </c>
      <c r="EK8" s="295" t="s">
        <v>552</v>
      </c>
      <c r="EL8" s="295">
        <v>31</v>
      </c>
      <c r="EM8" s="295" t="s">
        <v>1150</v>
      </c>
      <c r="EN8" s="295" t="s">
        <v>696</v>
      </c>
      <c r="EO8" s="295" t="s">
        <v>13</v>
      </c>
      <c r="EP8" s="295" t="s">
        <v>643</v>
      </c>
      <c r="EQ8" s="296">
        <v>46752</v>
      </c>
      <c r="ER8" s="295" t="s">
        <v>555</v>
      </c>
      <c r="ES8" s="295">
        <v>4453</v>
      </c>
      <c r="ET8" s="295" t="s">
        <v>1151</v>
      </c>
      <c r="EU8" s="295">
        <v>4</v>
      </c>
      <c r="EV8" s="295">
        <v>0</v>
      </c>
      <c r="EW8" s="295">
        <v>6</v>
      </c>
      <c r="EX8" s="295">
        <v>2</v>
      </c>
      <c r="EY8" s="295">
        <v>3</v>
      </c>
      <c r="EZ8" s="295">
        <v>0</v>
      </c>
      <c r="FA8" s="295">
        <v>109</v>
      </c>
      <c r="FB8" s="295">
        <v>41</v>
      </c>
      <c r="FC8" s="295">
        <v>223</v>
      </c>
      <c r="FD8" s="295">
        <v>290</v>
      </c>
      <c r="FE8" s="295">
        <v>1.4</v>
      </c>
      <c r="FF8" s="295">
        <v>45</v>
      </c>
      <c r="FG8" s="295">
        <v>43</v>
      </c>
      <c r="FH8" s="295">
        <v>29</v>
      </c>
      <c r="FI8" s="295">
        <v>29</v>
      </c>
      <c r="FJ8" s="295">
        <v>10.8</v>
      </c>
      <c r="FK8" s="295">
        <v>11</v>
      </c>
      <c r="FL8" s="295">
        <v>129</v>
      </c>
      <c r="FM8" s="295">
        <v>17</v>
      </c>
      <c r="FN8" s="295">
        <v>50</v>
      </c>
      <c r="FO8" s="295" t="s">
        <v>1152</v>
      </c>
      <c r="FP8" s="295">
        <v>4.7</v>
      </c>
      <c r="FQ8" s="295">
        <v>4</v>
      </c>
      <c r="FR8" s="295">
        <v>159</v>
      </c>
      <c r="FS8" s="295">
        <v>2433</v>
      </c>
      <c r="FT8" s="295">
        <v>2246</v>
      </c>
      <c r="FU8" s="295">
        <v>7</v>
      </c>
      <c r="FV8" s="295">
        <v>38</v>
      </c>
      <c r="FW8" s="295">
        <v>13</v>
      </c>
      <c r="FX8" s="295">
        <v>0</v>
      </c>
      <c r="FY8" s="295">
        <v>0</v>
      </c>
      <c r="FZ8" s="295" t="s">
        <v>1188</v>
      </c>
      <c r="GA8" s="295" t="s">
        <v>1189</v>
      </c>
      <c r="GB8" s="295">
        <v>9</v>
      </c>
      <c r="GC8" s="295">
        <v>0</v>
      </c>
      <c r="GD8" s="300">
        <v>6.94</v>
      </c>
    </row>
    <row r="9" spans="1:193" ht="24.95" customHeight="1" thickBot="1" x14ac:dyDescent="0.3">
      <c r="A9" s="29" t="str">
        <f t="shared" si="0"/>
        <v>8º</v>
      </c>
      <c r="B9" s="101" t="str">
        <f t="shared" si="1"/>
        <v>Robert Arboleda</v>
      </c>
      <c r="C9" s="86" t="str">
        <f t="shared" si="2"/>
        <v>ECU</v>
      </c>
      <c r="D9" s="99" t="str">
        <f t="shared" si="3"/>
        <v>Pé Direito</v>
      </c>
      <c r="E9" s="67" t="str">
        <f t="shared" si="4"/>
        <v>São Paulo</v>
      </c>
      <c r="F9" s="168">
        <f t="shared" si="5"/>
        <v>1.87</v>
      </c>
      <c r="G9" s="171">
        <f t="shared" si="6"/>
        <v>35</v>
      </c>
      <c r="H9" s="68" t="str">
        <f t="shared" si="7"/>
        <v>65m € - 650m €</v>
      </c>
      <c r="I9" s="201">
        <f t="shared" si="8"/>
        <v>46752</v>
      </c>
      <c r="J9" s="304" t="str">
        <f t="shared" si="9"/>
        <v>103m € p/m</v>
      </c>
      <c r="K9" s="96">
        <f t="shared" si="10"/>
        <v>40.308888888888887</v>
      </c>
      <c r="L9" s="147">
        <f t="shared" si="11"/>
        <v>41.233333333333334</v>
      </c>
      <c r="M9" s="147">
        <f t="shared" si="12"/>
        <v>43</v>
      </c>
      <c r="N9" s="147">
        <f t="shared" si="13"/>
        <v>86.302325581395351</v>
      </c>
      <c r="O9" s="193">
        <f t="shared" si="14"/>
        <v>0.95</v>
      </c>
      <c r="P9" s="55">
        <f t="shared" si="15"/>
        <v>3</v>
      </c>
      <c r="Q9" s="55">
        <f t="shared" si="16"/>
        <v>2</v>
      </c>
      <c r="R9" s="55">
        <f t="shared" si="17"/>
        <v>5</v>
      </c>
      <c r="S9" s="57">
        <f t="shared" si="18"/>
        <v>7.275666936135812E-2</v>
      </c>
      <c r="T9" s="57">
        <f t="shared" si="19"/>
        <v>0.12126111560226353</v>
      </c>
      <c r="U9" s="57">
        <f t="shared" si="20"/>
        <v>1.93</v>
      </c>
      <c r="V9" s="57">
        <f t="shared" si="21"/>
        <v>4.6806790622473726E-2</v>
      </c>
      <c r="W9" s="57">
        <f t="shared" si="22"/>
        <v>1.93</v>
      </c>
      <c r="X9" s="57">
        <f t="shared" si="23"/>
        <v>4.6806790622473726E-2</v>
      </c>
      <c r="Y9" s="57">
        <f t="shared" si="24"/>
        <v>1.4</v>
      </c>
      <c r="Z9" s="57">
        <f t="shared" si="25"/>
        <v>3.3953112368633791E-2</v>
      </c>
      <c r="AA9" s="57">
        <f t="shared" si="26"/>
        <v>3.33</v>
      </c>
      <c r="AB9" s="57">
        <f t="shared" si="27"/>
        <v>8.0759902991107524E-2</v>
      </c>
      <c r="AC9" s="56">
        <f t="shared" si="28"/>
        <v>1</v>
      </c>
      <c r="AD9" s="57">
        <f t="shared" si="29"/>
        <v>3711</v>
      </c>
      <c r="AE9" s="63">
        <f t="shared" si="30"/>
        <v>2.4252223120452707E-2</v>
      </c>
      <c r="AF9" s="317">
        <f t="shared" si="31"/>
        <v>0</v>
      </c>
      <c r="AG9" s="317">
        <f t="shared" si="32"/>
        <v>0</v>
      </c>
      <c r="AH9" s="56">
        <f t="shared" si="33"/>
        <v>0</v>
      </c>
      <c r="AI9" s="60">
        <f t="shared" si="34"/>
        <v>9.9999999999999995E-8</v>
      </c>
      <c r="AJ9" s="305">
        <f t="shared" si="35"/>
        <v>0</v>
      </c>
      <c r="AK9" s="306">
        <f t="shared" si="36"/>
        <v>0</v>
      </c>
      <c r="AL9" s="56">
        <f t="shared" si="37"/>
        <v>238</v>
      </c>
      <c r="AM9" s="57">
        <f t="shared" si="38"/>
        <v>5.7720291026677444</v>
      </c>
      <c r="AN9" s="56">
        <f t="shared" si="39"/>
        <v>179</v>
      </c>
      <c r="AO9" s="57">
        <f t="shared" si="40"/>
        <v>4.3411479385610345</v>
      </c>
      <c r="AP9" s="60">
        <f t="shared" si="41"/>
        <v>0.75210084033613445</v>
      </c>
      <c r="AQ9" s="56">
        <f t="shared" si="42"/>
        <v>59</v>
      </c>
      <c r="AR9" s="57">
        <f t="shared" si="43"/>
        <v>1.4308811641067098</v>
      </c>
      <c r="AS9" s="60">
        <f t="shared" si="44"/>
        <v>0.24789915966386555</v>
      </c>
      <c r="AT9" s="213">
        <f t="shared" si="45"/>
        <v>53.603333333333339</v>
      </c>
      <c r="AU9" s="212">
        <f t="shared" si="46"/>
        <v>1.3</v>
      </c>
      <c r="AV9" s="63">
        <f t="shared" si="47"/>
        <v>0.1092436974789916</v>
      </c>
      <c r="AW9" s="213">
        <f t="shared" si="48"/>
        <v>26</v>
      </c>
      <c r="AX9" s="212">
        <f t="shared" si="49"/>
        <v>0.6305578011317704</v>
      </c>
      <c r="AY9" s="213">
        <f t="shared" si="50"/>
        <v>9</v>
      </c>
      <c r="AZ9" s="212">
        <f t="shared" si="51"/>
        <v>0.21827000808407437</v>
      </c>
      <c r="BA9" s="63">
        <f t="shared" si="52"/>
        <v>0.34615384615384615</v>
      </c>
      <c r="BB9" s="376">
        <f t="shared" si="53"/>
        <v>7.4230769230769225E-2</v>
      </c>
      <c r="BC9" s="375">
        <f t="shared" si="54"/>
        <v>1.93</v>
      </c>
      <c r="BD9" s="375">
        <f t="shared" si="55"/>
        <v>1.07</v>
      </c>
      <c r="BE9" s="375">
        <f t="shared" si="56"/>
        <v>1.07</v>
      </c>
      <c r="BF9" s="56">
        <f t="shared" si="57"/>
        <v>149</v>
      </c>
      <c r="BG9" s="57">
        <f t="shared" si="58"/>
        <v>3.6135812449474534</v>
      </c>
      <c r="BH9" s="56">
        <f t="shared" si="59"/>
        <v>24</v>
      </c>
      <c r="BI9" s="57">
        <f t="shared" si="60"/>
        <v>0.58205335489086496</v>
      </c>
      <c r="BJ9" s="57">
        <f t="shared" si="61"/>
        <v>3.7348423605497172</v>
      </c>
      <c r="BK9" s="225">
        <f t="shared" si="62"/>
        <v>52</v>
      </c>
      <c r="BL9" s="223">
        <f t="shared" si="63"/>
        <v>1.2611156022635408</v>
      </c>
      <c r="BM9" s="56">
        <f t="shared" si="64"/>
        <v>38</v>
      </c>
      <c r="BN9" s="57">
        <f t="shared" si="65"/>
        <v>0.92158447857720294</v>
      </c>
      <c r="BO9" s="58">
        <f t="shared" si="66"/>
        <v>19</v>
      </c>
      <c r="BP9" s="57">
        <f t="shared" si="67"/>
        <v>0.46079223928860147</v>
      </c>
      <c r="BQ9" s="75">
        <f t="shared" si="68"/>
        <v>8</v>
      </c>
      <c r="BR9" s="57">
        <f t="shared" si="69"/>
        <v>0.19401778496362165</v>
      </c>
      <c r="BS9" s="114">
        <f t="shared" si="70"/>
        <v>0.5</v>
      </c>
      <c r="BT9" s="56">
        <f t="shared" si="71"/>
        <v>5</v>
      </c>
      <c r="BU9" s="57">
        <f t="shared" si="72"/>
        <v>0.12126111560226353</v>
      </c>
      <c r="BV9" s="61">
        <f t="shared" si="73"/>
        <v>114</v>
      </c>
      <c r="BW9" s="62">
        <f t="shared" si="74"/>
        <v>2.7647534357316088</v>
      </c>
      <c r="BX9" s="61">
        <f t="shared" si="75"/>
        <v>35</v>
      </c>
      <c r="BY9" s="62">
        <f t="shared" si="76"/>
        <v>0.84882780921584478</v>
      </c>
      <c r="BZ9" s="63">
        <f t="shared" si="77"/>
        <v>0.30701754385964913</v>
      </c>
      <c r="CA9" s="61">
        <f t="shared" si="78"/>
        <v>1902</v>
      </c>
      <c r="CB9" s="62">
        <f t="shared" si="79"/>
        <v>46.12772837510105</v>
      </c>
      <c r="CC9" s="61">
        <f t="shared" si="80"/>
        <v>1753</v>
      </c>
      <c r="CD9" s="62">
        <f t="shared" si="81"/>
        <v>42.514147130153596</v>
      </c>
      <c r="CE9" s="63">
        <f t="shared" si="82"/>
        <v>0.92166140904311256</v>
      </c>
      <c r="CF9" s="56">
        <f t="shared" si="83"/>
        <v>1801</v>
      </c>
      <c r="CG9" s="62">
        <f t="shared" si="84"/>
        <v>42.514147130153596</v>
      </c>
      <c r="CH9" s="61">
        <f t="shared" si="85"/>
        <v>101</v>
      </c>
      <c r="CI9" s="62">
        <f t="shared" si="86"/>
        <v>2.4494745351657237</v>
      </c>
      <c r="CJ9" s="316">
        <f t="shared" si="87"/>
        <v>5.6079955580233203E-2</v>
      </c>
      <c r="CK9" s="378">
        <f t="shared" si="88"/>
        <v>149</v>
      </c>
      <c r="CL9" s="379">
        <f t="shared" si="89"/>
        <v>3.6135812449474534</v>
      </c>
      <c r="CM9" s="316">
        <f t="shared" si="90"/>
        <v>7.8338590956887486E-2</v>
      </c>
      <c r="CN9" s="213">
        <f t="shared" si="91"/>
        <v>11</v>
      </c>
      <c r="CO9" s="212">
        <f t="shared" si="92"/>
        <v>0.26677445432497976</v>
      </c>
      <c r="CP9" s="212">
        <f t="shared" si="93"/>
        <v>0.12727272727272726</v>
      </c>
      <c r="CQ9" s="213">
        <f t="shared" si="94"/>
        <v>16</v>
      </c>
      <c r="CR9" s="62">
        <f t="shared" si="95"/>
        <v>0.38803556992724331</v>
      </c>
      <c r="CS9" s="61">
        <f t="shared" si="96"/>
        <v>379</v>
      </c>
      <c r="CT9" s="62">
        <f t="shared" si="97"/>
        <v>9.1915925626515769</v>
      </c>
      <c r="CU9" s="61">
        <f t="shared" si="98"/>
        <v>233</v>
      </c>
      <c r="CV9" s="62">
        <f t="shared" si="99"/>
        <v>5.650767987065481</v>
      </c>
      <c r="CW9" s="61">
        <f t="shared" si="100"/>
        <v>146</v>
      </c>
      <c r="CX9" s="63">
        <f t="shared" si="101"/>
        <v>0.61477572559366755</v>
      </c>
      <c r="CY9" s="61">
        <f t="shared" si="102"/>
        <v>203.5</v>
      </c>
      <c r="CZ9" s="62">
        <f t="shared" si="103"/>
        <v>4.9353274050121261</v>
      </c>
      <c r="DA9" s="61">
        <f t="shared" si="104"/>
        <v>56.5</v>
      </c>
      <c r="DB9" s="62">
        <f t="shared" si="105"/>
        <v>1.3702506063055779</v>
      </c>
      <c r="DC9" s="334">
        <f t="shared" si="106"/>
        <v>310</v>
      </c>
      <c r="DD9" s="335">
        <f t="shared" si="107"/>
        <v>7.5181891673403394</v>
      </c>
      <c r="DE9" s="334">
        <f t="shared" si="108"/>
        <v>237</v>
      </c>
      <c r="DF9" s="335">
        <f t="shared" si="109"/>
        <v>5.7477768795472919</v>
      </c>
      <c r="DG9" s="63">
        <f t="shared" si="110"/>
        <v>0.76451612903225807</v>
      </c>
      <c r="DH9" s="61">
        <f t="shared" si="111"/>
        <v>101</v>
      </c>
      <c r="DI9" s="62">
        <f t="shared" si="112"/>
        <v>2.4494745351657237</v>
      </c>
      <c r="DJ9" s="61">
        <f t="shared" si="113"/>
        <v>11</v>
      </c>
      <c r="DK9" s="62">
        <f t="shared" si="114"/>
        <v>0.26677445432497976</v>
      </c>
      <c r="DL9" s="63">
        <f t="shared" si="115"/>
        <v>0.32580645161290323</v>
      </c>
      <c r="DM9" s="61">
        <f t="shared" si="116"/>
        <v>1</v>
      </c>
      <c r="DN9" s="61">
        <f t="shared" si="117"/>
        <v>0</v>
      </c>
      <c r="DO9" s="61">
        <f t="shared" si="118"/>
        <v>1</v>
      </c>
      <c r="DP9" s="62">
        <f t="shared" si="119"/>
        <v>2.4252223120452707E-2</v>
      </c>
      <c r="DQ9" s="63">
        <f t="shared" si="120"/>
        <v>9.0909090909090912E-2</v>
      </c>
      <c r="DR9" s="61">
        <f t="shared" si="121"/>
        <v>478.33000000000004</v>
      </c>
      <c r="DS9" s="62">
        <f t="shared" si="122"/>
        <v>11.600565885206144</v>
      </c>
      <c r="DT9" s="61">
        <f t="shared" si="123"/>
        <v>433.30166666666668</v>
      </c>
      <c r="DU9" s="62">
        <f t="shared" si="124"/>
        <v>10.508528698464026</v>
      </c>
      <c r="DV9" s="61">
        <f t="shared" si="125"/>
        <v>161.25</v>
      </c>
      <c r="DW9" s="62">
        <f t="shared" si="126"/>
        <v>3.9106709781729991</v>
      </c>
      <c r="DX9" s="63">
        <f t="shared" si="127"/>
        <v>0.90586345549446334</v>
      </c>
      <c r="DY9" s="62">
        <f t="shared" si="128"/>
        <v>409.8</v>
      </c>
      <c r="DZ9" s="62">
        <f t="shared" si="129"/>
        <v>9.9385610347615199</v>
      </c>
      <c r="EA9" s="62">
        <f t="shared" si="130"/>
        <v>5</v>
      </c>
      <c r="EB9" s="61">
        <f t="shared" si="131"/>
        <v>1</v>
      </c>
      <c r="EC9" s="62">
        <f t="shared" si="132"/>
        <v>2.4252223120452707E-2</v>
      </c>
      <c r="ED9" s="61">
        <f t="shared" si="133"/>
        <v>227</v>
      </c>
      <c r="EE9" s="62">
        <f t="shared" si="134"/>
        <v>5.5052546483427642</v>
      </c>
      <c r="EF9" s="61">
        <f t="shared" si="135"/>
        <v>441.19666666666666</v>
      </c>
      <c r="EG9" s="62">
        <f t="shared" si="136"/>
        <v>10.7</v>
      </c>
      <c r="EH9" s="62">
        <f t="shared" si="137"/>
        <v>6.89</v>
      </c>
      <c r="EI9" s="301"/>
      <c r="EJ9" s="297" t="s">
        <v>1177</v>
      </c>
      <c r="EK9" s="297" t="s">
        <v>910</v>
      </c>
      <c r="EL9" s="297">
        <v>35</v>
      </c>
      <c r="EM9" s="297" t="s">
        <v>652</v>
      </c>
      <c r="EN9" s="297" t="s">
        <v>1178</v>
      </c>
      <c r="EO9" s="297" t="s">
        <v>863</v>
      </c>
      <c r="EP9" s="297" t="s">
        <v>643</v>
      </c>
      <c r="EQ9" s="298">
        <v>46752</v>
      </c>
      <c r="ER9" s="297" t="s">
        <v>1176</v>
      </c>
      <c r="ES9" s="297">
        <v>3711</v>
      </c>
      <c r="ET9" s="297" t="s">
        <v>774</v>
      </c>
      <c r="EU9" s="297">
        <v>1</v>
      </c>
      <c r="EV9" s="297">
        <v>0</v>
      </c>
      <c r="EW9" s="297">
        <v>3</v>
      </c>
      <c r="EX9" s="297">
        <v>2</v>
      </c>
      <c r="EY9" s="297">
        <v>1</v>
      </c>
      <c r="EZ9" s="297">
        <v>0</v>
      </c>
      <c r="FA9" s="297">
        <v>114</v>
      </c>
      <c r="FB9" s="297">
        <v>35</v>
      </c>
      <c r="FC9" s="297">
        <v>179</v>
      </c>
      <c r="FD9" s="297">
        <v>238</v>
      </c>
      <c r="FE9" s="297">
        <v>1.3</v>
      </c>
      <c r="FF9" s="297">
        <v>27</v>
      </c>
      <c r="FG9" s="297">
        <v>19</v>
      </c>
      <c r="FH9" s="297">
        <v>34</v>
      </c>
      <c r="FI9" s="297">
        <v>24</v>
      </c>
      <c r="FJ9" s="297">
        <v>10.7</v>
      </c>
      <c r="FK9" s="297">
        <v>5</v>
      </c>
      <c r="FL9" s="297">
        <v>91</v>
      </c>
      <c r="FM9" s="297">
        <v>11</v>
      </c>
      <c r="FN9" s="297">
        <v>52</v>
      </c>
      <c r="FO9" s="297" t="s">
        <v>1179</v>
      </c>
      <c r="FP9" s="297">
        <v>5</v>
      </c>
      <c r="FQ9" s="297">
        <v>1</v>
      </c>
      <c r="FR9" s="297">
        <v>101</v>
      </c>
      <c r="FS9" s="297">
        <v>1902</v>
      </c>
      <c r="FT9" s="297">
        <v>1753</v>
      </c>
      <c r="FU9" s="297">
        <v>5</v>
      </c>
      <c r="FV9" s="297">
        <v>26</v>
      </c>
      <c r="FW9" s="297">
        <v>9</v>
      </c>
      <c r="FX9" s="297">
        <v>0</v>
      </c>
      <c r="FY9" s="297">
        <v>0</v>
      </c>
      <c r="FZ9" s="297" t="s">
        <v>1193</v>
      </c>
      <c r="GA9" s="297" t="s">
        <v>1194</v>
      </c>
      <c r="GB9" s="297">
        <v>11</v>
      </c>
      <c r="GC9" s="297">
        <v>0</v>
      </c>
      <c r="GD9" s="302">
        <v>6.89</v>
      </c>
    </row>
    <row r="10" spans="1:193" ht="24.95" customHeight="1" thickBot="1" x14ac:dyDescent="0.3">
      <c r="A10" s="29" t="str">
        <f t="shared" si="0"/>
        <v>9º</v>
      </c>
      <c r="B10" s="101" t="str">
        <f t="shared" si="1"/>
        <v>Santiago Núñez</v>
      </c>
      <c r="C10" s="86" t="str">
        <f t="shared" si="2"/>
        <v>ARG</v>
      </c>
      <c r="D10" s="99" t="str">
        <f t="shared" si="3"/>
        <v>Pé Direito</v>
      </c>
      <c r="E10" s="67" t="str">
        <f t="shared" si="4"/>
        <v>Estudiantes (LP)</v>
      </c>
      <c r="F10" s="168">
        <f t="shared" si="5"/>
        <v>1.86</v>
      </c>
      <c r="G10" s="171">
        <f t="shared" si="6"/>
        <v>26</v>
      </c>
      <c r="H10" s="68" t="str">
        <f t="shared" si="7"/>
        <v>190m € - 1,9M €</v>
      </c>
      <c r="I10" s="201">
        <f t="shared" si="8"/>
        <v>47483</v>
      </c>
      <c r="J10" s="304" t="str">
        <f t="shared" si="9"/>
        <v>24,5m € p/m</v>
      </c>
      <c r="K10" s="96">
        <f t="shared" si="10"/>
        <v>40.308888888888887</v>
      </c>
      <c r="L10" s="147">
        <f t="shared" si="11"/>
        <v>31</v>
      </c>
      <c r="M10" s="147">
        <f t="shared" si="12"/>
        <v>31</v>
      </c>
      <c r="N10" s="147">
        <f t="shared" si="13"/>
        <v>90</v>
      </c>
      <c r="O10" s="193">
        <f t="shared" si="14"/>
        <v>1</v>
      </c>
      <c r="P10" s="55">
        <f t="shared" si="15"/>
        <v>2</v>
      </c>
      <c r="Q10" s="55">
        <f t="shared" si="16"/>
        <v>0</v>
      </c>
      <c r="R10" s="55">
        <f t="shared" si="17"/>
        <v>2</v>
      </c>
      <c r="S10" s="57">
        <f t="shared" si="18"/>
        <v>6.4516129032258063E-2</v>
      </c>
      <c r="T10" s="57">
        <f t="shared" si="19"/>
        <v>6.4516129032258063E-2</v>
      </c>
      <c r="U10" s="57">
        <f t="shared" si="20"/>
        <v>1.93</v>
      </c>
      <c r="V10" s="57">
        <f t="shared" si="21"/>
        <v>6.225806451612903E-2</v>
      </c>
      <c r="W10" s="57">
        <f t="shared" si="22"/>
        <v>1.93</v>
      </c>
      <c r="X10" s="57">
        <f t="shared" si="23"/>
        <v>6.225806451612903E-2</v>
      </c>
      <c r="Y10" s="57">
        <f t="shared" si="24"/>
        <v>1.1599999999999999</v>
      </c>
      <c r="Z10" s="57">
        <f t="shared" si="25"/>
        <v>3.7419354838709673E-2</v>
      </c>
      <c r="AA10" s="57">
        <f t="shared" si="26"/>
        <v>3.09</v>
      </c>
      <c r="AB10" s="57">
        <f t="shared" si="27"/>
        <v>9.9677419354838703E-2</v>
      </c>
      <c r="AC10" s="56">
        <f t="shared" si="28"/>
        <v>2</v>
      </c>
      <c r="AD10" s="57">
        <f t="shared" si="29"/>
        <v>1395</v>
      </c>
      <c r="AE10" s="63">
        <f t="shared" si="30"/>
        <v>6.4516129032258063E-2</v>
      </c>
      <c r="AF10" s="317">
        <f t="shared" si="31"/>
        <v>0</v>
      </c>
      <c r="AG10" s="317">
        <f t="shared" si="32"/>
        <v>0</v>
      </c>
      <c r="AH10" s="56">
        <f t="shared" si="33"/>
        <v>0</v>
      </c>
      <c r="AI10" s="60">
        <f t="shared" si="34"/>
        <v>9.9999999999999995E-8</v>
      </c>
      <c r="AJ10" s="305">
        <f t="shared" si="35"/>
        <v>0</v>
      </c>
      <c r="AK10" s="306">
        <f t="shared" si="36"/>
        <v>0</v>
      </c>
      <c r="AL10" s="56">
        <f t="shared" si="37"/>
        <v>154</v>
      </c>
      <c r="AM10" s="57">
        <f t="shared" si="38"/>
        <v>4.967741935483871</v>
      </c>
      <c r="AN10" s="56">
        <f t="shared" si="39"/>
        <v>120</v>
      </c>
      <c r="AO10" s="57">
        <f t="shared" si="40"/>
        <v>3.870967741935484</v>
      </c>
      <c r="AP10" s="60">
        <f t="shared" si="41"/>
        <v>0.77922077922077926</v>
      </c>
      <c r="AQ10" s="56">
        <f t="shared" si="42"/>
        <v>34</v>
      </c>
      <c r="AR10" s="57">
        <f t="shared" si="43"/>
        <v>1.096774193548387</v>
      </c>
      <c r="AS10" s="60">
        <f t="shared" si="44"/>
        <v>0.22077922077922077</v>
      </c>
      <c r="AT10" s="213">
        <f t="shared" si="45"/>
        <v>27.900000000000002</v>
      </c>
      <c r="AU10" s="212">
        <f t="shared" si="46"/>
        <v>0.9</v>
      </c>
      <c r="AV10" s="63">
        <f t="shared" si="47"/>
        <v>0.12987012987012986</v>
      </c>
      <c r="AW10" s="213">
        <f t="shared" si="48"/>
        <v>20</v>
      </c>
      <c r="AX10" s="212">
        <f t="shared" si="49"/>
        <v>0.64516129032258063</v>
      </c>
      <c r="AY10" s="213">
        <f t="shared" si="50"/>
        <v>4</v>
      </c>
      <c r="AZ10" s="212">
        <f t="shared" si="51"/>
        <v>0.12903225806451613</v>
      </c>
      <c r="BA10" s="63">
        <f t="shared" si="52"/>
        <v>0.2</v>
      </c>
      <c r="BB10" s="376">
        <f t="shared" si="53"/>
        <v>9.6500000000000002E-2</v>
      </c>
      <c r="BC10" s="375">
        <f t="shared" si="54"/>
        <v>1.93</v>
      </c>
      <c r="BD10" s="375">
        <f t="shared" si="55"/>
        <v>7.0000000000000062E-2</v>
      </c>
      <c r="BE10" s="375">
        <f t="shared" si="56"/>
        <v>7.0000000000000062E-2</v>
      </c>
      <c r="BF10" s="56">
        <f t="shared" si="57"/>
        <v>143</v>
      </c>
      <c r="BG10" s="57">
        <f t="shared" si="58"/>
        <v>4.612903225806452</v>
      </c>
      <c r="BH10" s="56">
        <f t="shared" si="59"/>
        <v>23</v>
      </c>
      <c r="BI10" s="57">
        <f t="shared" si="60"/>
        <v>0.74193548387096775</v>
      </c>
      <c r="BJ10" s="57">
        <f t="shared" si="61"/>
        <v>4.774193548387097</v>
      </c>
      <c r="BK10" s="225">
        <f t="shared" si="62"/>
        <v>31</v>
      </c>
      <c r="BL10" s="223">
        <f t="shared" si="63"/>
        <v>1</v>
      </c>
      <c r="BM10" s="56">
        <f t="shared" si="64"/>
        <v>36</v>
      </c>
      <c r="BN10" s="57">
        <f t="shared" si="65"/>
        <v>1.1612903225806452</v>
      </c>
      <c r="BO10" s="58">
        <f t="shared" si="66"/>
        <v>13</v>
      </c>
      <c r="BP10" s="57">
        <f t="shared" si="67"/>
        <v>0.41935483870967744</v>
      </c>
      <c r="BQ10" s="75">
        <f t="shared" si="68"/>
        <v>3</v>
      </c>
      <c r="BR10" s="57">
        <f t="shared" si="69"/>
        <v>9.6774193548387094E-2</v>
      </c>
      <c r="BS10" s="114">
        <f t="shared" si="70"/>
        <v>0.3611111111111111</v>
      </c>
      <c r="BT10" s="56">
        <f t="shared" si="71"/>
        <v>5</v>
      </c>
      <c r="BU10" s="57">
        <f t="shared" si="72"/>
        <v>0.16129032258064516</v>
      </c>
      <c r="BV10" s="61">
        <f t="shared" si="73"/>
        <v>67</v>
      </c>
      <c r="BW10" s="62">
        <f t="shared" si="74"/>
        <v>2.161290322580645</v>
      </c>
      <c r="BX10" s="61">
        <f t="shared" si="75"/>
        <v>21</v>
      </c>
      <c r="BY10" s="62">
        <f t="shared" si="76"/>
        <v>0.67741935483870963</v>
      </c>
      <c r="BZ10" s="63">
        <f t="shared" si="77"/>
        <v>0.31343283582089554</v>
      </c>
      <c r="CA10" s="61">
        <f t="shared" si="78"/>
        <v>1356</v>
      </c>
      <c r="CB10" s="62">
        <f t="shared" si="79"/>
        <v>43.741935483870968</v>
      </c>
      <c r="CC10" s="61">
        <f t="shared" si="80"/>
        <v>1270</v>
      </c>
      <c r="CD10" s="62">
        <f t="shared" si="81"/>
        <v>40.967741935483872</v>
      </c>
      <c r="CE10" s="63">
        <f t="shared" si="82"/>
        <v>0.93657817109144548</v>
      </c>
      <c r="CF10" s="56">
        <f t="shared" si="83"/>
        <v>1268</v>
      </c>
      <c r="CG10" s="62">
        <f t="shared" si="84"/>
        <v>40.967741935483872</v>
      </c>
      <c r="CH10" s="61">
        <f t="shared" si="85"/>
        <v>88</v>
      </c>
      <c r="CI10" s="62">
        <f t="shared" si="86"/>
        <v>2.838709677419355</v>
      </c>
      <c r="CJ10" s="316">
        <f t="shared" si="87"/>
        <v>6.9400630914826497E-2</v>
      </c>
      <c r="CK10" s="378">
        <f t="shared" si="88"/>
        <v>86</v>
      </c>
      <c r="CL10" s="379">
        <f t="shared" si="89"/>
        <v>2.774193548387097</v>
      </c>
      <c r="CM10" s="316">
        <f t="shared" si="90"/>
        <v>6.3421828908554578E-2</v>
      </c>
      <c r="CN10" s="213">
        <f t="shared" si="91"/>
        <v>5</v>
      </c>
      <c r="CO10" s="212">
        <f t="shared" si="92"/>
        <v>0.16129032258064516</v>
      </c>
      <c r="CP10" s="212">
        <f t="shared" si="93"/>
        <v>0.23199999999999998</v>
      </c>
      <c r="CQ10" s="213">
        <f t="shared" si="94"/>
        <v>7</v>
      </c>
      <c r="CR10" s="62">
        <f t="shared" si="95"/>
        <v>0.22580645161290322</v>
      </c>
      <c r="CS10" s="61">
        <f t="shared" si="96"/>
        <v>237</v>
      </c>
      <c r="CT10" s="62">
        <f t="shared" si="97"/>
        <v>7.645161290322581</v>
      </c>
      <c r="CU10" s="61">
        <f t="shared" si="98"/>
        <v>154</v>
      </c>
      <c r="CV10" s="62">
        <f t="shared" si="99"/>
        <v>4.967741935483871</v>
      </c>
      <c r="CW10" s="61">
        <f t="shared" si="100"/>
        <v>83</v>
      </c>
      <c r="CX10" s="63">
        <f t="shared" si="101"/>
        <v>0.64978902953586493</v>
      </c>
      <c r="CY10" s="61">
        <f t="shared" si="102"/>
        <v>176.5</v>
      </c>
      <c r="CZ10" s="62">
        <f t="shared" si="103"/>
        <v>5.693548387096774</v>
      </c>
      <c r="DA10" s="61">
        <f t="shared" si="104"/>
        <v>36.5</v>
      </c>
      <c r="DB10" s="62">
        <f t="shared" si="105"/>
        <v>1.1774193548387097</v>
      </c>
      <c r="DC10" s="334">
        <f t="shared" si="106"/>
        <v>212</v>
      </c>
      <c r="DD10" s="335">
        <f t="shared" si="107"/>
        <v>6.838709677419355</v>
      </c>
      <c r="DE10" s="334">
        <f t="shared" si="108"/>
        <v>160</v>
      </c>
      <c r="DF10" s="335">
        <f t="shared" si="109"/>
        <v>5.161290322580645</v>
      </c>
      <c r="DG10" s="63">
        <f t="shared" si="110"/>
        <v>0.75471698113207553</v>
      </c>
      <c r="DH10" s="61">
        <f t="shared" si="111"/>
        <v>59</v>
      </c>
      <c r="DI10" s="62">
        <f t="shared" si="112"/>
        <v>1.903225806451613</v>
      </c>
      <c r="DJ10" s="61">
        <f t="shared" si="113"/>
        <v>20</v>
      </c>
      <c r="DK10" s="62">
        <f t="shared" si="114"/>
        <v>0.64516129032258063</v>
      </c>
      <c r="DL10" s="63">
        <f t="shared" si="115"/>
        <v>0.27830188679245282</v>
      </c>
      <c r="DM10" s="61">
        <f t="shared" si="116"/>
        <v>6</v>
      </c>
      <c r="DN10" s="61">
        <f t="shared" si="117"/>
        <v>0</v>
      </c>
      <c r="DO10" s="61">
        <f t="shared" si="118"/>
        <v>6</v>
      </c>
      <c r="DP10" s="62">
        <f t="shared" si="119"/>
        <v>0.19354838709677419</v>
      </c>
      <c r="DQ10" s="63">
        <f t="shared" si="120"/>
        <v>0.3</v>
      </c>
      <c r="DR10" s="61">
        <f t="shared" si="121"/>
        <v>371.98</v>
      </c>
      <c r="DS10" s="62">
        <f t="shared" si="122"/>
        <v>11.999354838709678</v>
      </c>
      <c r="DT10" s="61">
        <f t="shared" si="123"/>
        <v>328.45</v>
      </c>
      <c r="DU10" s="62">
        <f t="shared" si="124"/>
        <v>10.595161290322581</v>
      </c>
      <c r="DV10" s="61">
        <f t="shared" si="125"/>
        <v>113.5</v>
      </c>
      <c r="DW10" s="62">
        <f t="shared" si="126"/>
        <v>3.661290322580645</v>
      </c>
      <c r="DX10" s="63">
        <f t="shared" si="127"/>
        <v>0.88297757943975475</v>
      </c>
      <c r="DY10" s="62">
        <f t="shared" si="128"/>
        <v>311.5</v>
      </c>
      <c r="DZ10" s="62">
        <f t="shared" si="129"/>
        <v>10.048387096774194</v>
      </c>
      <c r="EA10" s="62">
        <f t="shared" si="130"/>
        <v>4.8</v>
      </c>
      <c r="EB10" s="61">
        <f t="shared" si="131"/>
        <v>2</v>
      </c>
      <c r="EC10" s="62">
        <f t="shared" si="132"/>
        <v>6.4516129032258063E-2</v>
      </c>
      <c r="ED10" s="61">
        <f t="shared" si="133"/>
        <v>143</v>
      </c>
      <c r="EE10" s="62">
        <f t="shared" si="134"/>
        <v>4.612903225806452</v>
      </c>
      <c r="EF10" s="61">
        <f t="shared" si="135"/>
        <v>430.90000000000003</v>
      </c>
      <c r="EG10" s="62">
        <f t="shared" si="136"/>
        <v>13.9</v>
      </c>
      <c r="EH10" s="62">
        <f t="shared" si="137"/>
        <v>6.91</v>
      </c>
      <c r="EI10" s="299"/>
      <c r="EJ10" s="295" t="s">
        <v>1180</v>
      </c>
      <c r="EK10" s="295" t="s">
        <v>575</v>
      </c>
      <c r="EL10" s="295">
        <v>26</v>
      </c>
      <c r="EM10" s="295" t="s">
        <v>1171</v>
      </c>
      <c r="EN10" s="295" t="s">
        <v>1181</v>
      </c>
      <c r="EO10" s="295" t="s">
        <v>478</v>
      </c>
      <c r="EP10" s="295" t="s">
        <v>643</v>
      </c>
      <c r="EQ10" s="296">
        <v>47483</v>
      </c>
      <c r="ER10" s="295" t="s">
        <v>1153</v>
      </c>
      <c r="ES10" s="295">
        <v>2790</v>
      </c>
      <c r="ET10" s="295">
        <v>31</v>
      </c>
      <c r="EU10" s="295">
        <v>2</v>
      </c>
      <c r="EV10" s="295">
        <v>0</v>
      </c>
      <c r="EW10" s="295">
        <v>2</v>
      </c>
      <c r="EX10" s="295">
        <v>0</v>
      </c>
      <c r="EY10" s="295">
        <v>6</v>
      </c>
      <c r="EZ10" s="295">
        <v>0</v>
      </c>
      <c r="FA10" s="295">
        <v>67</v>
      </c>
      <c r="FB10" s="295">
        <v>21</v>
      </c>
      <c r="FC10" s="295">
        <v>120</v>
      </c>
      <c r="FD10" s="295">
        <v>154</v>
      </c>
      <c r="FE10" s="295">
        <v>0.9</v>
      </c>
      <c r="FF10" s="295">
        <v>16</v>
      </c>
      <c r="FG10" s="295">
        <v>13</v>
      </c>
      <c r="FH10" s="295">
        <v>22</v>
      </c>
      <c r="FI10" s="295">
        <v>23</v>
      </c>
      <c r="FJ10" s="295">
        <v>13.9</v>
      </c>
      <c r="FK10" s="295">
        <v>5</v>
      </c>
      <c r="FL10" s="295">
        <v>98</v>
      </c>
      <c r="FM10" s="295">
        <v>20</v>
      </c>
      <c r="FN10" s="295">
        <v>31</v>
      </c>
      <c r="FO10" s="295" t="s">
        <v>1182</v>
      </c>
      <c r="FP10" s="295">
        <v>4.8</v>
      </c>
      <c r="FQ10" s="295">
        <v>2</v>
      </c>
      <c r="FR10" s="295">
        <v>88</v>
      </c>
      <c r="FS10" s="295">
        <v>1356</v>
      </c>
      <c r="FT10" s="295">
        <v>1270</v>
      </c>
      <c r="FU10" s="295">
        <v>2</v>
      </c>
      <c r="FV10" s="295">
        <v>20</v>
      </c>
      <c r="FW10" s="295">
        <v>4</v>
      </c>
      <c r="FX10" s="295">
        <v>0</v>
      </c>
      <c r="FY10" s="295">
        <v>0</v>
      </c>
      <c r="FZ10" s="295" t="s">
        <v>1193</v>
      </c>
      <c r="GA10" s="295" t="s">
        <v>1201</v>
      </c>
      <c r="GB10" s="295">
        <v>5</v>
      </c>
      <c r="GC10" s="295">
        <v>0</v>
      </c>
      <c r="GD10" s="300">
        <v>6.91</v>
      </c>
    </row>
    <row r="11" spans="1:193" ht="24.95" customHeight="1" thickBot="1" x14ac:dyDescent="0.3">
      <c r="A11" s="29" t="str">
        <f t="shared" si="0"/>
        <v>10º</v>
      </c>
      <c r="B11" s="101" t="str">
        <f t="shared" si="1"/>
        <v>Vitão</v>
      </c>
      <c r="C11" s="86" t="str">
        <f t="shared" si="2"/>
        <v>BRA</v>
      </c>
      <c r="D11" s="99" t="str">
        <f t="shared" si="3"/>
        <v>Somente Pé Direito</v>
      </c>
      <c r="E11" s="67" t="str">
        <f t="shared" si="4"/>
        <v>Flamengo</v>
      </c>
      <c r="F11" s="168">
        <f t="shared" si="5"/>
        <v>1.86</v>
      </c>
      <c r="G11" s="171">
        <f t="shared" si="6"/>
        <v>26</v>
      </c>
      <c r="H11" s="68" t="str">
        <f t="shared" si="7"/>
        <v>10M € - 13M €</v>
      </c>
      <c r="I11" s="201">
        <f t="shared" si="8"/>
        <v>47483</v>
      </c>
      <c r="J11" s="304" t="str">
        <f t="shared" si="9"/>
        <v>64m € p/m</v>
      </c>
      <c r="K11" s="96">
        <f t="shared" si="10"/>
        <v>40.308888888888887</v>
      </c>
      <c r="L11" s="147">
        <f t="shared" si="11"/>
        <v>38.700000000000003</v>
      </c>
      <c r="M11" s="147">
        <f t="shared" si="12"/>
        <v>43</v>
      </c>
      <c r="N11" s="147">
        <f t="shared" si="13"/>
        <v>81</v>
      </c>
      <c r="O11" s="193">
        <f t="shared" si="14"/>
        <v>0.86</v>
      </c>
      <c r="P11" s="55">
        <f t="shared" si="15"/>
        <v>4</v>
      </c>
      <c r="Q11" s="55">
        <f t="shared" si="16"/>
        <v>0</v>
      </c>
      <c r="R11" s="55">
        <f t="shared" si="17"/>
        <v>4</v>
      </c>
      <c r="S11" s="57">
        <f t="shared" si="18"/>
        <v>0.10335917312661498</v>
      </c>
      <c r="T11" s="57">
        <f t="shared" si="19"/>
        <v>0.10335917312661498</v>
      </c>
      <c r="U11" s="57">
        <f t="shared" si="20"/>
        <v>2.66</v>
      </c>
      <c r="V11" s="57">
        <f t="shared" si="21"/>
        <v>6.873385012919897E-2</v>
      </c>
      <c r="W11" s="57">
        <f t="shared" si="22"/>
        <v>2.66</v>
      </c>
      <c r="X11" s="57">
        <f t="shared" si="23"/>
        <v>6.873385012919897E-2</v>
      </c>
      <c r="Y11" s="57">
        <f t="shared" si="24"/>
        <v>1.1200000000000001</v>
      </c>
      <c r="Z11" s="57">
        <f t="shared" si="25"/>
        <v>2.8940568475452198E-2</v>
      </c>
      <c r="AA11" s="57">
        <f t="shared" si="26"/>
        <v>3.7800000000000002</v>
      </c>
      <c r="AB11" s="57">
        <f t="shared" si="27"/>
        <v>9.7674418604651161E-2</v>
      </c>
      <c r="AC11" s="56">
        <f t="shared" si="28"/>
        <v>2</v>
      </c>
      <c r="AD11" s="57">
        <f t="shared" si="29"/>
        <v>1741.5</v>
      </c>
      <c r="AE11" s="63">
        <f t="shared" si="30"/>
        <v>5.1679586563307491E-2</v>
      </c>
      <c r="AF11" s="317">
        <f t="shared" si="31"/>
        <v>0</v>
      </c>
      <c r="AG11" s="317">
        <f t="shared" si="32"/>
        <v>0</v>
      </c>
      <c r="AH11" s="56">
        <f t="shared" si="33"/>
        <v>0</v>
      </c>
      <c r="AI11" s="60">
        <f t="shared" si="34"/>
        <v>9.9999999999999995E-8</v>
      </c>
      <c r="AJ11" s="305">
        <f t="shared" si="35"/>
        <v>1</v>
      </c>
      <c r="AK11" s="306">
        <f t="shared" si="36"/>
        <v>2.5839793281653745E-2</v>
      </c>
      <c r="AL11" s="56">
        <f t="shared" si="37"/>
        <v>211</v>
      </c>
      <c r="AM11" s="57">
        <f t="shared" si="38"/>
        <v>5.4521963824289399</v>
      </c>
      <c r="AN11" s="56">
        <f t="shared" si="39"/>
        <v>154</v>
      </c>
      <c r="AO11" s="57">
        <f t="shared" si="40"/>
        <v>3.9793281653746768</v>
      </c>
      <c r="AP11" s="60">
        <f t="shared" si="41"/>
        <v>0.72985781990521326</v>
      </c>
      <c r="AQ11" s="56">
        <f t="shared" si="42"/>
        <v>57</v>
      </c>
      <c r="AR11" s="57">
        <f t="shared" si="43"/>
        <v>1.4728682170542635</v>
      </c>
      <c r="AS11" s="60">
        <f t="shared" si="44"/>
        <v>0.27014218009478674</v>
      </c>
      <c r="AT11" s="213">
        <f t="shared" si="45"/>
        <v>23.220000000000002</v>
      </c>
      <c r="AU11" s="212">
        <f t="shared" si="46"/>
        <v>0.6</v>
      </c>
      <c r="AV11" s="63">
        <f t="shared" si="47"/>
        <v>0.14691943127962084</v>
      </c>
      <c r="AW11" s="213">
        <f t="shared" si="48"/>
        <v>31</v>
      </c>
      <c r="AX11" s="212">
        <f t="shared" si="49"/>
        <v>0.80103359173126609</v>
      </c>
      <c r="AY11" s="213">
        <f t="shared" si="50"/>
        <v>13</v>
      </c>
      <c r="AZ11" s="212">
        <f t="shared" si="51"/>
        <v>0.33591731266149866</v>
      </c>
      <c r="BA11" s="63">
        <f t="shared" si="52"/>
        <v>0.41935483870967744</v>
      </c>
      <c r="BB11" s="376">
        <f t="shared" si="53"/>
        <v>8.5806451612903234E-2</v>
      </c>
      <c r="BC11" s="375">
        <f t="shared" si="54"/>
        <v>2.66</v>
      </c>
      <c r="BD11" s="375">
        <f t="shared" si="55"/>
        <v>1.3399999999999999</v>
      </c>
      <c r="BE11" s="375">
        <f t="shared" si="56"/>
        <v>1.3399999999999999</v>
      </c>
      <c r="BF11" s="56">
        <f t="shared" si="57"/>
        <v>175</v>
      </c>
      <c r="BG11" s="57">
        <f t="shared" si="58"/>
        <v>4.5219638242894051</v>
      </c>
      <c r="BH11" s="56">
        <f t="shared" si="59"/>
        <v>22</v>
      </c>
      <c r="BI11" s="57">
        <f t="shared" si="60"/>
        <v>0.5684754521963824</v>
      </c>
      <c r="BJ11" s="57">
        <f t="shared" si="61"/>
        <v>4.5994832041343665</v>
      </c>
      <c r="BK11" s="225">
        <f t="shared" si="62"/>
        <v>24</v>
      </c>
      <c r="BL11" s="223">
        <f t="shared" si="63"/>
        <v>0.62015503875968991</v>
      </c>
      <c r="BM11" s="56">
        <f t="shared" si="64"/>
        <v>32</v>
      </c>
      <c r="BN11" s="57">
        <f t="shared" si="65"/>
        <v>0.82687338501291985</v>
      </c>
      <c r="BO11" s="58">
        <f t="shared" si="66"/>
        <v>21</v>
      </c>
      <c r="BP11" s="57">
        <f t="shared" si="67"/>
        <v>0.54263565891472865</v>
      </c>
      <c r="BQ11" s="75">
        <f t="shared" si="68"/>
        <v>5</v>
      </c>
      <c r="BR11" s="57">
        <f t="shared" si="69"/>
        <v>0.12919896640826872</v>
      </c>
      <c r="BS11" s="114">
        <f t="shared" si="70"/>
        <v>0.65625</v>
      </c>
      <c r="BT11" s="56">
        <f t="shared" si="71"/>
        <v>3</v>
      </c>
      <c r="BU11" s="57">
        <f t="shared" si="72"/>
        <v>7.7519379844961239E-2</v>
      </c>
      <c r="BV11" s="61">
        <f t="shared" si="73"/>
        <v>79</v>
      </c>
      <c r="BW11" s="62">
        <f t="shared" si="74"/>
        <v>2.0413436692506459</v>
      </c>
      <c r="BX11" s="61">
        <f t="shared" si="75"/>
        <v>27</v>
      </c>
      <c r="BY11" s="62">
        <f t="shared" si="76"/>
        <v>0.69767441860465107</v>
      </c>
      <c r="BZ11" s="63">
        <f t="shared" si="77"/>
        <v>0.34177215189873417</v>
      </c>
      <c r="CA11" s="61">
        <f t="shared" si="78"/>
        <v>1716</v>
      </c>
      <c r="CB11" s="62">
        <f t="shared" si="79"/>
        <v>44.341085271317823</v>
      </c>
      <c r="CC11" s="61">
        <f t="shared" si="80"/>
        <v>1618</v>
      </c>
      <c r="CD11" s="62">
        <f t="shared" si="81"/>
        <v>41.808785529715756</v>
      </c>
      <c r="CE11" s="63">
        <f t="shared" si="82"/>
        <v>0.94289044289044288</v>
      </c>
      <c r="CF11" s="56">
        <f t="shared" si="83"/>
        <v>1581</v>
      </c>
      <c r="CG11" s="62">
        <f t="shared" si="84"/>
        <v>41.808785529715756</v>
      </c>
      <c r="CH11" s="61">
        <f t="shared" si="85"/>
        <v>135</v>
      </c>
      <c r="CI11" s="62">
        <f t="shared" si="86"/>
        <v>3.4883720930232553</v>
      </c>
      <c r="CJ11" s="316">
        <f t="shared" si="87"/>
        <v>8.5388994307400379E-2</v>
      </c>
      <c r="CK11" s="378">
        <f t="shared" si="88"/>
        <v>98</v>
      </c>
      <c r="CL11" s="379">
        <f t="shared" si="89"/>
        <v>2.5322997416020669</v>
      </c>
      <c r="CM11" s="316">
        <f t="shared" si="90"/>
        <v>5.7109557109557112E-2</v>
      </c>
      <c r="CN11" s="213">
        <f t="shared" si="91"/>
        <v>3</v>
      </c>
      <c r="CO11" s="212">
        <f t="shared" si="92"/>
        <v>7.7519379844961239E-2</v>
      </c>
      <c r="CP11" s="212">
        <f t="shared" si="93"/>
        <v>0.37333333333333335</v>
      </c>
      <c r="CQ11" s="213">
        <f t="shared" si="94"/>
        <v>6</v>
      </c>
      <c r="CR11" s="62">
        <f t="shared" si="95"/>
        <v>0.15503875968992248</v>
      </c>
      <c r="CS11" s="61">
        <f t="shared" si="96"/>
        <v>316</v>
      </c>
      <c r="CT11" s="62">
        <f t="shared" si="97"/>
        <v>8.1653746770025837</v>
      </c>
      <c r="CU11" s="61">
        <f t="shared" si="98"/>
        <v>202</v>
      </c>
      <c r="CV11" s="62">
        <f t="shared" si="99"/>
        <v>5.2196382428940566</v>
      </c>
      <c r="CW11" s="61">
        <f t="shared" si="100"/>
        <v>114</v>
      </c>
      <c r="CX11" s="63">
        <f t="shared" si="101"/>
        <v>0.63924050632911389</v>
      </c>
      <c r="CY11" s="61">
        <f t="shared" si="102"/>
        <v>200.5</v>
      </c>
      <c r="CZ11" s="62">
        <f t="shared" si="103"/>
        <v>5.180878552971576</v>
      </c>
      <c r="DA11" s="61">
        <f t="shared" si="104"/>
        <v>49.5</v>
      </c>
      <c r="DB11" s="62">
        <f t="shared" si="105"/>
        <v>1.2790697674418603</v>
      </c>
      <c r="DC11" s="334">
        <f t="shared" si="106"/>
        <v>266</v>
      </c>
      <c r="DD11" s="335">
        <f t="shared" si="107"/>
        <v>6.8733850129198961</v>
      </c>
      <c r="DE11" s="334">
        <f t="shared" si="108"/>
        <v>201</v>
      </c>
      <c r="DF11" s="335">
        <f t="shared" si="109"/>
        <v>5.1937984496124026</v>
      </c>
      <c r="DG11" s="63">
        <f t="shared" si="110"/>
        <v>0.75563909774436089</v>
      </c>
      <c r="DH11" s="61">
        <f t="shared" si="111"/>
        <v>85</v>
      </c>
      <c r="DI11" s="62">
        <f t="shared" si="112"/>
        <v>2.1963824289405682</v>
      </c>
      <c r="DJ11" s="61">
        <f t="shared" si="113"/>
        <v>6</v>
      </c>
      <c r="DK11" s="62">
        <f t="shared" si="114"/>
        <v>0.15503875968992248</v>
      </c>
      <c r="DL11" s="63">
        <f t="shared" si="115"/>
        <v>0.31954887218045114</v>
      </c>
      <c r="DM11" s="61">
        <f t="shared" si="116"/>
        <v>1</v>
      </c>
      <c r="DN11" s="61">
        <f t="shared" si="117"/>
        <v>0</v>
      </c>
      <c r="DO11" s="61">
        <f t="shared" si="118"/>
        <v>1</v>
      </c>
      <c r="DP11" s="62">
        <f t="shared" si="119"/>
        <v>2.5839793281653745E-2</v>
      </c>
      <c r="DQ11" s="63">
        <f t="shared" si="120"/>
        <v>0.16666666666666666</v>
      </c>
      <c r="DR11" s="61">
        <f t="shared" si="121"/>
        <v>446.33000000000004</v>
      </c>
      <c r="DS11" s="62">
        <f t="shared" si="122"/>
        <v>11.533074935400517</v>
      </c>
      <c r="DT11" s="61">
        <f t="shared" si="123"/>
        <v>390.11</v>
      </c>
      <c r="DU11" s="62">
        <f t="shared" si="124"/>
        <v>10.080361757105942</v>
      </c>
      <c r="DV11" s="61">
        <f t="shared" si="125"/>
        <v>108.25</v>
      </c>
      <c r="DW11" s="62">
        <f t="shared" si="126"/>
        <v>2.797157622739018</v>
      </c>
      <c r="DX11" s="63">
        <f t="shared" si="127"/>
        <v>0.87403938789684754</v>
      </c>
      <c r="DY11" s="62">
        <f t="shared" si="128"/>
        <v>391.1</v>
      </c>
      <c r="DZ11" s="62">
        <f t="shared" si="129"/>
        <v>10.105943152454779</v>
      </c>
      <c r="EA11" s="62">
        <f t="shared" si="130"/>
        <v>5</v>
      </c>
      <c r="EB11" s="61">
        <f t="shared" si="131"/>
        <v>0</v>
      </c>
      <c r="EC11" s="62">
        <f t="shared" si="132"/>
        <v>0</v>
      </c>
      <c r="ED11" s="61">
        <f t="shared" si="133"/>
        <v>166</v>
      </c>
      <c r="EE11" s="62">
        <f t="shared" si="134"/>
        <v>4.2894056847545219</v>
      </c>
      <c r="EF11" s="61">
        <f t="shared" si="135"/>
        <v>530.19000000000005</v>
      </c>
      <c r="EG11" s="62">
        <f t="shared" si="136"/>
        <v>13.7</v>
      </c>
      <c r="EH11" s="62">
        <f t="shared" si="137"/>
        <v>6.97</v>
      </c>
      <c r="EI11" s="299"/>
      <c r="EJ11" s="295" t="s">
        <v>1167</v>
      </c>
      <c r="EK11" s="295" t="s">
        <v>575</v>
      </c>
      <c r="EL11" s="295">
        <v>26</v>
      </c>
      <c r="EM11" s="295" t="s">
        <v>1168</v>
      </c>
      <c r="EN11" s="295" t="s">
        <v>1169</v>
      </c>
      <c r="EO11" s="295" t="s">
        <v>13</v>
      </c>
      <c r="EP11" s="295" t="s">
        <v>644</v>
      </c>
      <c r="EQ11" s="296">
        <v>47483</v>
      </c>
      <c r="ER11" s="295" t="s">
        <v>1147</v>
      </c>
      <c r="ES11" s="295">
        <v>3483</v>
      </c>
      <c r="ET11" s="295" t="s">
        <v>1162</v>
      </c>
      <c r="EU11" s="295">
        <v>2</v>
      </c>
      <c r="EV11" s="295">
        <v>1</v>
      </c>
      <c r="EW11" s="295">
        <v>4</v>
      </c>
      <c r="EX11" s="295">
        <v>0</v>
      </c>
      <c r="EY11" s="295">
        <v>1</v>
      </c>
      <c r="EZ11" s="295">
        <v>0</v>
      </c>
      <c r="FA11" s="295">
        <v>79</v>
      </c>
      <c r="FB11" s="295">
        <v>27</v>
      </c>
      <c r="FC11" s="295">
        <v>154</v>
      </c>
      <c r="FD11" s="295">
        <v>211</v>
      </c>
      <c r="FE11" s="295">
        <v>0.6</v>
      </c>
      <c r="FF11" s="295">
        <v>26</v>
      </c>
      <c r="FG11" s="295">
        <v>21</v>
      </c>
      <c r="FH11" s="295">
        <v>23</v>
      </c>
      <c r="FI11" s="295">
        <v>22</v>
      </c>
      <c r="FJ11" s="295">
        <v>13.7</v>
      </c>
      <c r="FK11" s="295">
        <v>3</v>
      </c>
      <c r="FL11" s="295">
        <v>130</v>
      </c>
      <c r="FM11" s="295">
        <v>6</v>
      </c>
      <c r="FN11" s="295">
        <v>24</v>
      </c>
      <c r="FO11" s="295" t="s">
        <v>1170</v>
      </c>
      <c r="FP11" s="295">
        <v>5</v>
      </c>
      <c r="FQ11" s="295">
        <v>0</v>
      </c>
      <c r="FR11" s="295">
        <v>135</v>
      </c>
      <c r="FS11" s="295">
        <v>1716</v>
      </c>
      <c r="FT11" s="295">
        <v>1618</v>
      </c>
      <c r="FU11" s="295">
        <v>3</v>
      </c>
      <c r="FV11" s="295">
        <v>31</v>
      </c>
      <c r="FW11" s="295">
        <v>13</v>
      </c>
      <c r="FX11" s="295">
        <v>0</v>
      </c>
      <c r="FY11" s="295">
        <v>0</v>
      </c>
      <c r="FZ11" s="295" t="s">
        <v>1190</v>
      </c>
      <c r="GA11" s="295" t="s">
        <v>1191</v>
      </c>
      <c r="GB11" s="295">
        <v>3</v>
      </c>
      <c r="GC11" s="295">
        <v>0</v>
      </c>
      <c r="GD11" s="300">
        <v>6.97</v>
      </c>
    </row>
  </sheetData>
  <autoFilter ref="B1:GD1" xr:uid="{00000000-0009-0000-0000-000001000000}">
    <sortState xmlns:xlrd2="http://schemas.microsoft.com/office/spreadsheetml/2017/richdata2" ref="B2:GD11">
      <sortCondition ref="B1"/>
    </sortState>
  </autoFilter>
  <phoneticPr fontId="53" type="noConversion"/>
  <conditionalFormatting sqref="AL1:AM1048576">
    <cfRule type="colorScale" priority="7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5">
      <colorScale>
        <cfvo type="min"/>
        <cfvo type="max"/>
        <color rgb="FFFFEF9C"/>
        <color rgb="FF63BE7B"/>
      </colorScale>
    </cfRule>
  </conditionalFormatting>
  <conditionalFormatting sqref="I2:I1048576">
    <cfRule type="containsText" dxfId="7" priority="186" operator="containsText" text="Sem Data Final">
      <formula>NOT(ISERROR(SEARCH("Sem Data Final",I2)))</formula>
    </cfRule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1:BP1048576">
    <cfRule type="colorScale" priority="7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:BN1048576">
    <cfRule type="colorScale" priority="7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:BU1048576">
    <cfRule type="colorScale" priority="7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:G1048576">
    <cfRule type="colorScale" priority="417">
      <colorScale>
        <cfvo type="num" val="23"/>
        <cfvo type="num" val="28"/>
        <cfvo type="num" val="30"/>
        <color rgb="FF63BE7B"/>
        <color rgb="FFFFEB84"/>
        <color rgb="FFF8696B"/>
      </colorScale>
    </cfRule>
  </conditionalFormatting>
  <conditionalFormatting sqref="BS1:BS1048576">
    <cfRule type="iconSet" priority="27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1:BT1048576">
    <cfRule type="iconSet" priority="27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:BU1048576">
    <cfRule type="iconSet" priority="27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:AR1048576">
    <cfRule type="colorScale" priority="393">
      <colorScale>
        <cfvo type="min"/>
        <cfvo type="max"/>
        <color rgb="FFFCFCFF"/>
        <color rgb="FFF8696B"/>
      </colorScale>
    </cfRule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1048576">
    <cfRule type="colorScale" priority="3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:AQ1048576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3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0">
      <colorScale>
        <cfvo type="min"/>
        <cfvo type="max"/>
        <color rgb="FFFCFCFF"/>
        <color rgb="FFF8696B"/>
      </colorScale>
    </cfRule>
  </conditionalFormatting>
  <conditionalFormatting sqref="AP1:AQ1048576">
    <cfRule type="colorScale" priority="6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N1048576">
    <cfRule type="iconSet" priority="14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6">
      <colorScale>
        <cfvo type="min"/>
        <cfvo type="max"/>
        <color rgb="FFFCFCFF"/>
        <color rgb="FFF8696B"/>
      </colorScale>
    </cfRule>
  </conditionalFormatting>
  <conditionalFormatting sqref="EH1:EH1048576">
    <cfRule type="colorScale" priority="303">
      <colorScale>
        <cfvo type="num" val="6.6"/>
        <cfvo type="num" val="6.65"/>
        <cfvo type="num" val="7"/>
        <color rgb="FFF8696B"/>
        <color rgb="FFFFEB84"/>
        <color rgb="FF63BE7B"/>
      </colorScale>
    </cfRule>
    <cfRule type="iconSet" priority="304">
      <iconSet iconSet="3Arrows">
        <cfvo type="percent" val="0"/>
        <cfvo type="num" val="6.7"/>
        <cfvo type="num" val="7"/>
      </iconSet>
    </cfRule>
    <cfRule type="colorScale" priority="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">
    <cfRule type="colorScale" priority="6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">
    <cfRule type="colorScale" priority="6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">
    <cfRule type="colorScale" priority="681">
      <colorScale>
        <cfvo type="min"/>
        <cfvo type="max"/>
        <color rgb="FFFCFCFF"/>
        <color rgb="FFF8696B"/>
      </colorScale>
    </cfRule>
  </conditionalFormatting>
  <conditionalFormatting sqref="AH1:AH1048576">
    <cfRule type="colorScale" priority="403">
      <colorScale>
        <cfvo type="min"/>
        <cfvo type="max"/>
        <color rgb="FFFCFCFF"/>
        <color rgb="FFF8696B"/>
      </colorScale>
    </cfRule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1:BQ1048576">
    <cfRule type="iconSet" priority="279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379">
      <colorScale>
        <cfvo type="min"/>
        <cfvo type="max"/>
        <color rgb="FFFCFCFF"/>
        <color rgb="FFF8696B"/>
      </colorScale>
    </cfRule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1:BR1048576">
    <cfRule type="iconSet" priority="278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378">
      <colorScale>
        <cfvo type="min"/>
        <cfvo type="max"/>
        <color rgb="FFFCFCFF"/>
        <color rgb="FFF8696B"/>
      </colorScale>
    </cfRule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1048576">
    <cfRule type="colorScale" priority="3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AR1">
    <cfRule type="colorScale" priority="6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6">
      <colorScale>
        <cfvo type="min"/>
        <cfvo type="max"/>
        <color rgb="FFFFEF9C"/>
        <color rgb="FF63BE7B"/>
      </colorScale>
    </cfRule>
  </conditionalFormatting>
  <conditionalFormatting sqref="AR1">
    <cfRule type="colorScale" priority="6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">
    <cfRule type="colorScale" priority="6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">
    <cfRule type="colorScale" priority="6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AQ1048576">
    <cfRule type="colorScale" priority="394">
      <colorScale>
        <cfvo type="min"/>
        <cfvo type="max"/>
        <color rgb="FFFCFCFF"/>
        <color rgb="FFF8696B"/>
      </colorScale>
    </cfRule>
    <cfRule type="colorScale" priority="647">
      <colorScale>
        <cfvo type="min"/>
        <cfvo type="percentile" val="50"/>
        <cfvo type="max"/>
        <color rgb="FFC00000"/>
        <color rgb="FFFF0D0D"/>
        <color rgb="FFFF9B9B"/>
      </colorScale>
    </cfRule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:AP1048576">
    <cfRule type="colorScale" priority="3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1:BN1048576">
    <cfRule type="iconSet" priority="28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:BM1048576">
    <cfRule type="iconSet" priority="28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1:BP1048576">
    <cfRule type="iconSet" priority="28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1:BO1048576">
    <cfRule type="iconSet" priority="28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1:BR1048576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1:CT1048576">
    <cfRule type="colorScale" priority="6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U1:CU1048576">
    <cfRule type="iconSet" priority="25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CT1048576">
    <cfRule type="iconSet" priority="25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S1:CS1048576">
    <cfRule type="iconSet" priority="26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V1:CV1048576">
    <cfRule type="iconSet" priority="25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Q1:DQ1048576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09">
      <colorScale>
        <cfvo type="min"/>
        <cfvo type="max"/>
        <color rgb="FFFCFCFF"/>
        <color rgb="FFF8696B"/>
      </colorScale>
    </cfRule>
  </conditionalFormatting>
  <conditionalFormatting sqref="DT1:DT1048576">
    <cfRule type="iconSet" priority="28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X1:CX1048576">
    <cfRule type="iconSet" priority="25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G1:DJ1">
    <cfRule type="colorScale" priority="5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G1:DJ1">
    <cfRule type="colorScale" priority="5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M1:DM1048576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1:DP1048576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1:DO1048576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1:CY1048576">
    <cfRule type="iconSet" priority="27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Z1:CZ1048576">
    <cfRule type="iconSet" priority="27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A1:DA1048576">
    <cfRule type="iconSet" priority="27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B1:DB1048576">
    <cfRule type="iconSet" priority="27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B1:DB1048576 DG1:DG1048576">
    <cfRule type="colorScale" priority="5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G1:DG1048576">
    <cfRule type="iconSet" priority="26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H1:DH1048576">
    <cfRule type="colorScale" priority="330">
      <colorScale>
        <cfvo type="min"/>
        <cfvo type="max"/>
        <color rgb="FFFCFCFF"/>
        <color rgb="FFF8696B"/>
      </colorScale>
    </cfRule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1:DI1048576">
    <cfRule type="colorScale" priority="329">
      <colorScale>
        <cfvo type="min"/>
        <cfvo type="max"/>
        <color rgb="FFFCFCFF"/>
        <color rgb="FFF8696B"/>
      </colorScale>
    </cfRule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1:DJ1048576">
    <cfRule type="colorScale" priority="328">
      <colorScale>
        <cfvo type="min"/>
        <cfvo type="max"/>
        <color rgb="FFFCFCFF"/>
        <color rgb="FFF8696B"/>
      </colorScale>
    </cfRule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1:DK1048576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21">
      <colorScale>
        <cfvo type="min"/>
        <cfvo type="max"/>
        <color rgb="FFFCFCFF"/>
        <color rgb="FFF8696B"/>
      </colorScale>
    </cfRule>
  </conditionalFormatting>
  <conditionalFormatting sqref="DL1:DL1048576">
    <cfRule type="colorScale" priority="326">
      <colorScale>
        <cfvo type="min"/>
        <cfvo type="max"/>
        <color rgb="FFFCFCFF"/>
        <color rgb="FFF8696B"/>
      </colorScale>
    </cfRule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311">
      <colorScale>
        <cfvo type="num" val="0"/>
        <cfvo type="num" val="1.8"/>
        <cfvo type="num" val="1.84"/>
        <color rgb="FFF8696B"/>
        <color rgb="FFFFEB84"/>
        <color rgb="FF63BE7B"/>
      </colorScale>
    </cfRule>
  </conditionalFormatting>
  <conditionalFormatting sqref="DY1">
    <cfRule type="colorScale" priority="2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Y1:DY1048576">
    <cfRule type="iconSet" priority="26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92">
      <colorScale>
        <cfvo type="min"/>
        <cfvo type="percentile" val="50"/>
        <cfvo type="max"/>
        <color theme="4" tint="0.79998168889431442"/>
        <color theme="4" tint="0.39997558519241921"/>
        <color rgb="FF19C3FF"/>
      </colorScale>
    </cfRule>
  </conditionalFormatting>
  <conditionalFormatting sqref="DZ1:DZ1048576">
    <cfRule type="iconSet" priority="26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91">
      <colorScale>
        <cfvo type="min"/>
        <cfvo type="percentile" val="50"/>
        <cfvo type="max"/>
        <color theme="4" tint="0.79998168889431442"/>
        <color theme="4" tint="0.39997558519241921"/>
        <color rgb="FF00B0F0"/>
      </colorScale>
    </cfRule>
  </conditionalFormatting>
  <conditionalFormatting sqref="DN1:DN1048576">
    <cfRule type="colorScale" priority="254">
      <colorScale>
        <cfvo type="num" val="0.01"/>
        <cfvo type="percentile" val="50"/>
        <cfvo type="max"/>
        <color rgb="FF63BE7B"/>
        <color rgb="FFFFEB84"/>
        <color rgb="FFF8696B"/>
      </colorScale>
    </cfRule>
  </conditionalFormatting>
  <conditionalFormatting sqref="EA1:EA1048576">
    <cfRule type="iconSet" priority="25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B1:EB1048576">
    <cfRule type="iconSet" priority="24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C1:EC1048576">
    <cfRule type="iconSet" priority="24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:S1048576">
    <cfRule type="colorScale" priority="2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:T1048576">
    <cfRule type="colorScale" priority="2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colorScale" priority="221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224">
      <iconSet iconSet="3ArrowsGray">
        <cfvo type="percent" val="0"/>
        <cfvo type="percent" val="33"/>
        <cfvo type="percent" val="67"/>
      </iconSet>
    </cfRule>
  </conditionalFormatting>
  <conditionalFormatting sqref="AD1:AD1048576">
    <cfRule type="colorScale" priority="220">
      <colorScale>
        <cfvo type="min"/>
        <cfvo type="percentile" val="50"/>
        <cfvo type="max"/>
        <color theme="5" tint="-0.249977111117893"/>
        <color theme="5" tint="0.39997558519241921"/>
        <color theme="5" tint="0.79998168889431442"/>
      </colorScale>
    </cfRule>
    <cfRule type="iconSet" priority="223">
      <iconSet iconSet="3ArrowsGray" reverse="1">
        <cfvo type="percent" val="0"/>
        <cfvo type="percent" val="33"/>
        <cfvo type="percent" val="67"/>
      </iconSet>
    </cfRule>
  </conditionalFormatting>
  <conditionalFormatting sqref="AE1:AE1048576">
    <cfRule type="colorScale" priority="219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222">
      <iconSet iconSet="3ArrowsGray">
        <cfvo type="percent" val="0"/>
        <cfvo type="percent" val="33"/>
        <cfvo type="percent" val="67"/>
      </iconSet>
    </cfRule>
  </conditionalFormatting>
  <conditionalFormatting sqref="CA1:CA1048576">
    <cfRule type="colorScale" priority="2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1:CB1048576">
    <cfRule type="colorScale" priority="2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1:CC1048576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:CD1048576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1:CE1048576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1:BV1048576">
    <cfRule type="colorScale" priority="20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Z1:BZ1048576">
    <cfRule type="iconSet" priority="20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201">
      <colorScale>
        <cfvo type="min"/>
        <cfvo type="max"/>
        <color rgb="FFFFEF9C"/>
        <color rgb="FF63BE7B"/>
      </colorScale>
    </cfRule>
  </conditionalFormatting>
  <conditionalFormatting sqref="P1:P1048576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{6A451C48-7E1E-4E6A-816D-B3356C1124D0}</x14:id>
        </ext>
      </extLst>
    </cfRule>
  </conditionalFormatting>
  <conditionalFormatting sqref="M1:M1048576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191">
      <colorScale>
        <cfvo type="min"/>
        <cfvo type="num" val="75"/>
        <cfvo type="num" val="90"/>
        <color rgb="FFF8696B"/>
        <color rgb="FFFFEB84"/>
        <color rgb="FF63BE7B"/>
      </colorScale>
    </cfRule>
  </conditionalFormatting>
  <conditionalFormatting sqref="I1">
    <cfRule type="containsText" dxfId="6" priority="184" operator="containsText" text="Sem Data Final">
      <formula>NOT(ISERROR(SEARCH("Sem Data Final",I1)))</formula>
    </cfRule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ntainsText" dxfId="5" priority="183" operator="containsText" text="Desconhecido">
      <formula>NOT(ISERROR(SEARCH("Desconhecido",H1)))</formula>
    </cfRule>
  </conditionalFormatting>
  <conditionalFormatting sqref="BX1:BX1048576">
    <cfRule type="colorScale" priority="18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S1:AS1048576">
    <cfRule type="colorScale" priority="177">
      <colorScale>
        <cfvo type="min"/>
        <cfvo type="max"/>
        <color rgb="FFFCFCFF"/>
        <color rgb="FFF8696B"/>
      </colorScale>
    </cfRule>
  </conditionalFormatting>
  <conditionalFormatting sqref="AT1:AT1048576">
    <cfRule type="iconSet" priority="174">
      <iconSet iconSet="3Arrows">
        <cfvo type="percent" val="0"/>
        <cfvo type="percent" val="33"/>
        <cfvo type="percent" val="67"/>
      </iconSet>
    </cfRule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U1048576">
    <cfRule type="iconSet" priority="173">
      <iconSet iconSet="3Arrows">
        <cfvo type="percent" val="0"/>
        <cfvo type="percent" val="33"/>
        <cfvo type="percent" val="67"/>
      </iconSet>
    </cfRule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X1:DX1048576">
    <cfRule type="iconSet" priority="171">
      <iconSet iconSet="3Arrows">
        <cfvo type="percent" val="0"/>
        <cfvo type="percent" val="33"/>
        <cfvo type="percent" val="67"/>
      </iconSet>
    </cfRule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U1:DU1048576">
    <cfRule type="iconSet" priority="16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V1:DV1048576">
    <cfRule type="iconSet" priority="155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68">
      <colorScale>
        <cfvo type="min"/>
        <cfvo type="max"/>
        <color rgb="FFFCFCFF"/>
        <color rgb="FFF8696B"/>
      </colorScale>
    </cfRule>
  </conditionalFormatting>
  <conditionalFormatting sqref="DW1:DW1048576">
    <cfRule type="iconSet" priority="154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67">
      <colorScale>
        <cfvo type="min"/>
        <cfvo type="max"/>
        <color rgb="FFFCFCFF"/>
        <color rgb="FFF8696B"/>
      </colorScale>
    </cfRule>
  </conditionalFormatting>
  <conditionalFormatting sqref="DR1:DR1048576">
    <cfRule type="iconSet" priority="157">
      <iconSet iconSet="3ArrowsGray">
        <cfvo type="percent" val="0"/>
        <cfvo type="percent" val="33"/>
        <cfvo type="percent" val="67"/>
      </iconSet>
    </cfRule>
    <cfRule type="colorScale" priority="158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DS1:DS1048576">
    <cfRule type="iconSet" priority="156">
      <iconSet iconSet="3ArrowsGray">
        <cfvo type="percent" val="0"/>
        <cfvo type="percent" val="33"/>
        <cfvo type="percent" val="67"/>
      </iconSet>
    </cfRule>
    <cfRule type="colorScale" priority="162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CW1:CW1048576">
    <cfRule type="iconSet" priority="159">
      <iconSet iconSet="3ArrowsGray" reverse="1">
        <cfvo type="percent" val="0"/>
        <cfvo type="percent" val="33"/>
        <cfvo type="percent" val="67"/>
      </iconSet>
    </cfRule>
    <cfRule type="colorScale" priority="160">
      <colorScale>
        <cfvo type="min"/>
        <cfvo type="max"/>
        <color rgb="FFFCFCFF"/>
        <color rgb="FFF8696B"/>
      </colorScale>
    </cfRule>
  </conditionalFormatting>
  <conditionalFormatting sqref="CQ1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Q1:CQ1048576">
    <cfRule type="iconSet" priority="14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1:CR1048576">
    <cfRule type="iconSet" priority="14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1:CN1048576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149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1:CO1048576">
    <cfRule type="iconSet" priority="14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:CP1048576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{2AEA3033-7C19-411F-9B7F-5FC683A115C2}</x14:id>
        </ext>
      </extLst>
    </cfRule>
    <cfRule type="colorScale" priority="145">
      <colorScale>
        <cfvo type="min"/>
        <cfvo type="percentile" val="50"/>
        <cfvo type="max"/>
        <color rgb="FFF8696B"/>
        <color rgb="FFFCFCFF"/>
        <color rgb="FF00B0F0"/>
      </colorScale>
    </cfRule>
  </conditionalFormatting>
  <conditionalFormatting sqref="BW1:BW1048576">
    <cfRule type="colorScale" priority="14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1:BY1048576">
    <cfRule type="colorScale" priority="1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K1:BK1048576">
    <cfRule type="iconSet" priority="133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135">
      <colorScale>
        <cfvo type="min"/>
        <cfvo type="percentile" val="50"/>
        <cfvo type="max"/>
        <color theme="0" tint="0.79998168889431442"/>
        <color rgb="FF9BC2E6"/>
        <color rgb="FF2F75B5"/>
      </colorScale>
    </cfRule>
  </conditionalFormatting>
  <conditionalFormatting sqref="BL1:BL1048576">
    <cfRule type="iconSet" priority="132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134">
      <colorScale>
        <cfvo type="min"/>
        <cfvo type="percentile" val="50"/>
        <cfvo type="max"/>
        <color theme="0" tint="0.79998168889431442"/>
        <color rgb="FF9BC2E6"/>
        <color rgb="FF2F75B5"/>
      </colorScale>
    </cfRule>
  </conditionalFormatting>
  <conditionalFormatting sqref="ED1:ED1048576">
    <cfRule type="iconSet" priority="119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23">
      <colorScale>
        <cfvo type="min"/>
        <cfvo type="max"/>
        <color rgb="FFFCFCFF"/>
        <color rgb="FFF8696B"/>
      </colorScale>
    </cfRule>
  </conditionalFormatting>
  <conditionalFormatting sqref="EE1:EE1048576">
    <cfRule type="iconSet" priority="118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22">
      <colorScale>
        <cfvo type="min"/>
        <cfvo type="max"/>
        <color rgb="FFFCFCFF"/>
        <color rgb="FFF8696B"/>
      </colorScale>
    </cfRule>
  </conditionalFormatting>
  <conditionalFormatting sqref="EF1:EF1048576">
    <cfRule type="iconSet" priority="117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21">
      <colorScale>
        <cfvo type="min"/>
        <cfvo type="max"/>
        <color rgb="FFFCFCFF"/>
        <color rgb="FFF8696B"/>
      </colorScale>
    </cfRule>
  </conditionalFormatting>
  <conditionalFormatting sqref="EG1:EG1048576">
    <cfRule type="iconSet" priority="116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20">
      <colorScale>
        <cfvo type="min"/>
        <cfvo type="max"/>
        <color rgb="FFFCFCFF"/>
        <color rgb="FFF8696B"/>
      </colorScale>
    </cfRule>
  </conditionalFormatting>
  <conditionalFormatting sqref="AW1:AW1048576">
    <cfRule type="iconSet" priority="9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:AX1048576">
    <cfRule type="iconSet" priority="8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:AV1048576">
    <cfRule type="colorScale" priority="106">
      <colorScale>
        <cfvo type="min"/>
        <cfvo type="max"/>
        <color rgb="FFFFEF9C"/>
        <color rgb="FF63BE7B"/>
      </colorScale>
    </cfRule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:BF1048576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:BG1048576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1:BH1048576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1:BI104857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1:BJ1048576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:BA1048576">
    <cfRule type="iconSet" priority="8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1:AY1048576">
    <cfRule type="iconSet" priority="8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1:AZ1048576">
    <cfRule type="iconSet" priority="8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048576">
    <cfRule type="colorScale" priority="2373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">
    <cfRule type="colorScale" priority="2373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373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2373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J1048576">
    <cfRule type="colorScale" priority="23736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1:BB1048576">
    <cfRule type="dataBar" priority="82">
      <dataBar>
        <cfvo type="min"/>
        <cfvo type="max"/>
        <color rgb="FF00759E"/>
      </dataBar>
      <extLst>
        <ext xmlns:x14="http://schemas.microsoft.com/office/spreadsheetml/2009/9/main" uri="{B025F937-C7B1-47D3-B67F-A62EFF666E3E}">
          <x14:id>{9EE375F2-184F-4598-85E9-EEDEF77B01F9}</x14:id>
        </ext>
      </extLst>
    </cfRule>
  </conditionalFormatting>
  <conditionalFormatting sqref="AJ1:AJ1048576">
    <cfRule type="dataBar" priority="80">
      <dataBar>
        <cfvo type="min"/>
        <cfvo type="max"/>
        <color rgb="FF9A0000"/>
      </dataBar>
      <extLst>
        <ext xmlns:x14="http://schemas.microsoft.com/office/spreadsheetml/2009/9/main" uri="{B025F937-C7B1-47D3-B67F-A62EFF666E3E}">
          <x14:id>{E60392A9-025E-4DEB-B8DE-053CB841D837}</x14:id>
        </ext>
      </extLst>
    </cfRule>
  </conditionalFormatting>
  <conditionalFormatting sqref="AK1:AK1048576">
    <cfRule type="dataBar" priority="79">
      <dataBar>
        <cfvo type="min"/>
        <cfvo type="max"/>
        <color rgb="FF9A0000"/>
      </dataBar>
      <extLst>
        <ext xmlns:x14="http://schemas.microsoft.com/office/spreadsheetml/2009/9/main" uri="{B025F937-C7B1-47D3-B67F-A62EFF666E3E}">
          <x14:id>{65CAD4F3-9D45-4E39-BF2E-B11AE48893C5}</x14:id>
        </ext>
      </extLst>
    </cfRule>
  </conditionalFormatting>
  <conditionalFormatting sqref="BE1:BE1048576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{BBE8573A-A27D-4438-9A8D-897D172F2E24}</x14:id>
        </ext>
      </extLst>
    </cfRule>
    <cfRule type="colorScale" priority="78">
      <colorScale>
        <cfvo type="num" val="-9.9999999999999991E-22"/>
        <cfvo type="num" val="0"/>
        <cfvo type="num" val="1"/>
        <color rgb="FFFBA3A5"/>
        <color theme="4" tint="0.79998168889431442"/>
        <color rgb="FF00B0F0"/>
      </colorScale>
    </cfRule>
  </conditionalFormatting>
  <conditionalFormatting sqref="CG1:CG1048576">
    <cfRule type="colorScale" priority="76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H1:CH1048576">
    <cfRule type="colorScale" priority="75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I1:CI1048576">
    <cfRule type="colorScale" priority="74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J1:CJ1048576">
    <cfRule type="dataBar" priority="73">
      <dataBar>
        <cfvo type="min"/>
        <cfvo type="max"/>
        <color rgb="FF0D97FF"/>
      </dataBar>
      <extLst>
        <ext xmlns:x14="http://schemas.microsoft.com/office/spreadsheetml/2009/9/main" uri="{B025F937-C7B1-47D3-B67F-A62EFF666E3E}">
          <x14:id>{11D64A83-7A8C-48DE-B5F9-50AE3B3CDC01}</x14:id>
        </ext>
      </extLst>
    </cfRule>
  </conditionalFormatting>
  <conditionalFormatting sqref="CM1:CM1048576">
    <cfRule type="dataBar" priority="72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{76B643AD-0B76-4A4D-8183-D87F782085A9}</x14:id>
        </ext>
      </extLst>
    </cfRule>
  </conditionalFormatting>
  <conditionalFormatting sqref="U1:U1048576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{DE0112C0-4E83-4D87-BDA9-14D607E71F1B}</x14:id>
        </ext>
      </extLst>
    </cfRule>
    <cfRule type="colorScale" priority="36">
      <colorScale>
        <cfvo type="min"/>
        <cfvo type="percentile" val="50"/>
        <cfvo type="max"/>
        <color rgb="FFF8696B"/>
        <color theme="6" tint="0.79998168889431442"/>
        <color rgb="FF00B0F0"/>
      </colorScale>
    </cfRule>
  </conditionalFormatting>
  <conditionalFormatting sqref="V1:V104857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{9353CEAC-9A12-4647-9FA7-78248C8082A2}</x14:id>
        </ext>
      </extLst>
    </cfRule>
    <cfRule type="colorScale" priority="34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W1:W1048576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{16945FE4-5190-49A6-B654-0E66A0CE42C2}</x14:id>
        </ext>
      </extLst>
    </cfRule>
    <cfRule type="colorScale" priority="33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X1:X1048576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{71E70157-23DE-4968-9F85-226722CAC57B}</x14:id>
        </ext>
      </extLst>
    </cfRule>
    <cfRule type="colorScale" priority="32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Y1:Y1048576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{46E4D2DA-BFBF-447A-88E9-BACF3064715C}</x14:id>
        </ext>
      </extLst>
    </cfRule>
    <cfRule type="colorScale" priority="31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Z1:Z104857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{6F876B10-56DE-4138-942F-61309957E6C4}</x14:id>
        </ext>
      </extLst>
    </cfRule>
    <cfRule type="colorScale" priority="30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A1:AA1048576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{DEAB641F-52A8-4F62-A2F3-67FA3C0D6D3A}</x14:id>
        </ext>
      </extLst>
    </cfRule>
    <cfRule type="colorScale" priority="29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B1:AB1048576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{9A4E28FF-0F61-493B-955D-336E6F618791}</x14:id>
        </ext>
      </extLst>
    </cfRule>
    <cfRule type="colorScale" priority="28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BC1:BC1048576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{FEE01AE2-A858-443F-A379-6101EB8DCC1E}</x14:id>
        </ext>
      </extLst>
    </cfRule>
    <cfRule type="colorScale" priority="20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BD1:BD1048576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{E0289788-C46A-4E50-9163-40D3BEA8D4DB}</x14:id>
        </ext>
      </extLst>
    </cfRule>
    <cfRule type="colorScale" priority="17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I1:AI104857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:AF1048576">
    <cfRule type="dataBar" priority="13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{B2440787-A19F-4AA3-B979-734448C1C96B}</x14:id>
        </ext>
      </extLst>
    </cfRule>
  </conditionalFormatting>
  <conditionalFormatting sqref="AG1:AG1048576">
    <cfRule type="dataBar" priority="12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{40A97135-17D7-4076-9218-36D4232AE887}</x14:id>
        </ext>
      </extLst>
    </cfRule>
  </conditionalFormatting>
  <conditionalFormatting sqref="CK1:CK1048576">
    <cfRule type="dataBar" priority="11">
      <dataBar>
        <cfvo type="min"/>
        <cfvo type="max"/>
        <color rgb="FF9A0000"/>
      </dataBar>
      <extLst>
        <ext xmlns:x14="http://schemas.microsoft.com/office/spreadsheetml/2009/9/main" uri="{B025F937-C7B1-47D3-B67F-A62EFF666E3E}">
          <x14:id>{55CAA2A7-37E2-4C25-BB1B-736891C429B7}</x14:id>
        </ext>
      </extLst>
    </cfRule>
  </conditionalFormatting>
  <conditionalFormatting sqref="CL1:CL1048576">
    <cfRule type="dataBar" priority="10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{85E881C4-4478-475E-9BC6-D1CCB61F43BE}</x14:id>
        </ext>
      </extLst>
    </cfRule>
  </conditionalFormatting>
  <conditionalFormatting sqref="CF1:CF1048576">
    <cfRule type="colorScale" priority="9">
      <colorScale>
        <cfvo type="min"/>
        <cfvo type="max"/>
        <color rgb="FFFFEF9C"/>
        <color rgb="FF63BE7B"/>
      </colorScale>
    </cfRule>
  </conditionalFormatting>
  <conditionalFormatting sqref="DC1:DC1048576">
    <cfRule type="iconSet" priority="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8">
      <dataBar>
        <cfvo type="min"/>
        <cfvo type="max"/>
        <color rgb="FF348850"/>
      </dataBar>
      <extLst>
        <ext xmlns:x14="http://schemas.microsoft.com/office/spreadsheetml/2009/9/main" uri="{B025F937-C7B1-47D3-B67F-A62EFF666E3E}">
          <x14:id>{C10A5743-2E0A-4009-BE31-B6B900340B7E}</x14:id>
        </ext>
      </extLst>
    </cfRule>
  </conditionalFormatting>
  <conditionalFormatting sqref="DD1:DD1048576">
    <cfRule type="iconSet" priority="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7">
      <dataBar>
        <cfvo type="min"/>
        <cfvo type="max"/>
        <color rgb="FF348850"/>
      </dataBar>
      <extLst>
        <ext xmlns:x14="http://schemas.microsoft.com/office/spreadsheetml/2009/9/main" uri="{B025F937-C7B1-47D3-B67F-A62EFF666E3E}">
          <x14:id>{B07B3CE0-05B8-4799-8E6C-EB6682F3ABA9}</x14:id>
        </ext>
      </extLst>
    </cfRule>
  </conditionalFormatting>
  <conditionalFormatting sqref="DE1:DE1048576">
    <cfRule type="iconSet" priority="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6">
      <dataBar>
        <cfvo type="min"/>
        <cfvo type="max"/>
        <color rgb="FF348850"/>
      </dataBar>
      <extLst>
        <ext xmlns:x14="http://schemas.microsoft.com/office/spreadsheetml/2009/9/main" uri="{B025F937-C7B1-47D3-B67F-A62EFF666E3E}">
          <x14:id>{25A53874-37AE-488A-8ED9-403B2C051EBE}</x14:id>
        </ext>
      </extLst>
    </cfRule>
  </conditionalFormatting>
  <conditionalFormatting sqref="DF1:DF1048576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5">
      <dataBar>
        <cfvo type="min"/>
        <cfvo type="max"/>
        <color rgb="FF348850"/>
      </dataBar>
      <extLst>
        <ext xmlns:x14="http://schemas.microsoft.com/office/spreadsheetml/2009/9/main" uri="{B025F937-C7B1-47D3-B67F-A62EFF666E3E}">
          <x14:id>{A06B09DE-A970-41E9-B415-50B9F0810608}</x14:id>
        </ext>
      </extLst>
    </cfRule>
  </conditionalFormatting>
  <conditionalFormatting sqref="EV12:EV1048576">
    <cfRule type="colorScale" priority="245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12:CV1048576 CS1:CT11">
    <cfRule type="colorScale" priority="24513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2:BN1048576">
    <cfRule type="colorScale" priority="24513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12:BU1048576 BM1:BU11">
    <cfRule type="colorScale" priority="24513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12:BR1048576 BM1:BR11">
    <cfRule type="colorScale" priority="24513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2:BU11">
    <cfRule type="colorScale" priority="24513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2:BT11">
    <cfRule type="colorScale" priority="24513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2:BT11">
    <cfRule type="colorScale" priority="24513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51316">
      <colorScale>
        <cfvo type="min"/>
        <cfvo type="max"/>
        <color rgb="FF63BE7B"/>
        <color rgb="FFFCFCFF"/>
      </colorScale>
    </cfRule>
  </conditionalFormatting>
  <conditionalFormatting sqref="BU2:BU11">
    <cfRule type="colorScale" priority="24513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2:BU11">
    <cfRule type="colorScale" priority="24513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51319">
      <colorScale>
        <cfvo type="min"/>
        <cfvo type="max"/>
        <color rgb="FF63BE7B"/>
        <color rgb="FFFCFCFF"/>
      </colorScale>
    </cfRule>
  </conditionalFormatting>
  <conditionalFormatting sqref="DQ2:DQ11">
    <cfRule type="colorScale" priority="24513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Q2:DQ11">
    <cfRule type="colorScale" priority="24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1:BQ11">
    <cfRule type="colorScale" priority="2451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H2:EH11">
    <cfRule type="colorScale" priority="24513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H2:EH11">
    <cfRule type="colorScale" priority="245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1">
    <cfRule type="colorScale" priority="24513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51326">
      <colorScale>
        <cfvo type="min"/>
        <cfvo type="max"/>
        <color rgb="FFFCFCFF"/>
        <color rgb="FFF8696B"/>
      </colorScale>
    </cfRule>
  </conditionalFormatting>
  <conditionalFormatting sqref="AQ2:AQ11">
    <cfRule type="colorScale" priority="24513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51328">
      <colorScale>
        <cfvo type="min"/>
        <cfvo type="max"/>
        <color rgb="FFFCFCFF"/>
        <color rgb="FFF8696B"/>
      </colorScale>
    </cfRule>
  </conditionalFormatting>
  <conditionalFormatting sqref="DQ1:DQ11">
    <cfRule type="colorScale" priority="2451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Y1:DY11">
    <cfRule type="colorScale" priority="24513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Y2:DY11">
    <cfRule type="colorScale" priority="2451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Y2:DY11">
    <cfRule type="colorScale" priority="245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J11">
    <cfRule type="colorScale" priority="24513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A451C48-7E1E-4E6A-816D-B3356C1124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AEA3033-7C19-411F-9B7F-5FC683A115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CP1:CP1048576</xm:sqref>
        </x14:conditionalFormatting>
        <x14:conditionalFormatting xmlns:xm="http://schemas.microsoft.com/office/excel/2006/main">
          <x14:cfRule type="dataBar" id="{9EE375F2-184F-4598-85E9-EEDEF77B01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BB1:BB1048576</xm:sqref>
        </x14:conditionalFormatting>
        <x14:conditionalFormatting xmlns:xm="http://schemas.microsoft.com/office/excel/2006/main">
          <x14:cfRule type="dataBar" id="{E60392A9-025E-4DEB-B8DE-053CB841D8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AJ1:AJ1048576</xm:sqref>
        </x14:conditionalFormatting>
        <x14:conditionalFormatting xmlns:xm="http://schemas.microsoft.com/office/excel/2006/main">
          <x14:cfRule type="dataBar" id="{65CAD4F3-9D45-4E39-BF2E-B11AE48893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AK1:AK1048576</xm:sqref>
        </x14:conditionalFormatting>
        <x14:conditionalFormatting xmlns:xm="http://schemas.microsoft.com/office/excel/2006/main">
          <x14:cfRule type="dataBar" id="{BBE8573A-A27D-4438-9A8D-897D172F2E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BE1:BE1048576</xm:sqref>
        </x14:conditionalFormatting>
        <x14:conditionalFormatting xmlns:xm="http://schemas.microsoft.com/office/excel/2006/main">
          <x14:cfRule type="dataBar" id="{11D64A83-7A8C-48DE-B5F9-50AE3B3CDC0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CJ1:CJ1048576</xm:sqref>
        </x14:conditionalFormatting>
        <x14:conditionalFormatting xmlns:xm="http://schemas.microsoft.com/office/excel/2006/main">
          <x14:cfRule type="dataBar" id="{76B643AD-0B76-4A4D-8183-D87F782085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CM1:CM1048576</xm:sqref>
        </x14:conditionalFormatting>
        <x14:conditionalFormatting xmlns:xm="http://schemas.microsoft.com/office/excel/2006/main">
          <x14:cfRule type="dataBar" id="{DE0112C0-4E83-4D87-BDA9-14D607E71F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U1:U1048576</xm:sqref>
        </x14:conditionalFormatting>
        <x14:conditionalFormatting xmlns:xm="http://schemas.microsoft.com/office/excel/2006/main">
          <x14:cfRule type="dataBar" id="{9353CEAC-9A12-4647-9FA7-78248C8082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V1:V1048576</xm:sqref>
        </x14:conditionalFormatting>
        <x14:conditionalFormatting xmlns:xm="http://schemas.microsoft.com/office/excel/2006/main">
          <x14:cfRule type="dataBar" id="{16945FE4-5190-49A6-B654-0E66A0CE42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W1:W1048576</xm:sqref>
        </x14:conditionalFormatting>
        <x14:conditionalFormatting xmlns:xm="http://schemas.microsoft.com/office/excel/2006/main">
          <x14:cfRule type="dataBar" id="{71E70157-23DE-4968-9F85-226722CAC5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X1:X1048576</xm:sqref>
        </x14:conditionalFormatting>
        <x14:conditionalFormatting xmlns:xm="http://schemas.microsoft.com/office/excel/2006/main">
          <x14:cfRule type="dataBar" id="{46E4D2DA-BFBF-447A-88E9-BACF306471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Y1:Y1048576</xm:sqref>
        </x14:conditionalFormatting>
        <x14:conditionalFormatting xmlns:xm="http://schemas.microsoft.com/office/excel/2006/main">
          <x14:cfRule type="dataBar" id="{6F876B10-56DE-4138-942F-61309957E6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  <x14:conditionalFormatting xmlns:xm="http://schemas.microsoft.com/office/excel/2006/main">
          <x14:cfRule type="dataBar" id="{DEAB641F-52A8-4F62-A2F3-67FA3C0D6D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AA1:AA1048576</xm:sqref>
        </x14:conditionalFormatting>
        <x14:conditionalFormatting xmlns:xm="http://schemas.microsoft.com/office/excel/2006/main">
          <x14:cfRule type="dataBar" id="{9A4E28FF-0F61-493B-955D-336E6F6187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AB1:AB1048576</xm:sqref>
        </x14:conditionalFormatting>
        <x14:conditionalFormatting xmlns:xm="http://schemas.microsoft.com/office/excel/2006/main">
          <x14:cfRule type="dataBar" id="{FEE01AE2-A858-443F-A379-6101EB8DCC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BC1:BC1048576</xm:sqref>
        </x14:conditionalFormatting>
        <x14:conditionalFormatting xmlns:xm="http://schemas.microsoft.com/office/excel/2006/main">
          <x14:cfRule type="dataBar" id="{E0289788-C46A-4E50-9163-40D3BEA8D4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BD1:BD1048576</xm:sqref>
        </x14:conditionalFormatting>
        <x14:conditionalFormatting xmlns:xm="http://schemas.microsoft.com/office/excel/2006/main">
          <x14:cfRule type="dataBar" id="{B2440787-A19F-4AA3-B979-734448C1C96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AF1:AF1048576</xm:sqref>
        </x14:conditionalFormatting>
        <x14:conditionalFormatting xmlns:xm="http://schemas.microsoft.com/office/excel/2006/main">
          <x14:cfRule type="dataBar" id="{40A97135-17D7-4076-9218-36D4232AE8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AG1:AG1048576</xm:sqref>
        </x14:conditionalFormatting>
        <x14:conditionalFormatting xmlns:xm="http://schemas.microsoft.com/office/excel/2006/main">
          <x14:cfRule type="dataBar" id="{55CAA2A7-37E2-4C25-BB1B-736891C429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CK1:CK1048576</xm:sqref>
        </x14:conditionalFormatting>
        <x14:conditionalFormatting xmlns:xm="http://schemas.microsoft.com/office/excel/2006/main">
          <x14:cfRule type="dataBar" id="{85E881C4-4478-475E-9BC6-D1CCB61F43B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CL1:CL1048576</xm:sqref>
        </x14:conditionalFormatting>
        <x14:conditionalFormatting xmlns:xm="http://schemas.microsoft.com/office/excel/2006/main">
          <x14:cfRule type="dataBar" id="{C10A5743-2E0A-4009-BE31-B6B900340B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DC1:DC1048576</xm:sqref>
        </x14:conditionalFormatting>
        <x14:conditionalFormatting xmlns:xm="http://schemas.microsoft.com/office/excel/2006/main">
          <x14:cfRule type="dataBar" id="{B07B3CE0-05B8-4799-8E6C-EB6682F3AB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DD1:DD1048576</xm:sqref>
        </x14:conditionalFormatting>
        <x14:conditionalFormatting xmlns:xm="http://schemas.microsoft.com/office/excel/2006/main">
          <x14:cfRule type="dataBar" id="{25A53874-37AE-488A-8ED9-403B2C051EB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DE1:DE1048576</xm:sqref>
        </x14:conditionalFormatting>
        <x14:conditionalFormatting xmlns:xm="http://schemas.microsoft.com/office/excel/2006/main">
          <x14:cfRule type="dataBar" id="{A06B09DE-A970-41E9-B415-50B9F08106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DF1:DF1048576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4" tint="-0.249977111117893"/>
  </sheetPr>
  <dimension ref="A1:FD11"/>
  <sheetViews>
    <sheetView zoomScale="90" zoomScaleNormal="90" workbookViewId="0">
      <pane xSplit="2" ySplit="1" topLeftCell="R2" activePane="bottomRight" state="frozen"/>
      <selection activeCell="G1" sqref="G1:G1048576"/>
      <selection pane="topRight" activeCell="G1" sqref="G1:G1048576"/>
      <selection pane="bottomLeft" activeCell="G1" sqref="G1:G1048576"/>
      <selection pane="bottomRight" activeCell="U1" sqref="U1:AB1"/>
    </sheetView>
  </sheetViews>
  <sheetFormatPr defaultColWidth="15.7109375" defaultRowHeight="24.95" customHeight="1" x14ac:dyDescent="0.25"/>
  <cols>
    <col min="1" max="1" width="9.140625" customWidth="1"/>
    <col min="2" max="2" width="30.7109375" customWidth="1"/>
    <col min="3" max="3" width="12.5703125" customWidth="1"/>
    <col min="4" max="4" width="21.7109375" customWidth="1"/>
    <col min="5" max="5" width="23.85546875" bestFit="1" customWidth="1"/>
    <col min="6" max="6" width="14" customWidth="1"/>
    <col min="7" max="7" width="15.7109375" customWidth="1"/>
    <col min="8" max="8" width="17.140625" customWidth="1"/>
    <col min="9" max="9" width="16.85546875" customWidth="1"/>
    <col min="10" max="11" width="15.7109375" customWidth="1"/>
    <col min="12" max="108" width="18.7109375" customWidth="1"/>
    <col min="109" max="109" width="18.7109375" style="103" customWidth="1"/>
    <col min="110" max="110" width="9.7109375" style="1" customWidth="1"/>
    <col min="111" max="111" width="12.7109375" style="152" customWidth="1"/>
    <col min="112" max="114" width="12.7109375" style="1" customWidth="1"/>
    <col min="115" max="115" width="12.7109375" style="152" customWidth="1"/>
    <col min="116" max="159" width="12.7109375" style="1" customWidth="1"/>
    <col min="160" max="160" width="12.7109375" style="152" customWidth="1"/>
  </cols>
  <sheetData>
    <row r="1" spans="1:160" ht="50.1" customHeight="1" thickBot="1" x14ac:dyDescent="0.3">
      <c r="A1" s="112"/>
      <c r="B1" s="4" t="s">
        <v>20</v>
      </c>
      <c r="C1" s="4" t="s">
        <v>214</v>
      </c>
      <c r="D1" s="94" t="s">
        <v>232</v>
      </c>
      <c r="E1" s="4" t="s">
        <v>28</v>
      </c>
      <c r="F1" s="4" t="s">
        <v>29</v>
      </c>
      <c r="G1" s="4" t="s">
        <v>1</v>
      </c>
      <c r="H1" s="85" t="s">
        <v>3</v>
      </c>
      <c r="I1" s="4" t="s">
        <v>2</v>
      </c>
      <c r="J1" s="4" t="s">
        <v>231</v>
      </c>
      <c r="K1" s="4" t="s">
        <v>121</v>
      </c>
      <c r="L1" s="30" t="s">
        <v>420</v>
      </c>
      <c r="M1" s="30" t="s">
        <v>421</v>
      </c>
      <c r="N1" s="30" t="s">
        <v>424</v>
      </c>
      <c r="O1" s="224" t="s">
        <v>22</v>
      </c>
      <c r="P1" s="224" t="s">
        <v>24</v>
      </c>
      <c r="Q1" s="224" t="s">
        <v>23</v>
      </c>
      <c r="R1" s="224" t="s">
        <v>191</v>
      </c>
      <c r="S1" s="98" t="s">
        <v>38</v>
      </c>
      <c r="T1" s="98" t="s">
        <v>416</v>
      </c>
      <c r="U1" s="46" t="s">
        <v>332</v>
      </c>
      <c r="V1" s="46" t="s">
        <v>333</v>
      </c>
      <c r="W1" s="46" t="s">
        <v>334</v>
      </c>
      <c r="X1" s="46" t="s">
        <v>335</v>
      </c>
      <c r="Y1" s="46" t="s">
        <v>336</v>
      </c>
      <c r="Z1" s="46" t="s">
        <v>337</v>
      </c>
      <c r="AA1" s="46" t="s">
        <v>356</v>
      </c>
      <c r="AB1" s="46" t="s">
        <v>327</v>
      </c>
      <c r="AC1" s="104" t="s">
        <v>241</v>
      </c>
      <c r="AD1" s="104" t="s">
        <v>238</v>
      </c>
      <c r="AE1" s="105" t="s">
        <v>239</v>
      </c>
      <c r="AF1" s="104" t="s">
        <v>240</v>
      </c>
      <c r="AG1" s="52" t="s">
        <v>182</v>
      </c>
      <c r="AH1" s="52" t="s">
        <v>137</v>
      </c>
      <c r="AI1" s="52" t="s">
        <v>43</v>
      </c>
      <c r="AJ1" s="52" t="s">
        <v>138</v>
      </c>
      <c r="AK1" s="195" t="s">
        <v>247</v>
      </c>
      <c r="AL1" s="195" t="s">
        <v>252</v>
      </c>
      <c r="AM1" s="52" t="s">
        <v>71</v>
      </c>
      <c r="AN1" s="144" t="s">
        <v>69</v>
      </c>
      <c r="AO1" s="144" t="s">
        <v>254</v>
      </c>
      <c r="AP1" s="34" t="s">
        <v>99</v>
      </c>
      <c r="AQ1" s="34" t="s">
        <v>255</v>
      </c>
      <c r="AR1" s="34" t="s">
        <v>112</v>
      </c>
      <c r="AS1" s="34" t="s">
        <v>256</v>
      </c>
      <c r="AT1" s="15" t="s">
        <v>113</v>
      </c>
      <c r="AU1" s="4" t="s">
        <v>82</v>
      </c>
      <c r="AV1" s="4" t="s">
        <v>607</v>
      </c>
      <c r="AW1" s="4" t="s">
        <v>544</v>
      </c>
      <c r="AX1" s="4" t="s">
        <v>545</v>
      </c>
      <c r="AY1" s="4" t="s">
        <v>543</v>
      </c>
      <c r="AZ1" s="4" t="s">
        <v>27</v>
      </c>
      <c r="BA1" s="165" t="s">
        <v>44</v>
      </c>
      <c r="BB1" s="166" t="s">
        <v>178</v>
      </c>
      <c r="BC1" s="38" t="s">
        <v>286</v>
      </c>
      <c r="BD1" s="38" t="s">
        <v>738</v>
      </c>
      <c r="BE1" s="38" t="s">
        <v>285</v>
      </c>
      <c r="BF1" s="38" t="s">
        <v>284</v>
      </c>
      <c r="BG1" s="80" t="s">
        <v>283</v>
      </c>
      <c r="BH1" s="4" t="s">
        <v>390</v>
      </c>
      <c r="BI1" s="4" t="s">
        <v>608</v>
      </c>
      <c r="BJ1" s="4" t="s">
        <v>140</v>
      </c>
      <c r="BK1" s="4" t="s">
        <v>486</v>
      </c>
      <c r="BL1" s="4" t="s">
        <v>47</v>
      </c>
      <c r="BM1" s="215" t="s">
        <v>433</v>
      </c>
      <c r="BN1" s="40" t="s">
        <v>699</v>
      </c>
      <c r="BO1" s="40" t="s">
        <v>447</v>
      </c>
      <c r="BP1" s="40" t="s">
        <v>350</v>
      </c>
      <c r="BQ1" s="19" t="s">
        <v>169</v>
      </c>
      <c r="BR1" s="19" t="s">
        <v>449</v>
      </c>
      <c r="BS1" s="196" t="s">
        <v>394</v>
      </c>
      <c r="BT1" s="196" t="s">
        <v>396</v>
      </c>
      <c r="BU1" s="4" t="s">
        <v>92</v>
      </c>
      <c r="BV1" s="4" t="s">
        <v>45</v>
      </c>
      <c r="BW1" s="51" t="s">
        <v>465</v>
      </c>
      <c r="BX1" s="51" t="s">
        <v>467</v>
      </c>
      <c r="BY1" s="319" t="s">
        <v>609</v>
      </c>
      <c r="BZ1" s="319" t="s">
        <v>610</v>
      </c>
      <c r="CA1" s="46" t="s">
        <v>611</v>
      </c>
      <c r="CB1" s="46" t="s">
        <v>133</v>
      </c>
      <c r="CC1" s="38" t="s">
        <v>340</v>
      </c>
      <c r="CD1" s="38" t="s">
        <v>612</v>
      </c>
      <c r="CE1" s="38" t="s">
        <v>341</v>
      </c>
      <c r="CF1" s="38" t="s">
        <v>613</v>
      </c>
      <c r="CG1" s="38" t="s">
        <v>139</v>
      </c>
      <c r="CH1" s="322" t="s">
        <v>463</v>
      </c>
      <c r="CI1" s="322" t="s">
        <v>464</v>
      </c>
      <c r="CJ1" s="46" t="s">
        <v>309</v>
      </c>
      <c r="CK1" s="46" t="s">
        <v>141</v>
      </c>
      <c r="CL1" s="115" t="s">
        <v>183</v>
      </c>
      <c r="CM1" s="115" t="s">
        <v>184</v>
      </c>
      <c r="CN1" s="115" t="s">
        <v>186</v>
      </c>
      <c r="CO1" s="116" t="s">
        <v>185</v>
      </c>
      <c r="CP1" s="120" t="s">
        <v>142</v>
      </c>
      <c r="CQ1" s="119" t="s">
        <v>145</v>
      </c>
      <c r="CR1" s="119" t="s">
        <v>143</v>
      </c>
      <c r="CS1" s="119" t="s">
        <v>146</v>
      </c>
      <c r="CT1" s="214" t="s">
        <v>451</v>
      </c>
      <c r="CU1" s="214" t="s">
        <v>452</v>
      </c>
      <c r="CV1" s="48" t="s">
        <v>144</v>
      </c>
      <c r="CW1" s="74" t="s">
        <v>188</v>
      </c>
      <c r="CX1" s="47" t="s">
        <v>427</v>
      </c>
      <c r="CY1" s="47" t="s">
        <v>81</v>
      </c>
      <c r="CZ1" s="47" t="s">
        <v>448</v>
      </c>
      <c r="DA1" s="72" t="s">
        <v>168</v>
      </c>
      <c r="DB1" s="43" t="s">
        <v>414</v>
      </c>
      <c r="DC1" s="43" t="s">
        <v>415</v>
      </c>
      <c r="DD1" s="43" t="s">
        <v>180</v>
      </c>
      <c r="DE1" s="110" t="s">
        <v>25</v>
      </c>
      <c r="DF1" s="310" t="s">
        <v>14</v>
      </c>
      <c r="DG1" s="307" t="s">
        <v>20</v>
      </c>
      <c r="DH1" s="307" t="s">
        <v>29</v>
      </c>
      <c r="DI1" s="307" t="s">
        <v>1</v>
      </c>
      <c r="DJ1" s="307" t="s">
        <v>2</v>
      </c>
      <c r="DK1" s="307" t="s">
        <v>3</v>
      </c>
      <c r="DL1" s="307" t="s">
        <v>620</v>
      </c>
      <c r="DM1" s="307" t="s">
        <v>40</v>
      </c>
      <c r="DN1" s="307" t="s">
        <v>89</v>
      </c>
      <c r="DO1" s="307" t="s">
        <v>0</v>
      </c>
      <c r="DP1" s="307" t="s">
        <v>621</v>
      </c>
      <c r="DQ1" s="307" t="s">
        <v>682</v>
      </c>
      <c r="DR1" s="307" t="s">
        <v>30</v>
      </c>
      <c r="DS1" s="307" t="s">
        <v>623</v>
      </c>
      <c r="DT1" s="307" t="s">
        <v>683</v>
      </c>
      <c r="DU1" s="307" t="s">
        <v>684</v>
      </c>
      <c r="DV1" s="307" t="s">
        <v>63</v>
      </c>
      <c r="DW1" s="307" t="s">
        <v>264</v>
      </c>
      <c r="DX1" s="307" t="s">
        <v>4</v>
      </c>
      <c r="DY1" s="307" t="s">
        <v>179</v>
      </c>
      <c r="DZ1" s="293" t="s">
        <v>167</v>
      </c>
      <c r="EA1" s="293" t="s">
        <v>166</v>
      </c>
      <c r="EB1" s="293" t="s">
        <v>7</v>
      </c>
      <c r="EC1" s="293" t="s">
        <v>11</v>
      </c>
      <c r="ED1" s="293" t="s">
        <v>17</v>
      </c>
      <c r="EE1" s="293" t="s">
        <v>187</v>
      </c>
      <c r="EF1" s="293" t="s">
        <v>15</v>
      </c>
      <c r="EG1" s="293" t="s">
        <v>16</v>
      </c>
      <c r="EH1" s="293" t="s">
        <v>648</v>
      </c>
      <c r="EI1" s="293" t="s">
        <v>647</v>
      </c>
      <c r="EJ1" s="293" t="s">
        <v>8</v>
      </c>
      <c r="EK1" s="293" t="s">
        <v>9</v>
      </c>
      <c r="EL1" s="293" t="s">
        <v>189</v>
      </c>
      <c r="EM1" s="293" t="s">
        <v>190</v>
      </c>
      <c r="EN1" s="293" t="s">
        <v>645</v>
      </c>
      <c r="EO1" s="293" t="s">
        <v>104</v>
      </c>
      <c r="EP1" s="293" t="s">
        <v>635</v>
      </c>
      <c r="EQ1" s="293" t="s">
        <v>48</v>
      </c>
      <c r="ER1" s="293" t="s">
        <v>253</v>
      </c>
      <c r="ES1" s="293" t="s">
        <v>41</v>
      </c>
      <c r="ET1" s="293" t="s">
        <v>236</v>
      </c>
      <c r="EU1" s="293" t="s">
        <v>49</v>
      </c>
      <c r="EV1" s="293" t="s">
        <v>93</v>
      </c>
      <c r="EW1" s="293" t="s">
        <v>94</v>
      </c>
      <c r="EX1" s="293" t="s">
        <v>12</v>
      </c>
      <c r="EY1" s="293" t="s">
        <v>685</v>
      </c>
      <c r="EZ1" s="293" t="s">
        <v>5</v>
      </c>
      <c r="FA1" s="293" t="s">
        <v>103</v>
      </c>
      <c r="FB1" s="293" t="s">
        <v>10</v>
      </c>
      <c r="FC1" s="293" t="s">
        <v>18</v>
      </c>
      <c r="FD1" s="294" t="s">
        <v>642</v>
      </c>
    </row>
    <row r="2" spans="1:160" ht="24.95" customHeight="1" thickBot="1" x14ac:dyDescent="0.3">
      <c r="A2" s="29" t="str">
        <f t="shared" ref="A2:A11" si="0">ROW()-1 &amp; "º"</f>
        <v>1º</v>
      </c>
      <c r="B2" s="70" t="str">
        <f t="shared" ref="B2:B11" si="1">DG2</f>
        <v>Braian Cufré</v>
      </c>
      <c r="C2" s="86" t="str">
        <f t="shared" ref="C2:C11" si="2">DL2</f>
        <v>ARG</v>
      </c>
      <c r="D2" s="99" t="str">
        <f t="shared" ref="D2:D11" si="3">DM2</f>
        <v>Somente Pé Esquerdo</v>
      </c>
      <c r="E2" s="65" t="str">
        <f t="shared" ref="E2:E11" si="4">DO2</f>
        <v>Remo</v>
      </c>
      <c r="F2" s="168">
        <f t="shared" ref="F2:F11" si="5">IFERROR(SUBSTITUTE(DH2," cm","")/100,0)</f>
        <v>1.78</v>
      </c>
      <c r="G2" s="170">
        <f t="shared" ref="G2:G11" si="6">DI2</f>
        <v>29</v>
      </c>
      <c r="H2" s="315" t="str">
        <f t="shared" ref="H2:H11" si="7">DK2</f>
        <v>12,5m € p/m</v>
      </c>
      <c r="I2" s="66" t="str">
        <f t="shared" ref="I2:I11" si="8">IF(DJ2="", "Sem valor estimado",
   IF(DJ2="Não está à venda", "Não está à venda",
   IF(LEN(DJ2)-LEN(SUBSTITUTE(DJ2, "-", ""))=0, DJ2,
   IFERROR(
      AVERAGE(
         VALUE(LEFT(DJ2, SEARCH("M", DJ2)-1)),
         VALUE(MID(DJ2, SEARCH("-", DJ2)+2, SEARCH("M", DJ2, SEARCH("-", DJ2))-SEARCH("-", DJ2)-2))
      ) &amp; IF(SEARCH("M", DJ2) &gt; 0, "M", "m"),
      "m"
   )
)))</f>
        <v>65,65M</v>
      </c>
      <c r="J2" s="96">
        <f t="shared" ref="J2:J11" si="9">IFERROR(AVERAGE(K:K),0)</f>
        <v>32.384444444444441</v>
      </c>
      <c r="K2" s="148">
        <f t="shared" ref="K2:K11" si="10">IFERROR(DP2/90,0)</f>
        <v>39.455555555555556</v>
      </c>
      <c r="L2" s="191">
        <f t="shared" ref="L2:L11" si="11">IFERROR(IF(ISERROR(FIND("(",DQ2)), VALUE(DQ2), VALUE(LEFT(DQ2,FIND("(",DQ2)-2)) + VALUE(MID(DQ2,FIND("(",DQ2)+1,FIND(")",DQ2)-FIND("(",DQ2)-1))),0)</f>
        <v>45</v>
      </c>
      <c r="M2" s="191">
        <f t="shared" ref="M2:M11" si="12">IFERROR(DP2/L2,0)</f>
        <v>78.911111111111111</v>
      </c>
      <c r="N2" s="192">
        <f t="shared" ref="N2:N11" si="13">IFERROR(IF(ISERROR(FIND("(",DQ2)), "100%", TEXT(VALUE(LEFT(DQ2,FIND("(",DQ2)-2)) / (VALUE(LEFT(DQ2,FIND("(",DQ2)-2)) + VALUE(MID(DQ2,FIND("(",DQ2)+1,FIND(")",DQ2)-FIND("(",DQ2)-1))),"0%")),0)*1</f>
        <v>0.96</v>
      </c>
      <c r="O2" s="55">
        <f t="shared" ref="O2:O11" si="14">DT2</f>
        <v>1</v>
      </c>
      <c r="P2" s="55">
        <f t="shared" ref="P2:P11" si="15">DU2</f>
        <v>5</v>
      </c>
      <c r="Q2" s="55">
        <f t="shared" ref="Q2:Q11" si="16">IFERROR(O2+P2,0)</f>
        <v>6</v>
      </c>
      <c r="R2" s="57">
        <f t="shared" ref="R2:R11" si="17">IFERROR(Q2/K2,0)</f>
        <v>0.15206983948183611</v>
      </c>
      <c r="S2" s="56">
        <f t="shared" ref="S2:S11" si="18">DR2</f>
        <v>2</v>
      </c>
      <c r="T2" s="63">
        <f t="shared" ref="T2:T11" si="19">IFERROR((S2*1)/K2,0)</f>
        <v>5.068994649394537E-2</v>
      </c>
      <c r="U2" s="57">
        <f t="shared" ref="U2:U11" si="20">SUBSTITUTE(EB2,".",",")*1</f>
        <v>1.95</v>
      </c>
      <c r="V2" s="57">
        <f t="shared" ref="V2:V11" si="21">IFERROR((U2/K2),0)</f>
        <v>4.9422697831596731E-2</v>
      </c>
      <c r="W2" s="57">
        <f t="shared" ref="W2:W11" si="22">IFERROR((VALUE(SUBSTITUTE(EB2,".",","))-(EZ2*0.79)),0)</f>
        <v>1.95</v>
      </c>
      <c r="X2" s="57">
        <f t="shared" ref="X2:X11" si="23">IFERROR(W2/K2,0)</f>
        <v>4.9422697831596731E-2</v>
      </c>
      <c r="Y2" s="57">
        <f t="shared" ref="Y2:Y11" si="24">VALUE(SUBSTITUTE(EA2,".",","))</f>
        <v>6.23</v>
      </c>
      <c r="Z2" s="57">
        <f t="shared" ref="Z2:Z11" si="25">IFERROR(Y2/K2,0)</f>
        <v>0.15789918332863984</v>
      </c>
      <c r="AA2" s="57">
        <f t="shared" ref="AA2:AA11" si="26">IFERROR(W2+Y2,0)</f>
        <v>8.18</v>
      </c>
      <c r="AB2" s="57">
        <f t="shared" ref="AB2:AB11" si="27">IFERROR(AA2/K2,0)</f>
        <v>0.20732188116023653</v>
      </c>
      <c r="AC2" s="56">
        <f t="shared" ref="AC2:AC11" si="28">EZ2</f>
        <v>0</v>
      </c>
      <c r="AD2" s="56">
        <f t="shared" ref="AD2:AD11" si="29">FA2</f>
        <v>0</v>
      </c>
      <c r="AE2" s="56">
        <f t="shared" ref="AE2:AE11" si="30">IFERROR(AC2-AD2,0)</f>
        <v>0</v>
      </c>
      <c r="AF2" s="60">
        <f t="shared" ref="AF2:AF11" si="31">IFERROR((AD2*1)/AC2,0.0000001)</f>
        <v>9.9999999999999995E-8</v>
      </c>
      <c r="AG2" s="56">
        <f t="shared" ref="AG2:AG11" si="32">EO2+EN2</f>
        <v>192</v>
      </c>
      <c r="AH2" s="57">
        <f t="shared" ref="AH2:AH11" si="33">IFERROR(AG2/K2,0)</f>
        <v>4.8662348634187556</v>
      </c>
      <c r="AI2" s="55">
        <f t="shared" ref="AI2:AI11" si="34">EP2</f>
        <v>86</v>
      </c>
      <c r="AJ2" s="57">
        <f t="shared" ref="AJ2:AJ11" si="35">IFERROR(AI2/K2,0)</f>
        <v>2.1796676992396509</v>
      </c>
      <c r="AK2" s="56">
        <f t="shared" ref="AK2:AK11" si="36">EO2-EP2</f>
        <v>33</v>
      </c>
      <c r="AL2" s="57">
        <f t="shared" ref="AL2:AL11" si="37">IFERROR(AK2/K2,0)</f>
        <v>0.83638411715009853</v>
      </c>
      <c r="AM2" s="114">
        <f t="shared" ref="AM2:AM11" si="38">IFERROR((AI2*1)/AG2,0)</f>
        <v>0.44791666666666669</v>
      </c>
      <c r="AN2" s="56">
        <f t="shared" ref="AN2:AN11" si="39">EN2</f>
        <v>73</v>
      </c>
      <c r="AO2" s="57">
        <f t="shared" ref="AO2:AO11" si="40">IFERROR(AN2/K2,0)</f>
        <v>1.8501830470290059</v>
      </c>
      <c r="AP2" s="56">
        <f t="shared" ref="AP2:AP11" si="41">IFERROR(EN2+EL2+EO2+ER2,0)</f>
        <v>589</v>
      </c>
      <c r="AQ2" s="57">
        <f t="shared" ref="AQ2:AQ11" si="42">IFERROR(AP2/K2,0)</f>
        <v>14.92818924246691</v>
      </c>
      <c r="AR2" s="56">
        <f t="shared" ref="AR2:AR11" si="43">IFERROR(EM2+EP2+EQ2+ER2,0)</f>
        <v>227</v>
      </c>
      <c r="AS2" s="57">
        <f t="shared" ref="AS2:AS11" si="44">IFERROR(AR2/K2,0)</f>
        <v>5.7533089270627995</v>
      </c>
      <c r="AT2" s="60">
        <f t="shared" ref="AT2:AT11" si="45">IFERROR((AR2*1)/AP2,0)</f>
        <v>0.38539898132427841</v>
      </c>
      <c r="AU2" s="61">
        <f t="shared" ref="AU2:AU11" si="46">EF2</f>
        <v>2508</v>
      </c>
      <c r="AV2" s="62">
        <f t="shared" ref="AV2:AV11" si="47">IFERROR(AU2/K2,0)</f>
        <v>63.565192903407493</v>
      </c>
      <c r="AW2" s="61">
        <f t="shared" ref="AW2:AW11" si="48">EG2</f>
        <v>2234</v>
      </c>
      <c r="AX2" s="62">
        <f t="shared" ref="AX2:AX11" si="49">AW2/K2</f>
        <v>56.620670233736973</v>
      </c>
      <c r="AY2" s="63">
        <f t="shared" ref="AY2:AY11" si="50">AW2/AU2</f>
        <v>0.89074960127591707</v>
      </c>
      <c r="AZ2" s="61">
        <f t="shared" ref="AZ2:AZ11" si="51">IFERROR((EF2-EG2)+(EV2-EW2),0)</f>
        <v>406</v>
      </c>
      <c r="BA2" s="57">
        <f t="shared" ref="BA2:BA11" si="52">IFERROR((AZ2/K2),0)</f>
        <v>10.290059138270909</v>
      </c>
      <c r="BB2" s="57">
        <f t="shared" ref="BB2:BB11" si="53">IFERROR(EF2/(EF2-EG2),0)</f>
        <v>9.1532846715328464</v>
      </c>
      <c r="BC2" s="56">
        <f t="shared" ref="BC2:BC11" si="54">EF2-EI2</f>
        <v>2164</v>
      </c>
      <c r="BD2" s="57">
        <f t="shared" ref="BD2:BD11" si="55">IFERROR(BC2/K2,0)</f>
        <v>54.846522106448887</v>
      </c>
      <c r="BE2" s="56">
        <f t="shared" ref="BE2:BE11" si="56">EI2</f>
        <v>344</v>
      </c>
      <c r="BF2" s="57">
        <f t="shared" ref="BF2:BF11" si="57">BE2/K2</f>
        <v>8.7186707969586035</v>
      </c>
      <c r="BG2" s="316">
        <f t="shared" ref="BG2:BG11" si="58">IFERROR(EI2/BC2,0)</f>
        <v>0.15896487985212571</v>
      </c>
      <c r="BH2" s="56">
        <f t="shared" ref="BH2:BH11" si="59">EV2</f>
        <v>166</v>
      </c>
      <c r="BI2" s="57">
        <f t="shared" ref="BI2:BI11" si="60">EV2/K2</f>
        <v>4.2072655589974657</v>
      </c>
      <c r="BJ2" s="56">
        <f t="shared" ref="BJ2:BJ11" si="61">EW2</f>
        <v>34</v>
      </c>
      <c r="BK2" s="57">
        <f t="shared" ref="BK2:BK11" si="62">EW2/K2</f>
        <v>0.86172909039707124</v>
      </c>
      <c r="BL2" s="59">
        <f t="shared" ref="BL2:BL11" si="63">IFERROR((BJ2*1)/BH2,0)</f>
        <v>0.20481927710843373</v>
      </c>
      <c r="BM2" s="56">
        <f t="shared" ref="BM2:BM11" si="64">EH2</f>
        <v>63</v>
      </c>
      <c r="BN2" s="57">
        <f t="shared" ref="BN2:BN11" si="65">IFERROR(BM2/K2,0)</f>
        <v>1.596733314559279</v>
      </c>
      <c r="BO2" s="57">
        <f t="shared" ref="BO2:BO11" si="66">IFERROR(DP2/(DX2+EH2+EK2),0)</f>
        <v>39.455555555555556</v>
      </c>
      <c r="BP2" s="57">
        <f t="shared" ref="BP2:BP11" si="67">IFERROR((DP2/EH2),0)</f>
        <v>56.365079365079367</v>
      </c>
      <c r="BQ2" s="57">
        <f t="shared" ref="BQ2:BQ11" si="68">IFERROR(VALUE(SUBSTITUTE(EA2,".",",")),0)</f>
        <v>6.23</v>
      </c>
      <c r="BR2" s="57">
        <f t="shared" ref="BR2:BR11" si="69">IFERROR(BQ2-DU2,0)</f>
        <v>1.2300000000000004</v>
      </c>
      <c r="BS2" s="317">
        <f t="shared" ref="BS2:BS11" si="70">IFERROR(EW2+EH2+BQ2+DX2,0)</f>
        <v>119.23</v>
      </c>
      <c r="BT2" s="318">
        <f t="shared" ref="BT2:BT11" si="71">IFERROR(BS2/K2,0)</f>
        <v>3.021881160236553</v>
      </c>
      <c r="BU2" s="320">
        <f t="shared" ref="BU2:BU11" si="72">FB2</f>
        <v>39</v>
      </c>
      <c r="BV2" s="321">
        <f t="shared" ref="BV2:BV11" si="73">IFERROR(BU2/K2,0)</f>
        <v>0.98845395663193469</v>
      </c>
      <c r="BW2" s="56">
        <f t="shared" ref="BW2:BW11" si="74">EQ2</f>
        <v>4</v>
      </c>
      <c r="BX2" s="57">
        <f t="shared" ref="BX2:BX11" si="75">IFERROR(BW2/K2,0)</f>
        <v>0.10137989298789074</v>
      </c>
      <c r="BY2" s="317">
        <f t="shared" ref="BY2:BY11" si="76">DS2</f>
        <v>0</v>
      </c>
      <c r="BZ2" s="318">
        <f t="shared" ref="BZ2:BZ11" si="77">IFERROR(BY2/K2,0)</f>
        <v>0</v>
      </c>
      <c r="CA2" s="56">
        <f t="shared" ref="CA2:CA11" si="78">IFERROR(EF2+FB2+EJ2+DX2+EX2+EH2+AG2+EQ2+ES2+EV2+EZ2+EY2+ED2,0)</f>
        <v>3219</v>
      </c>
      <c r="CB2" s="57">
        <f t="shared" ref="CB2:CB11" si="79">IFERROR(CA2/K2,0)</f>
        <v>81.585468882005074</v>
      </c>
      <c r="CC2" s="56">
        <f t="shared" ref="CC2:CC11" si="80">EC2</f>
        <v>110</v>
      </c>
      <c r="CD2" s="57">
        <f t="shared" ref="CD2:CD11" si="81">CC2/K2</f>
        <v>2.7879470571669951</v>
      </c>
      <c r="CE2" s="56">
        <f t="shared" ref="CE2:CE11" si="82">ED2</f>
        <v>54</v>
      </c>
      <c r="CF2" s="57">
        <f t="shared" ref="CF2:CF11" si="83">CE2/K2</f>
        <v>1.3686285553365249</v>
      </c>
      <c r="CG2" s="63">
        <f t="shared" ref="CG2:CG11" si="84">IFERROR((ED2*1)/EC2,0)</f>
        <v>0.49090909090909091</v>
      </c>
      <c r="CH2" s="213">
        <f t="shared" ref="CH2:CH11" si="85">IFERROR((CI2*K2),0)</f>
        <v>7.8911111111111119</v>
      </c>
      <c r="CI2" s="212">
        <f t="shared" ref="CI2:CI11" si="86">IFERROR(EE2,0)</f>
        <v>0.2</v>
      </c>
      <c r="CJ2" s="305">
        <f t="shared" ref="CJ2:CJ11" si="87">IFERROR((EQ2*0.5)+EP2+ES2+CH2,0)</f>
        <v>242.89111111111112</v>
      </c>
      <c r="CK2" s="306">
        <f t="shared" ref="CK2:CK11" si="88">IFERROR(CJ2/K2,0)</f>
        <v>6.1560687130385805</v>
      </c>
      <c r="CL2" s="56">
        <f t="shared" ref="CL2:CL11" si="89">IFERROR(EV2+FB2+EJ2+DX2+EH2,0)</f>
        <v>312</v>
      </c>
      <c r="CM2" s="56">
        <f t="shared" ref="CM2:CM11" si="90">IFERROR(EW2+(EH2+(EH2*0.5))+EK2+FB2+DX2,0)</f>
        <v>194.5</v>
      </c>
      <c r="CN2" s="57">
        <f t="shared" ref="CN2:CN11" si="91">IFERROR(CM2/K2,0)</f>
        <v>4.9295972965361869</v>
      </c>
      <c r="CO2" s="63">
        <f t="shared" ref="CO2:CO11" si="92">IFERROR((CM2*1)/CL2,0)</f>
        <v>0.6233974358974359</v>
      </c>
      <c r="CP2" s="56">
        <f t="shared" ref="CP2:CP11" si="93">IFERROR((DS2*3)+(DV2*1.33)+(DW2*2)+EC2+EO2+ES2+EU2+ER2+ET2+EN2,0)</f>
        <v>534.63</v>
      </c>
      <c r="CQ2" s="57">
        <f t="shared" ref="CQ2:CQ11" si="94">IFERROR(CP2/K2,0)</f>
        <v>13.550183047029005</v>
      </c>
      <c r="CR2" s="56">
        <f t="shared" ref="CR2:CR11" si="95">IFERROR(ED2+EP2+ES2+EU2+ER2+ET2+EQ2+(CH2*0.5),0)</f>
        <v>365.94555555555553</v>
      </c>
      <c r="CS2" s="212">
        <f t="shared" ref="CS2:CS11" si="96">IFERROR(CR2/K2,0)</f>
        <v>9.2748803154041113</v>
      </c>
      <c r="CT2" s="213">
        <f t="shared" ref="CT2:CT11" si="97">IFERROR((DS2*3)+(DV2*1.25)+(DW2*2)+EN2,0)</f>
        <v>86.75</v>
      </c>
      <c r="CU2" s="212">
        <f t="shared" ref="CU2:CU11" si="98">IFERROR((CT2/K2),0)</f>
        <v>2.1986764291748804</v>
      </c>
      <c r="CV2" s="63">
        <f t="shared" ref="CV2:CV11" si="99">IFERROR(CR2/CP2,0)</f>
        <v>0.68448376551176615</v>
      </c>
      <c r="CW2" s="63">
        <f t="shared" ref="CW2:CW11" si="100">IFERROR(((CR2+CM2)*1)/(CL2+CP2),0)</f>
        <v>0.66197223764283752</v>
      </c>
      <c r="CX2" s="184">
        <f t="shared" ref="CX2:CX11" si="101">IFERROR(VALUE(SUBSTITUTE(FC2, " km", "")),0)</f>
        <v>490.4</v>
      </c>
      <c r="CY2" s="185">
        <f t="shared" ref="CY2:CY11" si="102">IFERROR(CX2/K2,0)</f>
        <v>12.429174880315404</v>
      </c>
      <c r="CZ2" s="186">
        <f t="shared" ref="CZ2:CZ11" si="103">IFERROR((DA2*K2),0)</f>
        <v>761.49222222222227</v>
      </c>
      <c r="DA2" s="185">
        <f t="shared" ref="DA2:DA11" si="104">DZ2</f>
        <v>19.3</v>
      </c>
      <c r="DB2" s="186">
        <f t="shared" ref="DB2:DB11" si="105">IFERROR((EC2-ED2)+(EF2-EG2)+(EV2-EW2),0)</f>
        <v>462</v>
      </c>
      <c r="DC2" s="185">
        <f t="shared" ref="DC2:DC11" si="106">IFERROR(DB2/K2,0)</f>
        <v>11.70937764010138</v>
      </c>
      <c r="DD2" s="185">
        <f t="shared" ref="DD2:DD11" si="107">DY2</f>
        <v>12.4</v>
      </c>
      <c r="DE2" s="62">
        <f t="shared" ref="DE2:DE11" si="108">IFERROR(VALUE(SUBSTITUTE(FD2, ".", ",")),0)</f>
        <v>6.94</v>
      </c>
      <c r="DF2" s="311"/>
      <c r="DG2" s="308" t="s">
        <v>719</v>
      </c>
      <c r="DH2" s="308" t="s">
        <v>550</v>
      </c>
      <c r="DI2" s="308">
        <v>29</v>
      </c>
      <c r="DJ2" s="308" t="s">
        <v>661</v>
      </c>
      <c r="DK2" s="308" t="s">
        <v>674</v>
      </c>
      <c r="DL2" s="308" t="s">
        <v>478</v>
      </c>
      <c r="DM2" s="308" t="s">
        <v>649</v>
      </c>
      <c r="DN2" s="313">
        <v>47118</v>
      </c>
      <c r="DO2" s="308" t="s">
        <v>558</v>
      </c>
      <c r="DP2" s="308">
        <v>3551</v>
      </c>
      <c r="DQ2" s="308" t="s">
        <v>720</v>
      </c>
      <c r="DR2" s="308">
        <v>2</v>
      </c>
      <c r="DS2" s="308">
        <v>0</v>
      </c>
      <c r="DT2" s="308">
        <v>1</v>
      </c>
      <c r="DU2" s="308">
        <v>5</v>
      </c>
      <c r="DV2" s="308">
        <v>11</v>
      </c>
      <c r="DW2" s="308">
        <v>0</v>
      </c>
      <c r="DX2" s="308">
        <v>16</v>
      </c>
      <c r="DY2" s="308">
        <v>12.4</v>
      </c>
      <c r="DZ2" s="295">
        <v>19.3</v>
      </c>
      <c r="EA2" s="295" t="s">
        <v>742</v>
      </c>
      <c r="EB2" s="295" t="s">
        <v>739</v>
      </c>
      <c r="EC2" s="295">
        <v>110</v>
      </c>
      <c r="ED2" s="295">
        <v>54</v>
      </c>
      <c r="EE2" s="295">
        <v>0.2</v>
      </c>
      <c r="EF2" s="295">
        <v>2508</v>
      </c>
      <c r="EG2" s="295">
        <v>2234</v>
      </c>
      <c r="EH2" s="295">
        <v>63</v>
      </c>
      <c r="EI2" s="295">
        <v>344</v>
      </c>
      <c r="EJ2" s="295">
        <v>28</v>
      </c>
      <c r="EK2" s="295">
        <v>11</v>
      </c>
      <c r="EL2" s="295">
        <v>377</v>
      </c>
      <c r="EM2" s="295">
        <v>117</v>
      </c>
      <c r="EN2" s="295">
        <v>73</v>
      </c>
      <c r="EO2" s="295">
        <v>119</v>
      </c>
      <c r="EP2" s="295">
        <v>86</v>
      </c>
      <c r="EQ2" s="295">
        <v>4</v>
      </c>
      <c r="ER2" s="295">
        <v>20</v>
      </c>
      <c r="ES2" s="295">
        <v>147</v>
      </c>
      <c r="ET2" s="295">
        <v>16</v>
      </c>
      <c r="EU2" s="295">
        <v>35</v>
      </c>
      <c r="EV2" s="295">
        <v>166</v>
      </c>
      <c r="EW2" s="295">
        <v>34</v>
      </c>
      <c r="EX2" s="295">
        <v>2</v>
      </c>
      <c r="EY2" s="295">
        <v>0</v>
      </c>
      <c r="EZ2" s="295">
        <v>0</v>
      </c>
      <c r="FA2" s="295">
        <v>0</v>
      </c>
      <c r="FB2" s="295">
        <v>39</v>
      </c>
      <c r="FC2" s="295" t="s">
        <v>721</v>
      </c>
      <c r="FD2" s="300">
        <v>6.94</v>
      </c>
    </row>
    <row r="3" spans="1:160" ht="24.95" customHeight="1" thickBot="1" x14ac:dyDescent="0.3">
      <c r="A3" s="29" t="str">
        <f t="shared" si="0"/>
        <v>2º</v>
      </c>
      <c r="B3" s="70" t="str">
        <f t="shared" si="1"/>
        <v>Cuiabano</v>
      </c>
      <c r="C3" s="86" t="str">
        <f t="shared" si="2"/>
        <v>BRA</v>
      </c>
      <c r="D3" s="99" t="str">
        <f t="shared" si="3"/>
        <v>Pé Esquerdo</v>
      </c>
      <c r="E3" s="65" t="str">
        <f t="shared" si="4"/>
        <v>Vasco da Gama</v>
      </c>
      <c r="F3" s="168">
        <f t="shared" si="5"/>
        <v>1.79</v>
      </c>
      <c r="G3" s="170">
        <f t="shared" si="6"/>
        <v>23</v>
      </c>
      <c r="H3" s="315" t="str">
        <f t="shared" si="7"/>
        <v>97,5m € p/m</v>
      </c>
      <c r="I3" s="66" t="str">
        <f t="shared" si="8"/>
        <v>12,35M</v>
      </c>
      <c r="J3" s="96">
        <f t="shared" si="9"/>
        <v>32.384444444444441</v>
      </c>
      <c r="K3" s="148">
        <f t="shared" si="10"/>
        <v>36.144444444444446</v>
      </c>
      <c r="L3" s="191">
        <f t="shared" si="11"/>
        <v>41</v>
      </c>
      <c r="M3" s="191">
        <f t="shared" si="12"/>
        <v>79.341463414634148</v>
      </c>
      <c r="N3" s="192">
        <f t="shared" si="13"/>
        <v>0.98</v>
      </c>
      <c r="O3" s="55">
        <f t="shared" si="14"/>
        <v>2</v>
      </c>
      <c r="P3" s="55">
        <f t="shared" si="15"/>
        <v>9</v>
      </c>
      <c r="Q3" s="55">
        <f t="shared" si="16"/>
        <v>11</v>
      </c>
      <c r="R3" s="57">
        <f t="shared" si="17"/>
        <v>0.30433446049800184</v>
      </c>
      <c r="S3" s="56">
        <f t="shared" si="18"/>
        <v>1</v>
      </c>
      <c r="T3" s="63">
        <f t="shared" si="19"/>
        <v>2.7666769136181987E-2</v>
      </c>
      <c r="U3" s="57">
        <f t="shared" si="20"/>
        <v>2.73</v>
      </c>
      <c r="V3" s="57">
        <f t="shared" si="21"/>
        <v>7.5530279741776812E-2</v>
      </c>
      <c r="W3" s="57">
        <f t="shared" si="22"/>
        <v>1.94</v>
      </c>
      <c r="X3" s="57">
        <f t="shared" si="23"/>
        <v>5.3673532124193048E-2</v>
      </c>
      <c r="Y3" s="57">
        <f t="shared" si="24"/>
        <v>5.07</v>
      </c>
      <c r="Z3" s="57">
        <f t="shared" si="25"/>
        <v>0.14027051952044267</v>
      </c>
      <c r="AA3" s="57">
        <f t="shared" si="26"/>
        <v>7.01</v>
      </c>
      <c r="AB3" s="57">
        <f t="shared" si="27"/>
        <v>0.19394405164463571</v>
      </c>
      <c r="AC3" s="56">
        <f t="shared" si="28"/>
        <v>1</v>
      </c>
      <c r="AD3" s="56">
        <f t="shared" si="29"/>
        <v>0</v>
      </c>
      <c r="AE3" s="56">
        <f t="shared" si="30"/>
        <v>1</v>
      </c>
      <c r="AF3" s="60">
        <f t="shared" si="31"/>
        <v>0</v>
      </c>
      <c r="AG3" s="56">
        <f t="shared" si="32"/>
        <v>167</v>
      </c>
      <c r="AH3" s="57">
        <f t="shared" si="33"/>
        <v>4.6203504457423916</v>
      </c>
      <c r="AI3" s="55">
        <f t="shared" si="34"/>
        <v>87</v>
      </c>
      <c r="AJ3" s="57">
        <f t="shared" si="35"/>
        <v>2.4070089148478329</v>
      </c>
      <c r="AK3" s="56">
        <f t="shared" si="36"/>
        <v>27</v>
      </c>
      <c r="AL3" s="57">
        <f t="shared" si="37"/>
        <v>0.74700276667691357</v>
      </c>
      <c r="AM3" s="114">
        <f t="shared" si="38"/>
        <v>0.52095808383233533</v>
      </c>
      <c r="AN3" s="56">
        <f t="shared" si="39"/>
        <v>53</v>
      </c>
      <c r="AO3" s="57">
        <f t="shared" si="40"/>
        <v>1.4663387642176453</v>
      </c>
      <c r="AP3" s="56">
        <f t="shared" si="41"/>
        <v>546</v>
      </c>
      <c r="AQ3" s="57">
        <f t="shared" si="42"/>
        <v>15.106055948355364</v>
      </c>
      <c r="AR3" s="56">
        <f t="shared" si="43"/>
        <v>213</v>
      </c>
      <c r="AS3" s="57">
        <f t="shared" si="44"/>
        <v>5.8930218260067626</v>
      </c>
      <c r="AT3" s="60">
        <f t="shared" si="45"/>
        <v>0.39010989010989011</v>
      </c>
      <c r="AU3" s="61">
        <f t="shared" si="46"/>
        <v>2067</v>
      </c>
      <c r="AV3" s="62">
        <f t="shared" si="47"/>
        <v>57.187211804488165</v>
      </c>
      <c r="AW3" s="61">
        <f t="shared" si="48"/>
        <v>1823</v>
      </c>
      <c r="AX3" s="62">
        <f t="shared" si="49"/>
        <v>50.436520135259755</v>
      </c>
      <c r="AY3" s="63">
        <f t="shared" si="50"/>
        <v>0.88195452346395742</v>
      </c>
      <c r="AZ3" s="61">
        <f t="shared" si="51"/>
        <v>393</v>
      </c>
      <c r="BA3" s="57">
        <f t="shared" si="52"/>
        <v>10.873040270519519</v>
      </c>
      <c r="BB3" s="57">
        <f t="shared" si="53"/>
        <v>8.471311475409836</v>
      </c>
      <c r="BC3" s="56">
        <f t="shared" si="54"/>
        <v>1780</v>
      </c>
      <c r="BD3" s="57">
        <f t="shared" si="55"/>
        <v>49.246849062403932</v>
      </c>
      <c r="BE3" s="56">
        <f t="shared" si="56"/>
        <v>287</v>
      </c>
      <c r="BF3" s="57">
        <f t="shared" si="57"/>
        <v>7.94036274208423</v>
      </c>
      <c r="BG3" s="316">
        <f t="shared" si="58"/>
        <v>0.16123595505617977</v>
      </c>
      <c r="BH3" s="56">
        <f t="shared" si="59"/>
        <v>187</v>
      </c>
      <c r="BI3" s="57">
        <f t="shared" si="60"/>
        <v>5.1736858284660308</v>
      </c>
      <c r="BJ3" s="56">
        <f t="shared" si="61"/>
        <v>38</v>
      </c>
      <c r="BK3" s="57">
        <f t="shared" si="62"/>
        <v>1.0513372271749155</v>
      </c>
      <c r="BL3" s="59">
        <f t="shared" si="63"/>
        <v>0.20320855614973263</v>
      </c>
      <c r="BM3" s="56">
        <f t="shared" si="64"/>
        <v>65</v>
      </c>
      <c r="BN3" s="57">
        <f t="shared" si="65"/>
        <v>1.798339993851829</v>
      </c>
      <c r="BO3" s="57">
        <f t="shared" si="66"/>
        <v>39.670731707317074</v>
      </c>
      <c r="BP3" s="57">
        <f t="shared" si="67"/>
        <v>50.04615384615385</v>
      </c>
      <c r="BQ3" s="57">
        <f t="shared" si="68"/>
        <v>5.07</v>
      </c>
      <c r="BR3" s="57">
        <f t="shared" si="69"/>
        <v>-3.9299999999999997</v>
      </c>
      <c r="BS3" s="317">
        <f t="shared" si="70"/>
        <v>118.07</v>
      </c>
      <c r="BT3" s="318">
        <f t="shared" si="71"/>
        <v>3.2666154319090066</v>
      </c>
      <c r="BU3" s="320">
        <f t="shared" si="72"/>
        <v>73</v>
      </c>
      <c r="BV3" s="321">
        <f t="shared" si="73"/>
        <v>2.0196741469412851</v>
      </c>
      <c r="BW3" s="56">
        <f t="shared" si="74"/>
        <v>5</v>
      </c>
      <c r="BX3" s="57">
        <f t="shared" si="75"/>
        <v>0.13833384568090992</v>
      </c>
      <c r="BY3" s="317">
        <f t="shared" si="76"/>
        <v>0</v>
      </c>
      <c r="BZ3" s="318">
        <f t="shared" si="77"/>
        <v>0</v>
      </c>
      <c r="CA3" s="56">
        <f t="shared" si="78"/>
        <v>2823</v>
      </c>
      <c r="CB3" s="57">
        <f t="shared" si="79"/>
        <v>78.103289271441739</v>
      </c>
      <c r="CC3" s="56">
        <f t="shared" si="80"/>
        <v>107</v>
      </c>
      <c r="CD3" s="57">
        <f t="shared" si="81"/>
        <v>2.9603442975714724</v>
      </c>
      <c r="CE3" s="56">
        <f t="shared" si="82"/>
        <v>65</v>
      </c>
      <c r="CF3" s="57">
        <f t="shared" si="83"/>
        <v>1.798339993851829</v>
      </c>
      <c r="CG3" s="63">
        <f t="shared" si="84"/>
        <v>0.60747663551401865</v>
      </c>
      <c r="CH3" s="213">
        <f t="shared" si="85"/>
        <v>7.2288888888888891</v>
      </c>
      <c r="CI3" s="212">
        <f t="shared" si="86"/>
        <v>0.2</v>
      </c>
      <c r="CJ3" s="305">
        <f t="shared" si="87"/>
        <v>244.72888888888889</v>
      </c>
      <c r="CK3" s="306">
        <f t="shared" si="88"/>
        <v>6.7708576698432212</v>
      </c>
      <c r="CL3" s="56">
        <f t="shared" si="89"/>
        <v>363</v>
      </c>
      <c r="CM3" s="56">
        <f t="shared" si="90"/>
        <v>225.5</v>
      </c>
      <c r="CN3" s="57">
        <f t="shared" si="91"/>
        <v>6.2388564402090374</v>
      </c>
      <c r="CO3" s="63">
        <f t="shared" si="92"/>
        <v>0.62121212121212122</v>
      </c>
      <c r="CP3" s="56">
        <f t="shared" si="93"/>
        <v>484.31</v>
      </c>
      <c r="CQ3" s="57">
        <f t="shared" si="94"/>
        <v>13.399292960344297</v>
      </c>
      <c r="CR3" s="56">
        <f t="shared" si="95"/>
        <v>359.61444444444442</v>
      </c>
      <c r="CS3" s="212">
        <f t="shared" si="96"/>
        <v>9.9493698124807857</v>
      </c>
      <c r="CT3" s="213">
        <f t="shared" si="97"/>
        <v>63.75</v>
      </c>
      <c r="CU3" s="212">
        <f t="shared" si="98"/>
        <v>1.7637565324316016</v>
      </c>
      <c r="CV3" s="63">
        <f t="shared" si="99"/>
        <v>0.74252946345201298</v>
      </c>
      <c r="CW3" s="63">
        <f t="shared" si="100"/>
        <v>0.69055533918453038</v>
      </c>
      <c r="CX3" s="184">
        <f t="shared" si="101"/>
        <v>457.2</v>
      </c>
      <c r="CY3" s="185">
        <f t="shared" si="102"/>
        <v>12.649246849062402</v>
      </c>
      <c r="CZ3" s="186">
        <f t="shared" si="103"/>
        <v>755.41888888888889</v>
      </c>
      <c r="DA3" s="185">
        <f t="shared" si="104"/>
        <v>20.9</v>
      </c>
      <c r="DB3" s="186">
        <f t="shared" si="105"/>
        <v>435</v>
      </c>
      <c r="DC3" s="185">
        <f t="shared" si="106"/>
        <v>12.035044574239164</v>
      </c>
      <c r="DD3" s="185">
        <f t="shared" si="107"/>
        <v>12.5</v>
      </c>
      <c r="DE3" s="62">
        <f t="shared" si="108"/>
        <v>6.96</v>
      </c>
      <c r="DF3" s="311"/>
      <c r="DG3" s="308" t="s">
        <v>710</v>
      </c>
      <c r="DH3" s="308" t="s">
        <v>616</v>
      </c>
      <c r="DI3" s="308">
        <v>23</v>
      </c>
      <c r="DJ3" s="308" t="s">
        <v>711</v>
      </c>
      <c r="DK3" s="308" t="s">
        <v>712</v>
      </c>
      <c r="DL3" s="308" t="s">
        <v>13</v>
      </c>
      <c r="DM3" s="308" t="s">
        <v>651</v>
      </c>
      <c r="DN3" s="313">
        <v>47664</v>
      </c>
      <c r="DO3" s="308" t="s">
        <v>583</v>
      </c>
      <c r="DP3" s="308">
        <v>3253</v>
      </c>
      <c r="DQ3" s="308" t="s">
        <v>713</v>
      </c>
      <c r="DR3" s="308">
        <v>1</v>
      </c>
      <c r="DS3" s="308">
        <v>0</v>
      </c>
      <c r="DT3" s="308">
        <v>2</v>
      </c>
      <c r="DU3" s="308">
        <v>9</v>
      </c>
      <c r="DV3" s="308">
        <v>7</v>
      </c>
      <c r="DW3" s="308">
        <v>1</v>
      </c>
      <c r="DX3" s="308">
        <v>10</v>
      </c>
      <c r="DY3" s="308">
        <v>12.5</v>
      </c>
      <c r="DZ3" s="295">
        <v>20.9</v>
      </c>
      <c r="EA3" s="295" t="s">
        <v>754</v>
      </c>
      <c r="EB3" s="295" t="s">
        <v>747</v>
      </c>
      <c r="EC3" s="295">
        <v>107</v>
      </c>
      <c r="ED3" s="295">
        <v>65</v>
      </c>
      <c r="EE3" s="295">
        <v>0.2</v>
      </c>
      <c r="EF3" s="295">
        <v>2067</v>
      </c>
      <c r="EG3" s="295">
        <v>1823</v>
      </c>
      <c r="EH3" s="295">
        <v>65</v>
      </c>
      <c r="EI3" s="295">
        <v>287</v>
      </c>
      <c r="EJ3" s="295">
        <v>28</v>
      </c>
      <c r="EK3" s="295">
        <v>7</v>
      </c>
      <c r="EL3" s="295">
        <v>358</v>
      </c>
      <c r="EM3" s="295">
        <v>100</v>
      </c>
      <c r="EN3" s="295">
        <v>53</v>
      </c>
      <c r="EO3" s="295">
        <v>114</v>
      </c>
      <c r="EP3" s="295">
        <v>87</v>
      </c>
      <c r="EQ3" s="295">
        <v>5</v>
      </c>
      <c r="ER3" s="295">
        <v>21</v>
      </c>
      <c r="ES3" s="295">
        <v>148</v>
      </c>
      <c r="ET3" s="295">
        <v>10</v>
      </c>
      <c r="EU3" s="295">
        <v>20</v>
      </c>
      <c r="EV3" s="295">
        <v>187</v>
      </c>
      <c r="EW3" s="295">
        <v>38</v>
      </c>
      <c r="EX3" s="295">
        <v>7</v>
      </c>
      <c r="EY3" s="295">
        <v>0</v>
      </c>
      <c r="EZ3" s="295">
        <v>1</v>
      </c>
      <c r="FA3" s="295">
        <v>0</v>
      </c>
      <c r="FB3" s="295">
        <v>73</v>
      </c>
      <c r="FC3" s="295" t="s">
        <v>669</v>
      </c>
      <c r="FD3" s="300">
        <v>6.96</v>
      </c>
    </row>
    <row r="4" spans="1:160" ht="24.95" customHeight="1" thickBot="1" x14ac:dyDescent="0.3">
      <c r="A4" s="29" t="str">
        <f t="shared" si="0"/>
        <v>3º</v>
      </c>
      <c r="B4" s="70" t="str">
        <f t="shared" si="1"/>
        <v>Fágner</v>
      </c>
      <c r="C4" s="86" t="str">
        <f t="shared" si="2"/>
        <v>BRA</v>
      </c>
      <c r="D4" s="99" t="str">
        <f t="shared" si="3"/>
        <v>Pé Direito</v>
      </c>
      <c r="E4" s="65" t="str">
        <f t="shared" si="4"/>
        <v>Cruzeiro</v>
      </c>
      <c r="F4" s="168">
        <f t="shared" si="5"/>
        <v>1.68</v>
      </c>
      <c r="G4" s="170">
        <f t="shared" si="6"/>
        <v>37</v>
      </c>
      <c r="H4" s="315" t="str">
        <f t="shared" si="7"/>
        <v>150m € p/m</v>
      </c>
      <c r="I4" s="66" t="str">
        <f t="shared" si="8"/>
        <v>41,5M</v>
      </c>
      <c r="J4" s="96">
        <f t="shared" si="9"/>
        <v>32.384444444444441</v>
      </c>
      <c r="K4" s="148">
        <f t="shared" si="10"/>
        <v>25.31111111111111</v>
      </c>
      <c r="L4" s="191">
        <f t="shared" si="11"/>
        <v>45</v>
      </c>
      <c r="M4" s="191">
        <f t="shared" si="12"/>
        <v>50.62222222222222</v>
      </c>
      <c r="N4" s="192">
        <f t="shared" si="13"/>
        <v>0.51</v>
      </c>
      <c r="O4" s="55">
        <f t="shared" si="14"/>
        <v>1</v>
      </c>
      <c r="P4" s="55">
        <f t="shared" si="15"/>
        <v>7</v>
      </c>
      <c r="Q4" s="55">
        <f t="shared" si="16"/>
        <v>8</v>
      </c>
      <c r="R4" s="57">
        <f t="shared" si="17"/>
        <v>0.3160667251975417</v>
      </c>
      <c r="S4" s="56">
        <f t="shared" si="18"/>
        <v>0</v>
      </c>
      <c r="T4" s="63">
        <f t="shared" si="19"/>
        <v>0</v>
      </c>
      <c r="U4" s="57">
        <f t="shared" si="20"/>
        <v>1.77</v>
      </c>
      <c r="V4" s="57">
        <f t="shared" si="21"/>
        <v>6.9929762949956106E-2</v>
      </c>
      <c r="W4" s="57">
        <f t="shared" si="22"/>
        <v>1.77</v>
      </c>
      <c r="X4" s="57">
        <f t="shared" si="23"/>
        <v>6.9929762949956106E-2</v>
      </c>
      <c r="Y4" s="57">
        <f t="shared" si="24"/>
        <v>4.08</v>
      </c>
      <c r="Z4" s="57">
        <f t="shared" si="25"/>
        <v>0.16119402985074627</v>
      </c>
      <c r="AA4" s="57">
        <f t="shared" si="26"/>
        <v>5.85</v>
      </c>
      <c r="AB4" s="57">
        <f t="shared" si="27"/>
        <v>0.23112379280070236</v>
      </c>
      <c r="AC4" s="56">
        <f t="shared" si="28"/>
        <v>0</v>
      </c>
      <c r="AD4" s="56">
        <f t="shared" si="29"/>
        <v>0</v>
      </c>
      <c r="AE4" s="56">
        <f t="shared" si="30"/>
        <v>0</v>
      </c>
      <c r="AF4" s="60">
        <f t="shared" si="31"/>
        <v>9.9999999999999995E-8</v>
      </c>
      <c r="AG4" s="56">
        <f t="shared" si="32"/>
        <v>121</v>
      </c>
      <c r="AH4" s="57">
        <f t="shared" si="33"/>
        <v>4.7805092186128189</v>
      </c>
      <c r="AI4" s="55">
        <f t="shared" si="34"/>
        <v>58</v>
      </c>
      <c r="AJ4" s="57">
        <f t="shared" si="35"/>
        <v>2.2914837576821774</v>
      </c>
      <c r="AK4" s="56">
        <f t="shared" si="36"/>
        <v>28</v>
      </c>
      <c r="AL4" s="57">
        <f t="shared" si="37"/>
        <v>1.1062335381913959</v>
      </c>
      <c r="AM4" s="114">
        <f t="shared" si="38"/>
        <v>0.47933884297520662</v>
      </c>
      <c r="AN4" s="56">
        <f t="shared" si="39"/>
        <v>35</v>
      </c>
      <c r="AO4" s="57">
        <f t="shared" si="40"/>
        <v>1.3827919227392451</v>
      </c>
      <c r="AP4" s="56">
        <f t="shared" si="41"/>
        <v>341</v>
      </c>
      <c r="AQ4" s="57">
        <f t="shared" si="42"/>
        <v>13.472344161545216</v>
      </c>
      <c r="AR4" s="56">
        <f t="shared" si="43"/>
        <v>133</v>
      </c>
      <c r="AS4" s="57">
        <f t="shared" si="44"/>
        <v>5.2546093064091313</v>
      </c>
      <c r="AT4" s="60">
        <f t="shared" si="45"/>
        <v>0.39002932551319647</v>
      </c>
      <c r="AU4" s="61">
        <f t="shared" si="46"/>
        <v>1631</v>
      </c>
      <c r="AV4" s="62">
        <f t="shared" si="47"/>
        <v>64.438103599648812</v>
      </c>
      <c r="AW4" s="61">
        <f t="shared" si="48"/>
        <v>1465</v>
      </c>
      <c r="AX4" s="62">
        <f t="shared" si="49"/>
        <v>57.879719051799825</v>
      </c>
      <c r="AY4" s="63">
        <f t="shared" si="50"/>
        <v>0.89822194972409564</v>
      </c>
      <c r="AZ4" s="61">
        <f t="shared" si="51"/>
        <v>281</v>
      </c>
      <c r="BA4" s="57">
        <f t="shared" si="52"/>
        <v>11.101843722563652</v>
      </c>
      <c r="BB4" s="57">
        <f t="shared" si="53"/>
        <v>9.8253012048192776</v>
      </c>
      <c r="BC4" s="56">
        <f t="shared" si="54"/>
        <v>1413</v>
      </c>
      <c r="BD4" s="57">
        <f t="shared" si="55"/>
        <v>55.825285338015803</v>
      </c>
      <c r="BE4" s="56">
        <f t="shared" si="56"/>
        <v>218</v>
      </c>
      <c r="BF4" s="57">
        <f t="shared" si="57"/>
        <v>8.6128182616330111</v>
      </c>
      <c r="BG4" s="316">
        <f t="shared" si="58"/>
        <v>0.15428167020523709</v>
      </c>
      <c r="BH4" s="56">
        <f t="shared" si="59"/>
        <v>134</v>
      </c>
      <c r="BI4" s="57">
        <f t="shared" si="60"/>
        <v>5.2941176470588234</v>
      </c>
      <c r="BJ4" s="56">
        <f t="shared" si="61"/>
        <v>19</v>
      </c>
      <c r="BK4" s="57">
        <f t="shared" si="62"/>
        <v>0.75065847234416161</v>
      </c>
      <c r="BL4" s="59">
        <f t="shared" si="63"/>
        <v>0.1417910447761194</v>
      </c>
      <c r="BM4" s="56">
        <f t="shared" si="64"/>
        <v>50</v>
      </c>
      <c r="BN4" s="57">
        <f t="shared" si="65"/>
        <v>1.9754170324846356</v>
      </c>
      <c r="BO4" s="57">
        <f t="shared" si="66"/>
        <v>33.5</v>
      </c>
      <c r="BP4" s="57">
        <f t="shared" si="67"/>
        <v>45.56</v>
      </c>
      <c r="BQ4" s="57">
        <f t="shared" si="68"/>
        <v>4.08</v>
      </c>
      <c r="BR4" s="57">
        <f t="shared" si="69"/>
        <v>-2.92</v>
      </c>
      <c r="BS4" s="317">
        <f t="shared" si="70"/>
        <v>82.08</v>
      </c>
      <c r="BT4" s="318">
        <f t="shared" si="71"/>
        <v>3.2428446005267779</v>
      </c>
      <c r="BU4" s="320">
        <f t="shared" si="72"/>
        <v>22</v>
      </c>
      <c r="BV4" s="321">
        <f t="shared" si="73"/>
        <v>0.86918349429323971</v>
      </c>
      <c r="BW4" s="56">
        <f t="shared" si="74"/>
        <v>4</v>
      </c>
      <c r="BX4" s="57">
        <f t="shared" si="75"/>
        <v>0.15803336259877085</v>
      </c>
      <c r="BY4" s="317">
        <f t="shared" si="76"/>
        <v>0</v>
      </c>
      <c r="BZ4" s="318">
        <f t="shared" si="77"/>
        <v>0</v>
      </c>
      <c r="CA4" s="56">
        <f t="shared" si="78"/>
        <v>2119</v>
      </c>
      <c r="CB4" s="57">
        <f t="shared" si="79"/>
        <v>83.718173836698867</v>
      </c>
      <c r="CC4" s="56">
        <f t="shared" si="80"/>
        <v>77</v>
      </c>
      <c r="CD4" s="57">
        <f t="shared" si="81"/>
        <v>3.042142230026339</v>
      </c>
      <c r="CE4" s="56">
        <f t="shared" si="82"/>
        <v>26</v>
      </c>
      <c r="CF4" s="57">
        <f t="shared" si="83"/>
        <v>1.0272168568920106</v>
      </c>
      <c r="CG4" s="63">
        <f t="shared" si="84"/>
        <v>0.33766233766233766</v>
      </c>
      <c r="CH4" s="213">
        <f t="shared" si="85"/>
        <v>7.5933333333333328</v>
      </c>
      <c r="CI4" s="212">
        <f t="shared" si="86"/>
        <v>0.3</v>
      </c>
      <c r="CJ4" s="305">
        <f t="shared" si="87"/>
        <v>165.59333333333333</v>
      </c>
      <c r="CK4" s="306">
        <f t="shared" si="88"/>
        <v>6.5423178226514489</v>
      </c>
      <c r="CL4" s="56">
        <f t="shared" si="89"/>
        <v>234</v>
      </c>
      <c r="CM4" s="56">
        <f t="shared" si="90"/>
        <v>134</v>
      </c>
      <c r="CN4" s="57">
        <f t="shared" si="91"/>
        <v>5.2941176470588234</v>
      </c>
      <c r="CO4" s="63">
        <f t="shared" si="92"/>
        <v>0.57264957264957261</v>
      </c>
      <c r="CP4" s="56">
        <f t="shared" si="93"/>
        <v>361.65</v>
      </c>
      <c r="CQ4" s="57">
        <f t="shared" si="94"/>
        <v>14.28819139596137</v>
      </c>
      <c r="CR4" s="56">
        <f t="shared" si="95"/>
        <v>248.79666666666665</v>
      </c>
      <c r="CS4" s="212">
        <f t="shared" si="96"/>
        <v>9.8295434591747153</v>
      </c>
      <c r="CT4" s="213">
        <f t="shared" si="97"/>
        <v>41.25</v>
      </c>
      <c r="CU4" s="212">
        <f t="shared" si="98"/>
        <v>1.6297190517998246</v>
      </c>
      <c r="CV4" s="63">
        <f t="shared" si="99"/>
        <v>0.68794875339877415</v>
      </c>
      <c r="CW4" s="63">
        <f t="shared" si="100"/>
        <v>0.64265368365091358</v>
      </c>
      <c r="CX4" s="184">
        <f t="shared" si="101"/>
        <v>313</v>
      </c>
      <c r="CY4" s="185">
        <f t="shared" si="102"/>
        <v>12.366110623353819</v>
      </c>
      <c r="CZ4" s="186">
        <f t="shared" si="103"/>
        <v>448.0066666666666</v>
      </c>
      <c r="DA4" s="185">
        <f t="shared" si="104"/>
        <v>17.7</v>
      </c>
      <c r="DB4" s="186">
        <f t="shared" si="105"/>
        <v>332</v>
      </c>
      <c r="DC4" s="185">
        <f t="shared" si="106"/>
        <v>13.116769095697981</v>
      </c>
      <c r="DD4" s="185">
        <f t="shared" si="107"/>
        <v>11.8</v>
      </c>
      <c r="DE4" s="62">
        <f t="shared" si="108"/>
        <v>6.92</v>
      </c>
      <c r="DF4" s="312"/>
      <c r="DG4" s="309" t="s">
        <v>722</v>
      </c>
      <c r="DH4" s="309" t="s">
        <v>723</v>
      </c>
      <c r="DI4" s="309">
        <v>37</v>
      </c>
      <c r="DJ4" s="309" t="s">
        <v>678</v>
      </c>
      <c r="DK4" s="309" t="s">
        <v>724</v>
      </c>
      <c r="DL4" s="309" t="s">
        <v>13</v>
      </c>
      <c r="DM4" s="309" t="s">
        <v>643</v>
      </c>
      <c r="DN4" s="314">
        <v>46387</v>
      </c>
      <c r="DO4" s="309" t="s">
        <v>581</v>
      </c>
      <c r="DP4" s="309">
        <v>2278</v>
      </c>
      <c r="DQ4" s="309" t="s">
        <v>725</v>
      </c>
      <c r="DR4" s="309">
        <v>0</v>
      </c>
      <c r="DS4" s="309">
        <v>0</v>
      </c>
      <c r="DT4" s="309">
        <v>1</v>
      </c>
      <c r="DU4" s="309">
        <v>7</v>
      </c>
      <c r="DV4" s="309">
        <v>5</v>
      </c>
      <c r="DW4" s="309">
        <v>0</v>
      </c>
      <c r="DX4" s="309">
        <v>9</v>
      </c>
      <c r="DY4" s="309">
        <v>11.8</v>
      </c>
      <c r="DZ4" s="297">
        <v>17.7</v>
      </c>
      <c r="EA4" s="297" t="s">
        <v>755</v>
      </c>
      <c r="EB4" s="297" t="s">
        <v>748</v>
      </c>
      <c r="EC4" s="297">
        <v>77</v>
      </c>
      <c r="ED4" s="297">
        <v>26</v>
      </c>
      <c r="EE4" s="297">
        <v>0.3</v>
      </c>
      <c r="EF4" s="297">
        <v>1631</v>
      </c>
      <c r="EG4" s="297">
        <v>1465</v>
      </c>
      <c r="EH4" s="297">
        <v>50</v>
      </c>
      <c r="EI4" s="297">
        <v>218</v>
      </c>
      <c r="EJ4" s="297">
        <v>19</v>
      </c>
      <c r="EK4" s="297">
        <v>9</v>
      </c>
      <c r="EL4" s="297">
        <v>204</v>
      </c>
      <c r="EM4" s="297">
        <v>55</v>
      </c>
      <c r="EN4" s="297">
        <v>35</v>
      </c>
      <c r="EO4" s="297">
        <v>86</v>
      </c>
      <c r="EP4" s="297">
        <v>58</v>
      </c>
      <c r="EQ4" s="297">
        <v>4</v>
      </c>
      <c r="ER4" s="297">
        <v>16</v>
      </c>
      <c r="ES4" s="297">
        <v>98</v>
      </c>
      <c r="ET4" s="297">
        <v>17</v>
      </c>
      <c r="EU4" s="297">
        <v>26</v>
      </c>
      <c r="EV4" s="297">
        <v>134</v>
      </c>
      <c r="EW4" s="297">
        <v>19</v>
      </c>
      <c r="EX4" s="297">
        <v>2</v>
      </c>
      <c r="EY4" s="297">
        <v>3</v>
      </c>
      <c r="EZ4" s="297">
        <v>0</v>
      </c>
      <c r="FA4" s="297">
        <v>0</v>
      </c>
      <c r="FB4" s="297">
        <v>22</v>
      </c>
      <c r="FC4" s="297" t="s">
        <v>726</v>
      </c>
      <c r="FD4" s="302">
        <v>6.92</v>
      </c>
    </row>
    <row r="5" spans="1:160" ht="24.95" customHeight="1" thickBot="1" x14ac:dyDescent="0.3">
      <c r="A5" s="29" t="str">
        <f t="shared" si="0"/>
        <v>4º</v>
      </c>
      <c r="B5" s="70" t="str">
        <f t="shared" si="1"/>
        <v>Guilherme Arana</v>
      </c>
      <c r="C5" s="86" t="str">
        <f t="shared" si="2"/>
        <v>BRA</v>
      </c>
      <c r="D5" s="99" t="str">
        <f t="shared" si="3"/>
        <v>Pé Esquerdo</v>
      </c>
      <c r="E5" s="65" t="str">
        <f t="shared" si="4"/>
        <v>Fluminense</v>
      </c>
      <c r="F5" s="168">
        <f t="shared" si="5"/>
        <v>1.78</v>
      </c>
      <c r="G5" s="170">
        <f t="shared" si="6"/>
        <v>29</v>
      </c>
      <c r="H5" s="315" t="str">
        <f t="shared" si="7"/>
        <v>128m € p/m</v>
      </c>
      <c r="I5" s="66" t="str">
        <f t="shared" si="8"/>
        <v>7,5M</v>
      </c>
      <c r="J5" s="96">
        <f t="shared" si="9"/>
        <v>32.384444444444441</v>
      </c>
      <c r="K5" s="148">
        <f t="shared" si="10"/>
        <v>41.511111111111113</v>
      </c>
      <c r="L5" s="191">
        <f t="shared" si="11"/>
        <v>51</v>
      </c>
      <c r="M5" s="191">
        <f t="shared" si="12"/>
        <v>73.254901960784309</v>
      </c>
      <c r="N5" s="192">
        <f t="shared" si="13"/>
        <v>0.94</v>
      </c>
      <c r="O5" s="55">
        <f t="shared" si="14"/>
        <v>2</v>
      </c>
      <c r="P5" s="55">
        <f t="shared" si="15"/>
        <v>6</v>
      </c>
      <c r="Q5" s="55">
        <f t="shared" si="16"/>
        <v>8</v>
      </c>
      <c r="R5" s="57">
        <f t="shared" si="17"/>
        <v>0.19271948608137043</v>
      </c>
      <c r="S5" s="56">
        <f t="shared" si="18"/>
        <v>1</v>
      </c>
      <c r="T5" s="63">
        <f t="shared" si="19"/>
        <v>2.4089935760171304E-2</v>
      </c>
      <c r="U5" s="57">
        <f t="shared" si="20"/>
        <v>2.4700000000000002</v>
      </c>
      <c r="V5" s="57">
        <f t="shared" si="21"/>
        <v>5.9502141327623131E-2</v>
      </c>
      <c r="W5" s="57">
        <f t="shared" si="22"/>
        <v>2.4700000000000002</v>
      </c>
      <c r="X5" s="57">
        <f t="shared" si="23"/>
        <v>5.9502141327623131E-2</v>
      </c>
      <c r="Y5" s="57">
        <f t="shared" si="24"/>
        <v>6.92</v>
      </c>
      <c r="Z5" s="57">
        <f t="shared" si="25"/>
        <v>0.16670235546038542</v>
      </c>
      <c r="AA5" s="57">
        <f t="shared" si="26"/>
        <v>9.39</v>
      </c>
      <c r="AB5" s="57">
        <f t="shared" si="27"/>
        <v>0.22620449678800858</v>
      </c>
      <c r="AC5" s="56">
        <f t="shared" si="28"/>
        <v>0</v>
      </c>
      <c r="AD5" s="56">
        <f t="shared" si="29"/>
        <v>0</v>
      </c>
      <c r="AE5" s="56">
        <f t="shared" si="30"/>
        <v>0</v>
      </c>
      <c r="AF5" s="60">
        <f t="shared" si="31"/>
        <v>9.9999999999999995E-8</v>
      </c>
      <c r="AG5" s="56">
        <f t="shared" si="32"/>
        <v>177</v>
      </c>
      <c r="AH5" s="57">
        <f t="shared" si="33"/>
        <v>4.2639186295503206</v>
      </c>
      <c r="AI5" s="55">
        <f t="shared" si="34"/>
        <v>99</v>
      </c>
      <c r="AJ5" s="57">
        <f t="shared" si="35"/>
        <v>2.384903640256959</v>
      </c>
      <c r="AK5" s="56">
        <f t="shared" si="36"/>
        <v>25</v>
      </c>
      <c r="AL5" s="57">
        <f t="shared" si="37"/>
        <v>0.60224839400428265</v>
      </c>
      <c r="AM5" s="114">
        <f t="shared" si="38"/>
        <v>0.55932203389830504</v>
      </c>
      <c r="AN5" s="56">
        <f t="shared" si="39"/>
        <v>53</v>
      </c>
      <c r="AO5" s="57">
        <f t="shared" si="40"/>
        <v>1.2767665952890792</v>
      </c>
      <c r="AP5" s="56">
        <f t="shared" si="41"/>
        <v>588</v>
      </c>
      <c r="AQ5" s="57">
        <f t="shared" si="42"/>
        <v>14.164882226980728</v>
      </c>
      <c r="AR5" s="56">
        <f t="shared" si="43"/>
        <v>230</v>
      </c>
      <c r="AS5" s="57">
        <f t="shared" si="44"/>
        <v>5.5406852248394003</v>
      </c>
      <c r="AT5" s="60">
        <f t="shared" si="45"/>
        <v>0.391156462585034</v>
      </c>
      <c r="AU5" s="61">
        <f t="shared" si="46"/>
        <v>2663</v>
      </c>
      <c r="AV5" s="62">
        <f t="shared" si="47"/>
        <v>64.151498929336185</v>
      </c>
      <c r="AW5" s="61">
        <f t="shared" si="48"/>
        <v>2438</v>
      </c>
      <c r="AX5" s="62">
        <f t="shared" si="49"/>
        <v>58.731263383297645</v>
      </c>
      <c r="AY5" s="63">
        <f t="shared" si="50"/>
        <v>0.91550882463387162</v>
      </c>
      <c r="AZ5" s="61">
        <f t="shared" si="51"/>
        <v>358</v>
      </c>
      <c r="BA5" s="57">
        <f t="shared" si="52"/>
        <v>8.6241970021413277</v>
      </c>
      <c r="BB5" s="57">
        <f t="shared" si="53"/>
        <v>11.835555555555555</v>
      </c>
      <c r="BC5" s="56">
        <f t="shared" si="54"/>
        <v>2317</v>
      </c>
      <c r="BD5" s="57">
        <f t="shared" si="55"/>
        <v>55.816381156316915</v>
      </c>
      <c r="BE5" s="56">
        <f t="shared" si="56"/>
        <v>346</v>
      </c>
      <c r="BF5" s="57">
        <f t="shared" si="57"/>
        <v>8.335117773019272</v>
      </c>
      <c r="BG5" s="316">
        <f t="shared" si="58"/>
        <v>0.14933103150625809</v>
      </c>
      <c r="BH5" s="56">
        <f t="shared" si="59"/>
        <v>166</v>
      </c>
      <c r="BI5" s="57">
        <f t="shared" si="60"/>
        <v>3.9989293361884366</v>
      </c>
      <c r="BJ5" s="56">
        <f t="shared" si="61"/>
        <v>33</v>
      </c>
      <c r="BK5" s="57">
        <f t="shared" si="62"/>
        <v>0.79496788008565311</v>
      </c>
      <c r="BL5" s="59">
        <f t="shared" si="63"/>
        <v>0.19879518072289157</v>
      </c>
      <c r="BM5" s="56">
        <f t="shared" si="64"/>
        <v>77</v>
      </c>
      <c r="BN5" s="57">
        <f t="shared" si="65"/>
        <v>1.8549250535331905</v>
      </c>
      <c r="BO5" s="57">
        <f t="shared" si="66"/>
        <v>39.326315789473682</v>
      </c>
      <c r="BP5" s="57">
        <f t="shared" si="67"/>
        <v>48.519480519480517</v>
      </c>
      <c r="BQ5" s="57">
        <f t="shared" si="68"/>
        <v>6.92</v>
      </c>
      <c r="BR5" s="57">
        <f t="shared" si="69"/>
        <v>0.91999999999999993</v>
      </c>
      <c r="BS5" s="317">
        <f t="shared" si="70"/>
        <v>126.92</v>
      </c>
      <c r="BT5" s="318">
        <f t="shared" si="71"/>
        <v>3.0574946466809423</v>
      </c>
      <c r="BU5" s="320">
        <f t="shared" si="72"/>
        <v>21</v>
      </c>
      <c r="BV5" s="321">
        <f t="shared" si="73"/>
        <v>0.50588865096359736</v>
      </c>
      <c r="BW5" s="56">
        <f t="shared" si="74"/>
        <v>5</v>
      </c>
      <c r="BX5" s="57">
        <f t="shared" si="75"/>
        <v>0.12044967880085652</v>
      </c>
      <c r="BY5" s="317">
        <f t="shared" si="76"/>
        <v>0</v>
      </c>
      <c r="BZ5" s="318">
        <f t="shared" si="77"/>
        <v>0</v>
      </c>
      <c r="CA5" s="56">
        <f t="shared" si="78"/>
        <v>3324</v>
      </c>
      <c r="CB5" s="57">
        <f t="shared" si="79"/>
        <v>80.074946466809422</v>
      </c>
      <c r="CC5" s="56">
        <f t="shared" si="80"/>
        <v>104</v>
      </c>
      <c r="CD5" s="57">
        <f t="shared" si="81"/>
        <v>2.5053533190578157</v>
      </c>
      <c r="CE5" s="56">
        <f t="shared" si="82"/>
        <v>37</v>
      </c>
      <c r="CF5" s="57">
        <f t="shared" si="83"/>
        <v>0.89132762312633829</v>
      </c>
      <c r="CG5" s="63">
        <f t="shared" si="84"/>
        <v>0.35576923076923078</v>
      </c>
      <c r="CH5" s="213">
        <f t="shared" si="85"/>
        <v>4.1511111111111116</v>
      </c>
      <c r="CI5" s="212">
        <f t="shared" si="86"/>
        <v>0.1</v>
      </c>
      <c r="CJ5" s="305">
        <f t="shared" si="87"/>
        <v>248.65111111111111</v>
      </c>
      <c r="CK5" s="306">
        <f t="shared" si="88"/>
        <v>5.9899892933618837</v>
      </c>
      <c r="CL5" s="56">
        <f t="shared" si="89"/>
        <v>294</v>
      </c>
      <c r="CM5" s="56">
        <f t="shared" si="90"/>
        <v>187.5</v>
      </c>
      <c r="CN5" s="57">
        <f t="shared" si="91"/>
        <v>4.5168629550321198</v>
      </c>
      <c r="CO5" s="63">
        <f t="shared" si="92"/>
        <v>0.63775510204081631</v>
      </c>
      <c r="CP5" s="56">
        <f t="shared" si="93"/>
        <v>516.30999999999995</v>
      </c>
      <c r="CQ5" s="57">
        <f t="shared" si="94"/>
        <v>12.437874732334045</v>
      </c>
      <c r="CR5" s="56">
        <f t="shared" si="95"/>
        <v>369.07555555555558</v>
      </c>
      <c r="CS5" s="212">
        <f t="shared" si="96"/>
        <v>8.8910064239828692</v>
      </c>
      <c r="CT5" s="213">
        <f t="shared" si="97"/>
        <v>61.75</v>
      </c>
      <c r="CU5" s="212">
        <f t="shared" si="98"/>
        <v>1.487553533190578</v>
      </c>
      <c r="CV5" s="63">
        <f t="shared" si="99"/>
        <v>0.71483325048043933</v>
      </c>
      <c r="CW5" s="63">
        <f t="shared" si="100"/>
        <v>0.68686744030748192</v>
      </c>
      <c r="CX5" s="184">
        <f t="shared" si="101"/>
        <v>511.3</v>
      </c>
      <c r="CY5" s="185">
        <f t="shared" si="102"/>
        <v>12.317184154175589</v>
      </c>
      <c r="CZ5" s="186">
        <f t="shared" si="103"/>
        <v>859.28</v>
      </c>
      <c r="DA5" s="185">
        <f t="shared" si="104"/>
        <v>20.7</v>
      </c>
      <c r="DB5" s="186">
        <f t="shared" si="105"/>
        <v>425</v>
      </c>
      <c r="DC5" s="185">
        <f t="shared" si="106"/>
        <v>10.238222698072805</v>
      </c>
      <c r="DD5" s="185">
        <f t="shared" si="107"/>
        <v>9.4</v>
      </c>
      <c r="DE5" s="62">
        <f t="shared" si="108"/>
        <v>6.91</v>
      </c>
      <c r="DF5" s="312" t="s">
        <v>639</v>
      </c>
      <c r="DG5" s="309" t="s">
        <v>714</v>
      </c>
      <c r="DH5" s="309" t="s">
        <v>550</v>
      </c>
      <c r="DI5" s="309">
        <v>29</v>
      </c>
      <c r="DJ5" s="309" t="s">
        <v>715</v>
      </c>
      <c r="DK5" s="309" t="s">
        <v>716</v>
      </c>
      <c r="DL5" s="309" t="s">
        <v>13</v>
      </c>
      <c r="DM5" s="309" t="s">
        <v>651</v>
      </c>
      <c r="DN5" s="314">
        <v>47483</v>
      </c>
      <c r="DO5" s="309" t="s">
        <v>582</v>
      </c>
      <c r="DP5" s="309">
        <v>3736</v>
      </c>
      <c r="DQ5" s="309" t="s">
        <v>717</v>
      </c>
      <c r="DR5" s="309">
        <v>1</v>
      </c>
      <c r="DS5" s="309">
        <v>0</v>
      </c>
      <c r="DT5" s="309">
        <v>2</v>
      </c>
      <c r="DU5" s="309">
        <v>6</v>
      </c>
      <c r="DV5" s="309">
        <v>7</v>
      </c>
      <c r="DW5" s="309">
        <v>0</v>
      </c>
      <c r="DX5" s="309">
        <v>10</v>
      </c>
      <c r="DY5" s="309">
        <v>9.4</v>
      </c>
      <c r="DZ5" s="297">
        <v>20.7</v>
      </c>
      <c r="EA5" s="297" t="s">
        <v>743</v>
      </c>
      <c r="EB5" s="297" t="s">
        <v>740</v>
      </c>
      <c r="EC5" s="297">
        <v>104</v>
      </c>
      <c r="ED5" s="297">
        <v>37</v>
      </c>
      <c r="EE5" s="297">
        <v>0.1</v>
      </c>
      <c r="EF5" s="297">
        <v>2663</v>
      </c>
      <c r="EG5" s="297">
        <v>2438</v>
      </c>
      <c r="EH5" s="297">
        <v>77</v>
      </c>
      <c r="EI5" s="297">
        <v>346</v>
      </c>
      <c r="EJ5" s="297">
        <v>20</v>
      </c>
      <c r="EK5" s="297">
        <v>8</v>
      </c>
      <c r="EL5" s="297">
        <v>377</v>
      </c>
      <c r="EM5" s="297">
        <v>92</v>
      </c>
      <c r="EN5" s="297">
        <v>53</v>
      </c>
      <c r="EO5" s="297">
        <v>124</v>
      </c>
      <c r="EP5" s="297">
        <v>99</v>
      </c>
      <c r="EQ5" s="297">
        <v>5</v>
      </c>
      <c r="ER5" s="297">
        <v>34</v>
      </c>
      <c r="ES5" s="297">
        <v>143</v>
      </c>
      <c r="ET5" s="297">
        <v>10</v>
      </c>
      <c r="EU5" s="297">
        <v>39</v>
      </c>
      <c r="EV5" s="297">
        <v>166</v>
      </c>
      <c r="EW5" s="297">
        <v>33</v>
      </c>
      <c r="EX5" s="297">
        <v>5</v>
      </c>
      <c r="EY5" s="297">
        <v>0</v>
      </c>
      <c r="EZ5" s="297">
        <v>0</v>
      </c>
      <c r="FA5" s="297">
        <v>0</v>
      </c>
      <c r="FB5" s="297">
        <v>21</v>
      </c>
      <c r="FC5" s="297" t="s">
        <v>718</v>
      </c>
      <c r="FD5" s="302">
        <v>6.91</v>
      </c>
    </row>
    <row r="6" spans="1:160" ht="24.95" customHeight="1" thickBot="1" x14ac:dyDescent="0.3">
      <c r="A6" s="29" t="str">
        <f t="shared" si="0"/>
        <v>5º</v>
      </c>
      <c r="B6" s="70" t="str">
        <f t="shared" si="1"/>
        <v>João Lucas</v>
      </c>
      <c r="C6" s="86" t="str">
        <f t="shared" si="2"/>
        <v>BRA</v>
      </c>
      <c r="D6" s="99" t="str">
        <f t="shared" si="3"/>
        <v>Somente Pé Direito</v>
      </c>
      <c r="E6" s="65" t="str">
        <f t="shared" si="4"/>
        <v>Remo</v>
      </c>
      <c r="F6" s="168">
        <f t="shared" si="5"/>
        <v>1.81</v>
      </c>
      <c r="G6" s="170">
        <f t="shared" si="6"/>
        <v>28</v>
      </c>
      <c r="H6" s="315" t="str">
        <f t="shared" si="7"/>
        <v>6m € p/m</v>
      </c>
      <c r="I6" s="66" t="str">
        <f t="shared" si="8"/>
        <v>357,5M</v>
      </c>
      <c r="J6" s="96">
        <f t="shared" si="9"/>
        <v>32.384444444444441</v>
      </c>
      <c r="K6" s="148">
        <f t="shared" si="10"/>
        <v>22.844444444444445</v>
      </c>
      <c r="L6" s="191">
        <f t="shared" si="11"/>
        <v>43</v>
      </c>
      <c r="M6" s="191">
        <f t="shared" si="12"/>
        <v>47.813953488372093</v>
      </c>
      <c r="N6" s="192">
        <f t="shared" si="13"/>
        <v>0.51</v>
      </c>
      <c r="O6" s="55">
        <f t="shared" si="14"/>
        <v>0</v>
      </c>
      <c r="P6" s="55">
        <f t="shared" si="15"/>
        <v>7</v>
      </c>
      <c r="Q6" s="55">
        <f t="shared" si="16"/>
        <v>7</v>
      </c>
      <c r="R6" s="57">
        <f t="shared" si="17"/>
        <v>0.30642023346303499</v>
      </c>
      <c r="S6" s="56">
        <f t="shared" si="18"/>
        <v>2</v>
      </c>
      <c r="T6" s="63">
        <f t="shared" si="19"/>
        <v>8.7548638132295714E-2</v>
      </c>
      <c r="U6" s="57">
        <f t="shared" si="20"/>
        <v>2.36</v>
      </c>
      <c r="V6" s="57">
        <f t="shared" si="21"/>
        <v>0.10330739299610894</v>
      </c>
      <c r="W6" s="57">
        <f t="shared" si="22"/>
        <v>2.36</v>
      </c>
      <c r="X6" s="57">
        <f t="shared" si="23"/>
        <v>0.10330739299610894</v>
      </c>
      <c r="Y6" s="57">
        <f t="shared" si="24"/>
        <v>5.56</v>
      </c>
      <c r="Z6" s="57">
        <f t="shared" si="25"/>
        <v>0.24338521400778207</v>
      </c>
      <c r="AA6" s="57">
        <f t="shared" si="26"/>
        <v>7.92</v>
      </c>
      <c r="AB6" s="57">
        <f t="shared" si="27"/>
        <v>0.34669260700389104</v>
      </c>
      <c r="AC6" s="56">
        <f t="shared" si="28"/>
        <v>0</v>
      </c>
      <c r="AD6" s="56">
        <f t="shared" si="29"/>
        <v>0</v>
      </c>
      <c r="AE6" s="56">
        <f t="shared" si="30"/>
        <v>0</v>
      </c>
      <c r="AF6" s="60">
        <f t="shared" si="31"/>
        <v>9.9999999999999995E-8</v>
      </c>
      <c r="AG6" s="56">
        <f t="shared" si="32"/>
        <v>86</v>
      </c>
      <c r="AH6" s="57">
        <f t="shared" si="33"/>
        <v>3.7645914396887159</v>
      </c>
      <c r="AI6" s="55">
        <f t="shared" si="34"/>
        <v>51</v>
      </c>
      <c r="AJ6" s="57">
        <f t="shared" si="35"/>
        <v>2.2324902723735409</v>
      </c>
      <c r="AK6" s="56">
        <f t="shared" si="36"/>
        <v>3</v>
      </c>
      <c r="AL6" s="57">
        <f t="shared" si="37"/>
        <v>0.13132295719844359</v>
      </c>
      <c r="AM6" s="114">
        <f t="shared" si="38"/>
        <v>0.59302325581395354</v>
      </c>
      <c r="AN6" s="56">
        <f t="shared" si="39"/>
        <v>32</v>
      </c>
      <c r="AO6" s="57">
        <f t="shared" si="40"/>
        <v>1.4007782101167314</v>
      </c>
      <c r="AP6" s="56">
        <f t="shared" si="41"/>
        <v>266</v>
      </c>
      <c r="AQ6" s="57">
        <f t="shared" si="42"/>
        <v>11.64396887159533</v>
      </c>
      <c r="AR6" s="56">
        <f t="shared" si="43"/>
        <v>101</v>
      </c>
      <c r="AS6" s="57">
        <f t="shared" si="44"/>
        <v>4.4212062256809341</v>
      </c>
      <c r="AT6" s="60">
        <f t="shared" si="45"/>
        <v>0.37969924812030076</v>
      </c>
      <c r="AU6" s="61">
        <f t="shared" si="46"/>
        <v>1149</v>
      </c>
      <c r="AV6" s="62">
        <f t="shared" si="47"/>
        <v>50.296692607003891</v>
      </c>
      <c r="AW6" s="61">
        <f t="shared" si="48"/>
        <v>970</v>
      </c>
      <c r="AX6" s="62">
        <f t="shared" si="49"/>
        <v>42.461089494163424</v>
      </c>
      <c r="AY6" s="63">
        <f t="shared" si="50"/>
        <v>0.84421235857267185</v>
      </c>
      <c r="AZ6" s="61">
        <f t="shared" si="51"/>
        <v>277</v>
      </c>
      <c r="BA6" s="57">
        <f t="shared" si="52"/>
        <v>12.125486381322958</v>
      </c>
      <c r="BB6" s="57">
        <f t="shared" si="53"/>
        <v>6.4189944134078214</v>
      </c>
      <c r="BC6" s="56">
        <f t="shared" si="54"/>
        <v>975</v>
      </c>
      <c r="BD6" s="57">
        <f t="shared" si="55"/>
        <v>42.679961089494164</v>
      </c>
      <c r="BE6" s="56">
        <f t="shared" si="56"/>
        <v>174</v>
      </c>
      <c r="BF6" s="57">
        <f t="shared" si="57"/>
        <v>7.6167315175097272</v>
      </c>
      <c r="BG6" s="316">
        <f t="shared" si="58"/>
        <v>0.17846153846153845</v>
      </c>
      <c r="BH6" s="56">
        <f t="shared" si="59"/>
        <v>118</v>
      </c>
      <c r="BI6" s="57">
        <f t="shared" si="60"/>
        <v>5.1653696498054478</v>
      </c>
      <c r="BJ6" s="56">
        <f t="shared" si="61"/>
        <v>20</v>
      </c>
      <c r="BK6" s="57">
        <f t="shared" si="62"/>
        <v>0.8754863813229572</v>
      </c>
      <c r="BL6" s="59">
        <f t="shared" si="63"/>
        <v>0.16949152542372881</v>
      </c>
      <c r="BM6" s="56">
        <f t="shared" si="64"/>
        <v>31</v>
      </c>
      <c r="BN6" s="57">
        <f t="shared" si="65"/>
        <v>1.3570038910505837</v>
      </c>
      <c r="BO6" s="57">
        <f t="shared" si="66"/>
        <v>41.95918367346939</v>
      </c>
      <c r="BP6" s="57">
        <f t="shared" si="67"/>
        <v>66.322580645161295</v>
      </c>
      <c r="BQ6" s="57">
        <f t="shared" si="68"/>
        <v>5.56</v>
      </c>
      <c r="BR6" s="57">
        <f t="shared" si="69"/>
        <v>-1.4400000000000004</v>
      </c>
      <c r="BS6" s="317">
        <f t="shared" si="70"/>
        <v>63.56</v>
      </c>
      <c r="BT6" s="318">
        <f t="shared" si="71"/>
        <v>2.7822957198443579</v>
      </c>
      <c r="BU6" s="320">
        <f t="shared" si="72"/>
        <v>89</v>
      </c>
      <c r="BV6" s="321">
        <f t="shared" si="73"/>
        <v>3.8959143968871595</v>
      </c>
      <c r="BW6" s="56">
        <f t="shared" si="74"/>
        <v>3</v>
      </c>
      <c r="BX6" s="57">
        <f t="shared" si="75"/>
        <v>0.13132295719844359</v>
      </c>
      <c r="BY6" s="317">
        <f t="shared" si="76"/>
        <v>0</v>
      </c>
      <c r="BZ6" s="318">
        <f t="shared" si="77"/>
        <v>0</v>
      </c>
      <c r="CA6" s="56">
        <f t="shared" si="78"/>
        <v>1659</v>
      </c>
      <c r="CB6" s="57">
        <f t="shared" si="79"/>
        <v>72.621595330739297</v>
      </c>
      <c r="CC6" s="56">
        <f t="shared" si="80"/>
        <v>97</v>
      </c>
      <c r="CD6" s="57">
        <f t="shared" si="81"/>
        <v>4.2461089494163424</v>
      </c>
      <c r="CE6" s="56">
        <f t="shared" si="82"/>
        <v>59</v>
      </c>
      <c r="CF6" s="57">
        <f t="shared" si="83"/>
        <v>2.5826848249027239</v>
      </c>
      <c r="CG6" s="63">
        <f t="shared" si="84"/>
        <v>0.60824742268041232</v>
      </c>
      <c r="CH6" s="213">
        <f t="shared" si="85"/>
        <v>11.422222222222222</v>
      </c>
      <c r="CI6" s="212">
        <f t="shared" si="86"/>
        <v>0.5</v>
      </c>
      <c r="CJ6" s="305">
        <f t="shared" si="87"/>
        <v>143.92222222222222</v>
      </c>
      <c r="CK6" s="306">
        <f t="shared" si="88"/>
        <v>6.3000972762645908</v>
      </c>
      <c r="CL6" s="56">
        <f t="shared" si="89"/>
        <v>280</v>
      </c>
      <c r="CM6" s="56">
        <f t="shared" si="90"/>
        <v>173.5</v>
      </c>
      <c r="CN6" s="57">
        <f t="shared" si="91"/>
        <v>7.5948443579766538</v>
      </c>
      <c r="CO6" s="63">
        <f t="shared" si="92"/>
        <v>0.61964285714285716</v>
      </c>
      <c r="CP6" s="56">
        <f t="shared" si="93"/>
        <v>293.99</v>
      </c>
      <c r="CQ6" s="57">
        <f t="shared" si="94"/>
        <v>12.869212062256809</v>
      </c>
      <c r="CR6" s="56">
        <f t="shared" si="95"/>
        <v>225.71111111111111</v>
      </c>
      <c r="CS6" s="212">
        <f t="shared" si="96"/>
        <v>9.8803501945525287</v>
      </c>
      <c r="CT6" s="213">
        <f t="shared" si="97"/>
        <v>35.75</v>
      </c>
      <c r="CU6" s="212">
        <f t="shared" si="98"/>
        <v>1.564931906614786</v>
      </c>
      <c r="CV6" s="63">
        <f t="shared" si="99"/>
        <v>0.76775098170383727</v>
      </c>
      <c r="CW6" s="63">
        <f t="shared" si="100"/>
        <v>0.69550185736878878</v>
      </c>
      <c r="CX6" s="184">
        <f t="shared" si="101"/>
        <v>287</v>
      </c>
      <c r="CY6" s="185">
        <f t="shared" si="102"/>
        <v>12.563229571984435</v>
      </c>
      <c r="CZ6" s="186">
        <f t="shared" si="103"/>
        <v>440.89777777777783</v>
      </c>
      <c r="DA6" s="185">
        <f t="shared" si="104"/>
        <v>19.3</v>
      </c>
      <c r="DB6" s="186">
        <f t="shared" si="105"/>
        <v>315</v>
      </c>
      <c r="DC6" s="185">
        <f t="shared" si="106"/>
        <v>13.788910505836576</v>
      </c>
      <c r="DD6" s="185">
        <f t="shared" si="107"/>
        <v>14.7</v>
      </c>
      <c r="DE6" s="62">
        <f t="shared" si="108"/>
        <v>7.05</v>
      </c>
      <c r="DF6" s="311"/>
      <c r="DG6" s="308" t="s">
        <v>615</v>
      </c>
      <c r="DH6" s="308" t="s">
        <v>606</v>
      </c>
      <c r="DI6" s="308">
        <v>28</v>
      </c>
      <c r="DJ6" s="308" t="s">
        <v>652</v>
      </c>
      <c r="DK6" s="308" t="s">
        <v>693</v>
      </c>
      <c r="DL6" s="308" t="s">
        <v>13</v>
      </c>
      <c r="DM6" s="308" t="s">
        <v>644</v>
      </c>
      <c r="DN6" s="313">
        <v>46752</v>
      </c>
      <c r="DO6" s="308" t="s">
        <v>558</v>
      </c>
      <c r="DP6" s="308">
        <v>2056</v>
      </c>
      <c r="DQ6" s="308" t="s">
        <v>731</v>
      </c>
      <c r="DR6" s="308">
        <v>2</v>
      </c>
      <c r="DS6" s="308">
        <v>0</v>
      </c>
      <c r="DT6" s="308">
        <v>0</v>
      </c>
      <c r="DU6" s="308">
        <v>7</v>
      </c>
      <c r="DV6" s="308">
        <v>3</v>
      </c>
      <c r="DW6" s="308">
        <v>0</v>
      </c>
      <c r="DX6" s="308">
        <v>7</v>
      </c>
      <c r="DY6" s="308">
        <v>14.7</v>
      </c>
      <c r="DZ6" s="295">
        <v>19.3</v>
      </c>
      <c r="EA6" s="295" t="s">
        <v>757</v>
      </c>
      <c r="EB6" s="295" t="s">
        <v>750</v>
      </c>
      <c r="EC6" s="295">
        <v>97</v>
      </c>
      <c r="ED6" s="295">
        <v>59</v>
      </c>
      <c r="EE6" s="295">
        <v>0.5</v>
      </c>
      <c r="EF6" s="295">
        <v>1149</v>
      </c>
      <c r="EG6" s="295">
        <v>970</v>
      </c>
      <c r="EH6" s="295">
        <v>31</v>
      </c>
      <c r="EI6" s="295">
        <v>174</v>
      </c>
      <c r="EJ6" s="295">
        <v>35</v>
      </c>
      <c r="EK6" s="295">
        <v>11</v>
      </c>
      <c r="EL6" s="295">
        <v>172</v>
      </c>
      <c r="EM6" s="295">
        <v>39</v>
      </c>
      <c r="EN6" s="295">
        <v>32</v>
      </c>
      <c r="EO6" s="295">
        <v>54</v>
      </c>
      <c r="EP6" s="295">
        <v>51</v>
      </c>
      <c r="EQ6" s="295">
        <v>3</v>
      </c>
      <c r="ER6" s="295">
        <v>8</v>
      </c>
      <c r="ES6" s="295">
        <v>80</v>
      </c>
      <c r="ET6" s="295">
        <v>1</v>
      </c>
      <c r="EU6" s="295">
        <v>18</v>
      </c>
      <c r="EV6" s="295">
        <v>118</v>
      </c>
      <c r="EW6" s="295">
        <v>20</v>
      </c>
      <c r="EX6" s="295">
        <v>2</v>
      </c>
      <c r="EY6" s="295">
        <v>0</v>
      </c>
      <c r="EZ6" s="295">
        <v>0</v>
      </c>
      <c r="FA6" s="295">
        <v>0</v>
      </c>
      <c r="FB6" s="295">
        <v>89</v>
      </c>
      <c r="FC6" s="295" t="s">
        <v>732</v>
      </c>
      <c r="FD6" s="300">
        <v>7.05</v>
      </c>
    </row>
    <row r="7" spans="1:160" ht="24.95" customHeight="1" thickBot="1" x14ac:dyDescent="0.3">
      <c r="A7" s="29" t="str">
        <f t="shared" si="0"/>
        <v>6º</v>
      </c>
      <c r="B7" s="70" t="str">
        <f t="shared" si="1"/>
        <v>João Pedro</v>
      </c>
      <c r="C7" s="86" t="str">
        <f t="shared" si="2"/>
        <v>BRA</v>
      </c>
      <c r="D7" s="99" t="str">
        <f t="shared" si="3"/>
        <v>Somente Pé Direito</v>
      </c>
      <c r="E7" s="65" t="str">
        <f t="shared" si="4"/>
        <v>Grêmio</v>
      </c>
      <c r="F7" s="168">
        <f t="shared" si="5"/>
        <v>1.79</v>
      </c>
      <c r="G7" s="170">
        <f t="shared" si="6"/>
        <v>29</v>
      </c>
      <c r="H7" s="315" t="str">
        <f t="shared" si="7"/>
        <v>83,5m € p/m</v>
      </c>
      <c r="I7" s="66" t="str">
        <f t="shared" si="8"/>
        <v>106,05M</v>
      </c>
      <c r="J7" s="96">
        <f t="shared" si="9"/>
        <v>32.384444444444441</v>
      </c>
      <c r="K7" s="148">
        <f t="shared" si="10"/>
        <v>44.888888888888886</v>
      </c>
      <c r="L7" s="191">
        <f t="shared" si="11"/>
        <v>56</v>
      </c>
      <c r="M7" s="191">
        <f t="shared" si="12"/>
        <v>72.142857142857139</v>
      </c>
      <c r="N7" s="192">
        <f t="shared" si="13"/>
        <v>0.95</v>
      </c>
      <c r="O7" s="55">
        <f t="shared" si="14"/>
        <v>2</v>
      </c>
      <c r="P7" s="55">
        <f t="shared" si="15"/>
        <v>7</v>
      </c>
      <c r="Q7" s="55">
        <f t="shared" si="16"/>
        <v>9</v>
      </c>
      <c r="R7" s="57">
        <f t="shared" si="17"/>
        <v>0.20049504950495051</v>
      </c>
      <c r="S7" s="56">
        <f t="shared" si="18"/>
        <v>2</v>
      </c>
      <c r="T7" s="63">
        <f t="shared" si="19"/>
        <v>4.4554455445544559E-2</v>
      </c>
      <c r="U7" s="57">
        <f t="shared" si="20"/>
        <v>2.97</v>
      </c>
      <c r="V7" s="57">
        <f t="shared" si="21"/>
        <v>6.6163366336633667E-2</v>
      </c>
      <c r="W7" s="57">
        <f t="shared" si="22"/>
        <v>2.97</v>
      </c>
      <c r="X7" s="57">
        <f t="shared" si="23"/>
        <v>6.6163366336633667E-2</v>
      </c>
      <c r="Y7" s="57">
        <f t="shared" si="24"/>
        <v>8.8800000000000008</v>
      </c>
      <c r="Z7" s="57">
        <f t="shared" si="25"/>
        <v>0.19782178217821786</v>
      </c>
      <c r="AA7" s="57">
        <f t="shared" si="26"/>
        <v>11.850000000000001</v>
      </c>
      <c r="AB7" s="57">
        <f t="shared" si="27"/>
        <v>0.26398514851485155</v>
      </c>
      <c r="AC7" s="56">
        <f t="shared" si="28"/>
        <v>0</v>
      </c>
      <c r="AD7" s="56">
        <f t="shared" si="29"/>
        <v>0</v>
      </c>
      <c r="AE7" s="56">
        <f t="shared" si="30"/>
        <v>0</v>
      </c>
      <c r="AF7" s="60">
        <f t="shared" si="31"/>
        <v>9.9999999999999995E-8</v>
      </c>
      <c r="AG7" s="56">
        <f t="shared" si="32"/>
        <v>145</v>
      </c>
      <c r="AH7" s="57">
        <f t="shared" si="33"/>
        <v>3.2301980198019806</v>
      </c>
      <c r="AI7" s="55">
        <f t="shared" si="34"/>
        <v>77</v>
      </c>
      <c r="AJ7" s="57">
        <f t="shared" si="35"/>
        <v>1.7153465346534655</v>
      </c>
      <c r="AK7" s="56">
        <f t="shared" si="36"/>
        <v>17</v>
      </c>
      <c r="AL7" s="57">
        <f t="shared" si="37"/>
        <v>0.37871287128712872</v>
      </c>
      <c r="AM7" s="114">
        <f t="shared" si="38"/>
        <v>0.53103448275862064</v>
      </c>
      <c r="AN7" s="56">
        <f t="shared" si="39"/>
        <v>51</v>
      </c>
      <c r="AO7" s="57">
        <f t="shared" si="40"/>
        <v>1.1361386138613863</v>
      </c>
      <c r="AP7" s="56">
        <f t="shared" si="41"/>
        <v>597</v>
      </c>
      <c r="AQ7" s="57">
        <f t="shared" si="42"/>
        <v>13.29950495049505</v>
      </c>
      <c r="AR7" s="56">
        <f t="shared" si="43"/>
        <v>221</v>
      </c>
      <c r="AS7" s="57">
        <f t="shared" si="44"/>
        <v>4.9232673267326739</v>
      </c>
      <c r="AT7" s="60">
        <f t="shared" si="45"/>
        <v>0.37018425460636517</v>
      </c>
      <c r="AU7" s="61">
        <f t="shared" si="46"/>
        <v>2624</v>
      </c>
      <c r="AV7" s="62">
        <f t="shared" si="47"/>
        <v>58.455445544554458</v>
      </c>
      <c r="AW7" s="61">
        <f t="shared" si="48"/>
        <v>2295</v>
      </c>
      <c r="AX7" s="62">
        <f t="shared" si="49"/>
        <v>51.126237623762378</v>
      </c>
      <c r="AY7" s="63">
        <f t="shared" si="50"/>
        <v>0.8746189024390244</v>
      </c>
      <c r="AZ7" s="61">
        <f t="shared" si="51"/>
        <v>508</v>
      </c>
      <c r="BA7" s="57">
        <f t="shared" si="52"/>
        <v>11.316831683168317</v>
      </c>
      <c r="BB7" s="57">
        <f t="shared" si="53"/>
        <v>7.9756838905775078</v>
      </c>
      <c r="BC7" s="56">
        <f t="shared" si="54"/>
        <v>2219</v>
      </c>
      <c r="BD7" s="57">
        <f t="shared" si="55"/>
        <v>49.43316831683169</v>
      </c>
      <c r="BE7" s="56">
        <f t="shared" si="56"/>
        <v>405</v>
      </c>
      <c r="BF7" s="57">
        <f t="shared" si="57"/>
        <v>9.022277227722773</v>
      </c>
      <c r="BG7" s="316">
        <f t="shared" si="58"/>
        <v>0.18251464623704372</v>
      </c>
      <c r="BH7" s="56">
        <f t="shared" si="59"/>
        <v>223</v>
      </c>
      <c r="BI7" s="57">
        <f t="shared" si="60"/>
        <v>4.967821782178218</v>
      </c>
      <c r="BJ7" s="56">
        <f t="shared" si="61"/>
        <v>44</v>
      </c>
      <c r="BK7" s="57">
        <f t="shared" si="62"/>
        <v>0.98019801980198029</v>
      </c>
      <c r="BL7" s="59">
        <f t="shared" si="63"/>
        <v>0.19730941704035873</v>
      </c>
      <c r="BM7" s="56">
        <f t="shared" si="64"/>
        <v>86</v>
      </c>
      <c r="BN7" s="57">
        <f t="shared" si="65"/>
        <v>1.915841584158416</v>
      </c>
      <c r="BO7" s="57">
        <f t="shared" si="66"/>
        <v>37.064220183486242</v>
      </c>
      <c r="BP7" s="57">
        <f t="shared" si="67"/>
        <v>46.97674418604651</v>
      </c>
      <c r="BQ7" s="57">
        <f t="shared" si="68"/>
        <v>8.8800000000000008</v>
      </c>
      <c r="BR7" s="57">
        <f t="shared" si="69"/>
        <v>1.8800000000000008</v>
      </c>
      <c r="BS7" s="317">
        <f t="shared" si="70"/>
        <v>152.88</v>
      </c>
      <c r="BT7" s="318">
        <f t="shared" si="71"/>
        <v>3.4057425742574257</v>
      </c>
      <c r="BU7" s="320">
        <f t="shared" si="72"/>
        <v>77</v>
      </c>
      <c r="BV7" s="321">
        <f t="shared" si="73"/>
        <v>1.7153465346534655</v>
      </c>
      <c r="BW7" s="56">
        <f t="shared" si="74"/>
        <v>4</v>
      </c>
      <c r="BX7" s="57">
        <f t="shared" si="75"/>
        <v>8.9108910891089119E-2</v>
      </c>
      <c r="BY7" s="317">
        <f t="shared" si="76"/>
        <v>0</v>
      </c>
      <c r="BZ7" s="318">
        <f t="shared" si="77"/>
        <v>0</v>
      </c>
      <c r="CA7" s="56">
        <f t="shared" si="78"/>
        <v>3457</v>
      </c>
      <c r="CB7" s="57">
        <f t="shared" si="79"/>
        <v>77.012376237623769</v>
      </c>
      <c r="CC7" s="56">
        <f t="shared" si="80"/>
        <v>157</v>
      </c>
      <c r="CD7" s="57">
        <f t="shared" si="81"/>
        <v>3.4975247524752477</v>
      </c>
      <c r="CE7" s="56">
        <f t="shared" si="82"/>
        <v>83</v>
      </c>
      <c r="CF7" s="57">
        <f t="shared" si="83"/>
        <v>1.8490099009900991</v>
      </c>
      <c r="CG7" s="63">
        <f t="shared" si="84"/>
        <v>0.5286624203821656</v>
      </c>
      <c r="CH7" s="213">
        <f t="shared" si="85"/>
        <v>8.9777777777777779</v>
      </c>
      <c r="CI7" s="212">
        <f t="shared" si="86"/>
        <v>0.2</v>
      </c>
      <c r="CJ7" s="305">
        <f t="shared" si="87"/>
        <v>249.97777777777779</v>
      </c>
      <c r="CK7" s="306">
        <f t="shared" si="88"/>
        <v>5.5688118811881191</v>
      </c>
      <c r="CL7" s="56">
        <f t="shared" si="89"/>
        <v>434</v>
      </c>
      <c r="CM7" s="56">
        <f t="shared" si="90"/>
        <v>273</v>
      </c>
      <c r="CN7" s="57">
        <f t="shared" si="91"/>
        <v>6.0816831683168324</v>
      </c>
      <c r="CO7" s="63">
        <f t="shared" si="92"/>
        <v>0.62903225806451613</v>
      </c>
      <c r="CP7" s="56">
        <f t="shared" si="93"/>
        <v>549.65</v>
      </c>
      <c r="CQ7" s="57">
        <f t="shared" si="94"/>
        <v>12.244678217821782</v>
      </c>
      <c r="CR7" s="56">
        <f t="shared" si="95"/>
        <v>409.48888888888888</v>
      </c>
      <c r="CS7" s="212">
        <f t="shared" si="96"/>
        <v>9.1222772277227726</v>
      </c>
      <c r="CT7" s="213">
        <f t="shared" si="97"/>
        <v>57.25</v>
      </c>
      <c r="CU7" s="212">
        <f t="shared" si="98"/>
        <v>1.2753712871287131</v>
      </c>
      <c r="CV7" s="63">
        <f t="shared" si="99"/>
        <v>0.74499934301626292</v>
      </c>
      <c r="CW7" s="63">
        <f t="shared" si="100"/>
        <v>0.69383305941024642</v>
      </c>
      <c r="CX7" s="184">
        <f t="shared" si="101"/>
        <v>554.6</v>
      </c>
      <c r="CY7" s="185">
        <f t="shared" si="102"/>
        <v>12.354950495049506</v>
      </c>
      <c r="CZ7" s="186">
        <f t="shared" si="103"/>
        <v>870.84444444444432</v>
      </c>
      <c r="DA7" s="185">
        <f t="shared" si="104"/>
        <v>19.399999999999999</v>
      </c>
      <c r="DB7" s="186">
        <f t="shared" si="105"/>
        <v>582</v>
      </c>
      <c r="DC7" s="185">
        <f t="shared" si="106"/>
        <v>12.965346534653467</v>
      </c>
      <c r="DD7" s="185">
        <f t="shared" si="107"/>
        <v>14.3</v>
      </c>
      <c r="DE7" s="62">
        <f t="shared" si="108"/>
        <v>6.9</v>
      </c>
      <c r="DF7" s="311"/>
      <c r="DG7" s="308" t="s">
        <v>585</v>
      </c>
      <c r="DH7" s="308" t="s">
        <v>616</v>
      </c>
      <c r="DI7" s="308">
        <v>29</v>
      </c>
      <c r="DJ7" s="308" t="s">
        <v>687</v>
      </c>
      <c r="DK7" s="308" t="s">
        <v>700</v>
      </c>
      <c r="DL7" s="308" t="s">
        <v>13</v>
      </c>
      <c r="DM7" s="308" t="s">
        <v>644</v>
      </c>
      <c r="DN7" s="313">
        <v>47118</v>
      </c>
      <c r="DO7" s="308" t="s">
        <v>554</v>
      </c>
      <c r="DP7" s="308">
        <v>4040</v>
      </c>
      <c r="DQ7" s="308" t="s">
        <v>701</v>
      </c>
      <c r="DR7" s="308">
        <v>2</v>
      </c>
      <c r="DS7" s="308">
        <v>0</v>
      </c>
      <c r="DT7" s="308">
        <v>2</v>
      </c>
      <c r="DU7" s="308">
        <v>7</v>
      </c>
      <c r="DV7" s="308">
        <v>5</v>
      </c>
      <c r="DW7" s="308">
        <v>0</v>
      </c>
      <c r="DX7" s="308">
        <v>14</v>
      </c>
      <c r="DY7" s="308">
        <v>14.3</v>
      </c>
      <c r="DZ7" s="295">
        <v>19.399999999999999</v>
      </c>
      <c r="EA7" s="295" t="s">
        <v>744</v>
      </c>
      <c r="EB7" s="295" t="s">
        <v>741</v>
      </c>
      <c r="EC7" s="295">
        <v>157</v>
      </c>
      <c r="ED7" s="295">
        <v>83</v>
      </c>
      <c r="EE7" s="295">
        <v>0.2</v>
      </c>
      <c r="EF7" s="295">
        <v>2624</v>
      </c>
      <c r="EG7" s="295">
        <v>2295</v>
      </c>
      <c r="EH7" s="295">
        <v>86</v>
      </c>
      <c r="EI7" s="295">
        <v>405</v>
      </c>
      <c r="EJ7" s="295">
        <v>34</v>
      </c>
      <c r="EK7" s="295">
        <v>9</v>
      </c>
      <c r="EL7" s="295">
        <v>427</v>
      </c>
      <c r="EM7" s="295">
        <v>115</v>
      </c>
      <c r="EN7" s="295">
        <v>51</v>
      </c>
      <c r="EO7" s="295">
        <v>94</v>
      </c>
      <c r="EP7" s="295">
        <v>77</v>
      </c>
      <c r="EQ7" s="295">
        <v>4</v>
      </c>
      <c r="ER7" s="295">
        <v>25</v>
      </c>
      <c r="ES7" s="295">
        <v>162</v>
      </c>
      <c r="ET7" s="295">
        <v>12</v>
      </c>
      <c r="EU7" s="295">
        <v>42</v>
      </c>
      <c r="EV7" s="295">
        <v>223</v>
      </c>
      <c r="EW7" s="295">
        <v>44</v>
      </c>
      <c r="EX7" s="295">
        <v>5</v>
      </c>
      <c r="EY7" s="295">
        <v>0</v>
      </c>
      <c r="EZ7" s="295">
        <v>0</v>
      </c>
      <c r="FA7" s="295">
        <v>0</v>
      </c>
      <c r="FB7" s="295">
        <v>77</v>
      </c>
      <c r="FC7" s="295" t="s">
        <v>702</v>
      </c>
      <c r="FD7" s="300">
        <v>6.9</v>
      </c>
    </row>
    <row r="8" spans="1:160" ht="24.95" customHeight="1" thickBot="1" x14ac:dyDescent="0.3">
      <c r="A8" s="29" t="str">
        <f t="shared" si="0"/>
        <v>7º</v>
      </c>
      <c r="B8" s="70" t="str">
        <f t="shared" si="1"/>
        <v>Lucas Esquivel</v>
      </c>
      <c r="C8" s="86" t="str">
        <f t="shared" si="2"/>
        <v>ARG</v>
      </c>
      <c r="D8" s="99" t="str">
        <f t="shared" si="3"/>
        <v>Pé Esquerdo</v>
      </c>
      <c r="E8" s="65" t="str">
        <f t="shared" si="4"/>
        <v>Athletico Paranaense</v>
      </c>
      <c r="F8" s="168">
        <f t="shared" si="5"/>
        <v>1.83</v>
      </c>
      <c r="G8" s="170">
        <f t="shared" si="6"/>
        <v>25</v>
      </c>
      <c r="H8" s="315" t="str">
        <f t="shared" si="7"/>
        <v>14,5m € p/m</v>
      </c>
      <c r="I8" s="66" t="str">
        <f t="shared" si="8"/>
        <v>1,4M €</v>
      </c>
      <c r="J8" s="96">
        <f t="shared" si="9"/>
        <v>32.384444444444441</v>
      </c>
      <c r="K8" s="148">
        <f t="shared" si="10"/>
        <v>37.06666666666667</v>
      </c>
      <c r="L8" s="191">
        <f t="shared" si="11"/>
        <v>50</v>
      </c>
      <c r="M8" s="191">
        <f t="shared" si="12"/>
        <v>66.72</v>
      </c>
      <c r="N8" s="192">
        <f t="shared" si="13"/>
        <v>0.5</v>
      </c>
      <c r="O8" s="55">
        <f t="shared" si="14"/>
        <v>2</v>
      </c>
      <c r="P8" s="55">
        <f t="shared" si="15"/>
        <v>5</v>
      </c>
      <c r="Q8" s="55">
        <f t="shared" si="16"/>
        <v>7</v>
      </c>
      <c r="R8" s="57">
        <f t="shared" si="17"/>
        <v>0.18884892086330934</v>
      </c>
      <c r="S8" s="56">
        <f t="shared" si="18"/>
        <v>1</v>
      </c>
      <c r="T8" s="63">
        <f t="shared" si="19"/>
        <v>2.6978417266187049E-2</v>
      </c>
      <c r="U8" s="57">
        <f t="shared" si="20"/>
        <v>0.96</v>
      </c>
      <c r="V8" s="57">
        <f t="shared" si="21"/>
        <v>2.5899280575539564E-2</v>
      </c>
      <c r="W8" s="57">
        <f t="shared" si="22"/>
        <v>0.96</v>
      </c>
      <c r="X8" s="57">
        <f t="shared" si="23"/>
        <v>2.5899280575539564E-2</v>
      </c>
      <c r="Y8" s="57">
        <f t="shared" si="24"/>
        <v>5.3</v>
      </c>
      <c r="Z8" s="57">
        <f t="shared" si="25"/>
        <v>0.14298561151079134</v>
      </c>
      <c r="AA8" s="57">
        <f t="shared" si="26"/>
        <v>6.26</v>
      </c>
      <c r="AB8" s="57">
        <f t="shared" si="27"/>
        <v>0.16888489208633092</v>
      </c>
      <c r="AC8" s="56">
        <f t="shared" si="28"/>
        <v>0</v>
      </c>
      <c r="AD8" s="56">
        <f t="shared" si="29"/>
        <v>0</v>
      </c>
      <c r="AE8" s="56">
        <f t="shared" si="30"/>
        <v>0</v>
      </c>
      <c r="AF8" s="60">
        <f t="shared" si="31"/>
        <v>9.9999999999999995E-8</v>
      </c>
      <c r="AG8" s="56">
        <f t="shared" si="32"/>
        <v>209</v>
      </c>
      <c r="AH8" s="57">
        <f t="shared" si="33"/>
        <v>5.6384892086330929</v>
      </c>
      <c r="AI8" s="55">
        <f t="shared" si="34"/>
        <v>103</v>
      </c>
      <c r="AJ8" s="57">
        <f t="shared" si="35"/>
        <v>2.778776978417266</v>
      </c>
      <c r="AK8" s="56">
        <f t="shared" si="36"/>
        <v>21</v>
      </c>
      <c r="AL8" s="57">
        <f t="shared" si="37"/>
        <v>0.56654676258992798</v>
      </c>
      <c r="AM8" s="114">
        <f t="shared" si="38"/>
        <v>0.49282296650717705</v>
      </c>
      <c r="AN8" s="56">
        <f t="shared" si="39"/>
        <v>85</v>
      </c>
      <c r="AO8" s="57">
        <f t="shared" si="40"/>
        <v>2.293165467625899</v>
      </c>
      <c r="AP8" s="56">
        <f t="shared" si="41"/>
        <v>568</v>
      </c>
      <c r="AQ8" s="57">
        <f t="shared" si="42"/>
        <v>15.323741007194243</v>
      </c>
      <c r="AR8" s="56">
        <f t="shared" si="43"/>
        <v>211</v>
      </c>
      <c r="AS8" s="57">
        <f t="shared" si="44"/>
        <v>5.6924460431654671</v>
      </c>
      <c r="AT8" s="60">
        <f t="shared" si="45"/>
        <v>0.37147887323943662</v>
      </c>
      <c r="AU8" s="61">
        <f t="shared" si="46"/>
        <v>2046</v>
      </c>
      <c r="AV8" s="62">
        <f t="shared" si="47"/>
        <v>55.197841726618698</v>
      </c>
      <c r="AW8" s="61">
        <f t="shared" si="48"/>
        <v>1807</v>
      </c>
      <c r="AX8" s="62">
        <f t="shared" si="49"/>
        <v>48.749999999999993</v>
      </c>
      <c r="AY8" s="63">
        <f t="shared" si="50"/>
        <v>0.88318670576735092</v>
      </c>
      <c r="AZ8" s="61">
        <f t="shared" si="51"/>
        <v>423</v>
      </c>
      <c r="BA8" s="57">
        <f t="shared" si="52"/>
        <v>11.411870503597122</v>
      </c>
      <c r="BB8" s="57">
        <f t="shared" si="53"/>
        <v>8.560669456066945</v>
      </c>
      <c r="BC8" s="56">
        <f t="shared" si="54"/>
        <v>1783</v>
      </c>
      <c r="BD8" s="57">
        <f t="shared" si="55"/>
        <v>48.102517985611506</v>
      </c>
      <c r="BE8" s="56">
        <f t="shared" si="56"/>
        <v>263</v>
      </c>
      <c r="BF8" s="57">
        <f t="shared" si="57"/>
        <v>7.0953237410071939</v>
      </c>
      <c r="BG8" s="316">
        <f t="shared" si="58"/>
        <v>0.14750420639371845</v>
      </c>
      <c r="BH8" s="56">
        <f t="shared" si="59"/>
        <v>210</v>
      </c>
      <c r="BI8" s="57">
        <f t="shared" si="60"/>
        <v>5.6654676258992804</v>
      </c>
      <c r="BJ8" s="56">
        <f t="shared" si="61"/>
        <v>26</v>
      </c>
      <c r="BK8" s="57">
        <f t="shared" si="62"/>
        <v>0.70143884892086328</v>
      </c>
      <c r="BL8" s="59">
        <f t="shared" si="63"/>
        <v>0.12380952380952381</v>
      </c>
      <c r="BM8" s="56">
        <f t="shared" si="64"/>
        <v>58</v>
      </c>
      <c r="BN8" s="57">
        <f t="shared" si="65"/>
        <v>1.5647482014388487</v>
      </c>
      <c r="BO8" s="57">
        <f t="shared" si="66"/>
        <v>45.698630136986303</v>
      </c>
      <c r="BP8" s="57">
        <f t="shared" si="67"/>
        <v>57.517241379310342</v>
      </c>
      <c r="BQ8" s="57">
        <f t="shared" si="68"/>
        <v>5.3</v>
      </c>
      <c r="BR8" s="57">
        <f t="shared" si="69"/>
        <v>0.29999999999999982</v>
      </c>
      <c r="BS8" s="317">
        <f t="shared" si="70"/>
        <v>95.3</v>
      </c>
      <c r="BT8" s="318">
        <f t="shared" si="71"/>
        <v>2.5710431654676258</v>
      </c>
      <c r="BU8" s="320">
        <f t="shared" si="72"/>
        <v>72</v>
      </c>
      <c r="BV8" s="321">
        <f t="shared" si="73"/>
        <v>1.9424460431654675</v>
      </c>
      <c r="BW8" s="56">
        <f t="shared" si="74"/>
        <v>5</v>
      </c>
      <c r="BX8" s="57">
        <f t="shared" si="75"/>
        <v>0.13489208633093525</v>
      </c>
      <c r="BY8" s="317">
        <f t="shared" si="76"/>
        <v>0</v>
      </c>
      <c r="BZ8" s="318">
        <f t="shared" si="77"/>
        <v>0</v>
      </c>
      <c r="CA8" s="56">
        <f t="shared" si="78"/>
        <v>2834</v>
      </c>
      <c r="CB8" s="57">
        <f t="shared" si="79"/>
        <v>76.456834532374089</v>
      </c>
      <c r="CC8" s="56">
        <f t="shared" si="80"/>
        <v>112</v>
      </c>
      <c r="CD8" s="57">
        <f t="shared" si="81"/>
        <v>3.0215827338129495</v>
      </c>
      <c r="CE8" s="56">
        <f t="shared" si="82"/>
        <v>69</v>
      </c>
      <c r="CF8" s="57">
        <f t="shared" si="83"/>
        <v>1.8615107913669062</v>
      </c>
      <c r="CG8" s="63">
        <f t="shared" si="84"/>
        <v>0.6160714285714286</v>
      </c>
      <c r="CH8" s="213">
        <f t="shared" si="85"/>
        <v>7.413333333333334</v>
      </c>
      <c r="CI8" s="212">
        <f t="shared" si="86"/>
        <v>0.2</v>
      </c>
      <c r="CJ8" s="305">
        <f t="shared" si="87"/>
        <v>243.91333333333333</v>
      </c>
      <c r="CK8" s="306">
        <f t="shared" si="88"/>
        <v>6.5803956834532364</v>
      </c>
      <c r="CL8" s="56">
        <f t="shared" si="89"/>
        <v>364</v>
      </c>
      <c r="CM8" s="56">
        <f t="shared" si="90"/>
        <v>200</v>
      </c>
      <c r="CN8" s="57">
        <f t="shared" si="91"/>
        <v>5.3956834532374094</v>
      </c>
      <c r="CO8" s="63">
        <f t="shared" si="92"/>
        <v>0.5494505494505495</v>
      </c>
      <c r="CP8" s="56">
        <f t="shared" si="93"/>
        <v>537.97</v>
      </c>
      <c r="CQ8" s="57">
        <f t="shared" si="94"/>
        <v>14.513579136690646</v>
      </c>
      <c r="CR8" s="56">
        <f t="shared" si="95"/>
        <v>385.70666666666665</v>
      </c>
      <c r="CS8" s="212">
        <f t="shared" si="96"/>
        <v>10.405755395683451</v>
      </c>
      <c r="CT8" s="213">
        <f t="shared" si="97"/>
        <v>96.25</v>
      </c>
      <c r="CU8" s="212">
        <f t="shared" si="98"/>
        <v>2.5966726618705032</v>
      </c>
      <c r="CV8" s="63">
        <f t="shared" si="99"/>
        <v>0.71696686928019526</v>
      </c>
      <c r="CW8" s="63">
        <f t="shared" si="100"/>
        <v>0.64936379997856541</v>
      </c>
      <c r="CX8" s="184">
        <f t="shared" si="101"/>
        <v>464.4</v>
      </c>
      <c r="CY8" s="185">
        <f t="shared" si="102"/>
        <v>12.528776978417264</v>
      </c>
      <c r="CZ8" s="186">
        <f t="shared" si="103"/>
        <v>704.26666666666677</v>
      </c>
      <c r="DA8" s="185">
        <f t="shared" si="104"/>
        <v>19</v>
      </c>
      <c r="DB8" s="186">
        <f t="shared" si="105"/>
        <v>466</v>
      </c>
      <c r="DC8" s="185">
        <f t="shared" si="106"/>
        <v>12.571942446043165</v>
      </c>
      <c r="DD8" s="185">
        <f t="shared" si="107"/>
        <v>12.9</v>
      </c>
      <c r="DE8" s="62">
        <f t="shared" si="108"/>
        <v>6.87</v>
      </c>
      <c r="DF8" s="312"/>
      <c r="DG8" s="309" t="s">
        <v>703</v>
      </c>
      <c r="DH8" s="309" t="s">
        <v>586</v>
      </c>
      <c r="DI8" s="309">
        <v>25</v>
      </c>
      <c r="DJ8" s="309" t="s">
        <v>704</v>
      </c>
      <c r="DK8" s="309" t="s">
        <v>688</v>
      </c>
      <c r="DL8" s="309" t="s">
        <v>478</v>
      </c>
      <c r="DM8" s="309" t="s">
        <v>651</v>
      </c>
      <c r="DN8" s="314">
        <v>47848</v>
      </c>
      <c r="DO8" s="309" t="s">
        <v>614</v>
      </c>
      <c r="DP8" s="309">
        <v>3336</v>
      </c>
      <c r="DQ8" s="309" t="s">
        <v>705</v>
      </c>
      <c r="DR8" s="309">
        <v>1</v>
      </c>
      <c r="DS8" s="309">
        <v>0</v>
      </c>
      <c r="DT8" s="309">
        <v>2</v>
      </c>
      <c r="DU8" s="309">
        <v>5</v>
      </c>
      <c r="DV8" s="309">
        <v>9</v>
      </c>
      <c r="DW8" s="309">
        <v>0</v>
      </c>
      <c r="DX8" s="309">
        <v>6</v>
      </c>
      <c r="DY8" s="309">
        <v>12.9</v>
      </c>
      <c r="DZ8" s="297">
        <v>19</v>
      </c>
      <c r="EA8" s="297" t="s">
        <v>752</v>
      </c>
      <c r="EB8" s="297" t="s">
        <v>745</v>
      </c>
      <c r="EC8" s="297">
        <v>112</v>
      </c>
      <c r="ED8" s="297">
        <v>69</v>
      </c>
      <c r="EE8" s="297">
        <v>0.2</v>
      </c>
      <c r="EF8" s="297">
        <v>2046</v>
      </c>
      <c r="EG8" s="297">
        <v>1807</v>
      </c>
      <c r="EH8" s="297">
        <v>58</v>
      </c>
      <c r="EI8" s="297">
        <v>263</v>
      </c>
      <c r="EJ8" s="297">
        <v>18</v>
      </c>
      <c r="EK8" s="297">
        <v>9</v>
      </c>
      <c r="EL8" s="297">
        <v>338</v>
      </c>
      <c r="EM8" s="297">
        <v>82</v>
      </c>
      <c r="EN8" s="297">
        <v>85</v>
      </c>
      <c r="EO8" s="297">
        <v>124</v>
      </c>
      <c r="EP8" s="297">
        <v>103</v>
      </c>
      <c r="EQ8" s="297">
        <v>5</v>
      </c>
      <c r="ER8" s="297">
        <v>21</v>
      </c>
      <c r="ES8" s="297">
        <v>131</v>
      </c>
      <c r="ET8" s="297">
        <v>13</v>
      </c>
      <c r="EU8" s="297">
        <v>40</v>
      </c>
      <c r="EV8" s="297">
        <v>210</v>
      </c>
      <c r="EW8" s="297">
        <v>26</v>
      </c>
      <c r="EX8" s="297">
        <v>5</v>
      </c>
      <c r="EY8" s="297">
        <v>5</v>
      </c>
      <c r="EZ8" s="297">
        <v>0</v>
      </c>
      <c r="FA8" s="297">
        <v>0</v>
      </c>
      <c r="FB8" s="297">
        <v>72</v>
      </c>
      <c r="FC8" s="297" t="s">
        <v>706</v>
      </c>
      <c r="FD8" s="302">
        <v>6.87</v>
      </c>
    </row>
    <row r="9" spans="1:160" ht="24.95" customHeight="1" thickBot="1" x14ac:dyDescent="0.3">
      <c r="A9" s="29" t="str">
        <f t="shared" si="0"/>
        <v>8º</v>
      </c>
      <c r="B9" s="70" t="str">
        <f t="shared" si="1"/>
        <v>Mateusinho</v>
      </c>
      <c r="C9" s="86" t="str">
        <f t="shared" si="2"/>
        <v>BRA</v>
      </c>
      <c r="D9" s="99" t="str">
        <f t="shared" si="3"/>
        <v>Pé Direito</v>
      </c>
      <c r="E9" s="65" t="str">
        <f t="shared" si="4"/>
        <v>Vitória</v>
      </c>
      <c r="F9" s="168">
        <f t="shared" si="5"/>
        <v>1.75</v>
      </c>
      <c r="G9" s="170">
        <f t="shared" si="6"/>
        <v>28</v>
      </c>
      <c r="H9" s="315" t="str">
        <f t="shared" si="7"/>
        <v>4,5m € p/m</v>
      </c>
      <c r="I9" s="66" t="str">
        <f t="shared" si="8"/>
        <v>80,8M</v>
      </c>
      <c r="J9" s="96">
        <f t="shared" si="9"/>
        <v>32.384444444444441</v>
      </c>
      <c r="K9" s="148">
        <f t="shared" si="10"/>
        <v>18.955555555555556</v>
      </c>
      <c r="L9" s="191">
        <f t="shared" si="11"/>
        <v>36</v>
      </c>
      <c r="M9" s="191">
        <f t="shared" si="12"/>
        <v>47.388888888888886</v>
      </c>
      <c r="N9" s="192">
        <f t="shared" si="13"/>
        <v>0.47</v>
      </c>
      <c r="O9" s="55">
        <f t="shared" si="14"/>
        <v>1</v>
      </c>
      <c r="P9" s="55">
        <f t="shared" si="15"/>
        <v>8</v>
      </c>
      <c r="Q9" s="55">
        <f t="shared" si="16"/>
        <v>9</v>
      </c>
      <c r="R9" s="57">
        <f t="shared" si="17"/>
        <v>0.47479484173505276</v>
      </c>
      <c r="S9" s="56">
        <f t="shared" si="18"/>
        <v>1</v>
      </c>
      <c r="T9" s="63">
        <f t="shared" si="19"/>
        <v>5.2754982415005862E-2</v>
      </c>
      <c r="U9" s="57">
        <f t="shared" si="20"/>
        <v>1.05</v>
      </c>
      <c r="V9" s="57">
        <f t="shared" si="21"/>
        <v>5.5392731535756155E-2</v>
      </c>
      <c r="W9" s="57">
        <f t="shared" si="22"/>
        <v>1.05</v>
      </c>
      <c r="X9" s="57">
        <f t="shared" si="23"/>
        <v>5.5392731535756155E-2</v>
      </c>
      <c r="Y9" s="57">
        <f t="shared" si="24"/>
        <v>5.21</v>
      </c>
      <c r="Z9" s="57">
        <f t="shared" si="25"/>
        <v>0.27485345838218056</v>
      </c>
      <c r="AA9" s="57">
        <f t="shared" si="26"/>
        <v>6.26</v>
      </c>
      <c r="AB9" s="57">
        <f t="shared" si="27"/>
        <v>0.33024618991793669</v>
      </c>
      <c r="AC9" s="56">
        <f t="shared" si="28"/>
        <v>0</v>
      </c>
      <c r="AD9" s="56">
        <f t="shared" si="29"/>
        <v>0</v>
      </c>
      <c r="AE9" s="56">
        <f t="shared" si="30"/>
        <v>0</v>
      </c>
      <c r="AF9" s="60">
        <f t="shared" si="31"/>
        <v>9.9999999999999995E-8</v>
      </c>
      <c r="AG9" s="56">
        <f t="shared" si="32"/>
        <v>46</v>
      </c>
      <c r="AH9" s="57">
        <f t="shared" si="33"/>
        <v>2.4267291910902697</v>
      </c>
      <c r="AI9" s="55">
        <f t="shared" si="34"/>
        <v>26</v>
      </c>
      <c r="AJ9" s="57">
        <f t="shared" si="35"/>
        <v>1.3716295427901524</v>
      </c>
      <c r="AK9" s="56">
        <f t="shared" si="36"/>
        <v>4</v>
      </c>
      <c r="AL9" s="57">
        <f t="shared" si="37"/>
        <v>0.21101992966002345</v>
      </c>
      <c r="AM9" s="114">
        <f t="shared" si="38"/>
        <v>0.56521739130434778</v>
      </c>
      <c r="AN9" s="56">
        <f t="shared" si="39"/>
        <v>16</v>
      </c>
      <c r="AO9" s="57">
        <f t="shared" si="40"/>
        <v>0.84407971864009379</v>
      </c>
      <c r="AP9" s="56">
        <f t="shared" si="41"/>
        <v>178</v>
      </c>
      <c r="AQ9" s="57">
        <f t="shared" si="42"/>
        <v>9.390386869871044</v>
      </c>
      <c r="AR9" s="56">
        <f t="shared" si="43"/>
        <v>72</v>
      </c>
      <c r="AS9" s="57">
        <f t="shared" si="44"/>
        <v>3.7983587338804221</v>
      </c>
      <c r="AT9" s="60">
        <f t="shared" si="45"/>
        <v>0.4044943820224719</v>
      </c>
      <c r="AU9" s="61">
        <f t="shared" si="46"/>
        <v>914</v>
      </c>
      <c r="AV9" s="62">
        <f t="shared" si="47"/>
        <v>48.21805392731536</v>
      </c>
      <c r="AW9" s="61">
        <f t="shared" si="48"/>
        <v>775</v>
      </c>
      <c r="AX9" s="62">
        <f t="shared" si="49"/>
        <v>40.885111371629542</v>
      </c>
      <c r="AY9" s="63">
        <f t="shared" si="50"/>
        <v>0.84792122538293213</v>
      </c>
      <c r="AZ9" s="61">
        <f t="shared" si="51"/>
        <v>294</v>
      </c>
      <c r="BA9" s="57">
        <f t="shared" si="52"/>
        <v>15.509964830011723</v>
      </c>
      <c r="BB9" s="57">
        <f t="shared" si="53"/>
        <v>6.5755395683453237</v>
      </c>
      <c r="BC9" s="56">
        <f t="shared" si="54"/>
        <v>787</v>
      </c>
      <c r="BD9" s="57">
        <f t="shared" si="55"/>
        <v>41.518171160609612</v>
      </c>
      <c r="BE9" s="56">
        <f t="shared" si="56"/>
        <v>127</v>
      </c>
      <c r="BF9" s="57">
        <f t="shared" si="57"/>
        <v>6.6998827667057448</v>
      </c>
      <c r="BG9" s="316">
        <f t="shared" si="58"/>
        <v>0.16137229987293519</v>
      </c>
      <c r="BH9" s="56">
        <f t="shared" si="59"/>
        <v>187</v>
      </c>
      <c r="BI9" s="57">
        <f t="shared" si="60"/>
        <v>9.8651817116060965</v>
      </c>
      <c r="BJ9" s="56">
        <f t="shared" si="61"/>
        <v>32</v>
      </c>
      <c r="BK9" s="57">
        <f t="shared" si="62"/>
        <v>1.6881594372801876</v>
      </c>
      <c r="BL9" s="59">
        <f t="shared" si="63"/>
        <v>0.17112299465240641</v>
      </c>
      <c r="BM9" s="56">
        <f t="shared" si="64"/>
        <v>45</v>
      </c>
      <c r="BN9" s="57">
        <f t="shared" si="65"/>
        <v>2.3739742086752638</v>
      </c>
      <c r="BO9" s="57">
        <f t="shared" si="66"/>
        <v>25.46268656716418</v>
      </c>
      <c r="BP9" s="57">
        <f t="shared" si="67"/>
        <v>37.911111111111111</v>
      </c>
      <c r="BQ9" s="57">
        <f t="shared" si="68"/>
        <v>5.21</v>
      </c>
      <c r="BR9" s="57">
        <f t="shared" si="69"/>
        <v>-2.79</v>
      </c>
      <c r="BS9" s="317">
        <f t="shared" si="70"/>
        <v>96.21</v>
      </c>
      <c r="BT9" s="318">
        <f t="shared" si="71"/>
        <v>5.0755568581477135</v>
      </c>
      <c r="BU9" s="320">
        <f t="shared" si="72"/>
        <v>39</v>
      </c>
      <c r="BV9" s="321">
        <f t="shared" si="73"/>
        <v>2.0574443141852288</v>
      </c>
      <c r="BW9" s="56">
        <f t="shared" si="74"/>
        <v>2</v>
      </c>
      <c r="BX9" s="57">
        <f t="shared" si="75"/>
        <v>0.10550996483001172</v>
      </c>
      <c r="BY9" s="317">
        <f t="shared" si="76"/>
        <v>0</v>
      </c>
      <c r="BZ9" s="318">
        <f t="shared" si="77"/>
        <v>0</v>
      </c>
      <c r="CA9" s="56">
        <f t="shared" si="78"/>
        <v>1391</v>
      </c>
      <c r="CB9" s="57">
        <f t="shared" si="79"/>
        <v>73.382180539273151</v>
      </c>
      <c r="CC9" s="56">
        <f t="shared" si="80"/>
        <v>67</v>
      </c>
      <c r="CD9" s="57">
        <f t="shared" si="81"/>
        <v>3.5345838218053927</v>
      </c>
      <c r="CE9" s="56">
        <f t="shared" si="82"/>
        <v>40</v>
      </c>
      <c r="CF9" s="57">
        <f t="shared" si="83"/>
        <v>2.1101992966002343</v>
      </c>
      <c r="CG9" s="63">
        <f t="shared" si="84"/>
        <v>0.59701492537313428</v>
      </c>
      <c r="CH9" s="213">
        <f t="shared" si="85"/>
        <v>5.6866666666666665</v>
      </c>
      <c r="CI9" s="212">
        <f t="shared" si="86"/>
        <v>0.3</v>
      </c>
      <c r="CJ9" s="305">
        <f t="shared" si="87"/>
        <v>109.68666666666667</v>
      </c>
      <c r="CK9" s="306">
        <f t="shared" si="88"/>
        <v>5.7865181711606093</v>
      </c>
      <c r="CL9" s="56">
        <f t="shared" si="89"/>
        <v>307</v>
      </c>
      <c r="CM9" s="56">
        <f t="shared" si="90"/>
        <v>160.5</v>
      </c>
      <c r="CN9" s="57">
        <f t="shared" si="91"/>
        <v>8.4671746776084404</v>
      </c>
      <c r="CO9" s="63">
        <f t="shared" si="92"/>
        <v>0.5228013029315961</v>
      </c>
      <c r="CP9" s="56">
        <f t="shared" si="93"/>
        <v>223.32</v>
      </c>
      <c r="CQ9" s="57">
        <f t="shared" si="94"/>
        <v>11.781242672919108</v>
      </c>
      <c r="CR9" s="56">
        <f t="shared" si="95"/>
        <v>175.84333333333333</v>
      </c>
      <c r="CS9" s="212">
        <f t="shared" si="96"/>
        <v>9.276611957796014</v>
      </c>
      <c r="CT9" s="213">
        <f t="shared" si="97"/>
        <v>21</v>
      </c>
      <c r="CU9" s="212">
        <f t="shared" si="98"/>
        <v>1.1078546307151231</v>
      </c>
      <c r="CV9" s="63">
        <f t="shared" si="99"/>
        <v>0.78740521822198339</v>
      </c>
      <c r="CW9" s="63">
        <f t="shared" si="100"/>
        <v>0.63422713330316305</v>
      </c>
      <c r="CX9" s="184">
        <f t="shared" si="101"/>
        <v>242.2</v>
      </c>
      <c r="CY9" s="185">
        <f t="shared" si="102"/>
        <v>12.777256740914419</v>
      </c>
      <c r="CZ9" s="186">
        <f t="shared" si="103"/>
        <v>420.81333333333333</v>
      </c>
      <c r="DA9" s="185">
        <f t="shared" si="104"/>
        <v>22.2</v>
      </c>
      <c r="DB9" s="186">
        <f t="shared" si="105"/>
        <v>321</v>
      </c>
      <c r="DC9" s="185">
        <f t="shared" si="106"/>
        <v>16.934349355216881</v>
      </c>
      <c r="DD9" s="185">
        <f t="shared" si="107"/>
        <v>14.9</v>
      </c>
      <c r="DE9" s="62">
        <f t="shared" si="108"/>
        <v>6.94</v>
      </c>
      <c r="DF9" s="312"/>
      <c r="DG9" s="309" t="s">
        <v>617</v>
      </c>
      <c r="DH9" s="309" t="s">
        <v>588</v>
      </c>
      <c r="DI9" s="309">
        <v>28</v>
      </c>
      <c r="DJ9" s="309" t="s">
        <v>619</v>
      </c>
      <c r="DK9" s="309" t="s">
        <v>707</v>
      </c>
      <c r="DL9" s="309" t="s">
        <v>13</v>
      </c>
      <c r="DM9" s="309" t="s">
        <v>643</v>
      </c>
      <c r="DN9" s="314">
        <v>47118</v>
      </c>
      <c r="DO9" s="309" t="s">
        <v>592</v>
      </c>
      <c r="DP9" s="309">
        <v>1706</v>
      </c>
      <c r="DQ9" s="309" t="s">
        <v>708</v>
      </c>
      <c r="DR9" s="309">
        <v>1</v>
      </c>
      <c r="DS9" s="309">
        <v>0</v>
      </c>
      <c r="DT9" s="309">
        <v>1</v>
      </c>
      <c r="DU9" s="309">
        <v>8</v>
      </c>
      <c r="DV9" s="309">
        <v>4</v>
      </c>
      <c r="DW9" s="309">
        <v>0</v>
      </c>
      <c r="DX9" s="309">
        <v>14</v>
      </c>
      <c r="DY9" s="309">
        <v>14.9</v>
      </c>
      <c r="DZ9" s="297">
        <v>22.2</v>
      </c>
      <c r="EA9" s="297" t="s">
        <v>753</v>
      </c>
      <c r="EB9" s="297" t="s">
        <v>746</v>
      </c>
      <c r="EC9" s="297">
        <v>67</v>
      </c>
      <c r="ED9" s="297">
        <v>40</v>
      </c>
      <c r="EE9" s="297">
        <v>0.3</v>
      </c>
      <c r="EF9" s="297">
        <v>914</v>
      </c>
      <c r="EG9" s="297">
        <v>775</v>
      </c>
      <c r="EH9" s="297">
        <v>45</v>
      </c>
      <c r="EI9" s="297">
        <v>127</v>
      </c>
      <c r="EJ9" s="297">
        <v>22</v>
      </c>
      <c r="EK9" s="297">
        <v>8</v>
      </c>
      <c r="EL9" s="297">
        <v>124</v>
      </c>
      <c r="EM9" s="297">
        <v>36</v>
      </c>
      <c r="EN9" s="297">
        <v>16</v>
      </c>
      <c r="EO9" s="297">
        <v>30</v>
      </c>
      <c r="EP9" s="297">
        <v>26</v>
      </c>
      <c r="EQ9" s="297">
        <v>2</v>
      </c>
      <c r="ER9" s="297">
        <v>8</v>
      </c>
      <c r="ES9" s="297">
        <v>77</v>
      </c>
      <c r="ET9" s="297">
        <v>4</v>
      </c>
      <c r="EU9" s="297">
        <v>16</v>
      </c>
      <c r="EV9" s="297">
        <v>187</v>
      </c>
      <c r="EW9" s="297">
        <v>32</v>
      </c>
      <c r="EX9" s="297">
        <v>4</v>
      </c>
      <c r="EY9" s="297">
        <v>1</v>
      </c>
      <c r="EZ9" s="297">
        <v>0</v>
      </c>
      <c r="FA9" s="297">
        <v>0</v>
      </c>
      <c r="FB9" s="297">
        <v>39</v>
      </c>
      <c r="FC9" s="297" t="s">
        <v>709</v>
      </c>
      <c r="FD9" s="302">
        <v>6.94</v>
      </c>
    </row>
    <row r="10" spans="1:160" ht="24.95" customHeight="1" thickBot="1" x14ac:dyDescent="0.3">
      <c r="A10" s="29" t="str">
        <f t="shared" si="0"/>
        <v>9º</v>
      </c>
      <c r="B10" s="70" t="str">
        <f t="shared" si="1"/>
        <v>Paulo Henrique</v>
      </c>
      <c r="C10" s="86" t="str">
        <f t="shared" si="2"/>
        <v>BRA</v>
      </c>
      <c r="D10" s="99" t="str">
        <f t="shared" si="3"/>
        <v>Pé Direito</v>
      </c>
      <c r="E10" s="65" t="str">
        <f t="shared" si="4"/>
        <v>Vasco da Gama</v>
      </c>
      <c r="F10" s="168">
        <f t="shared" si="5"/>
        <v>1.75</v>
      </c>
      <c r="G10" s="170">
        <f t="shared" si="6"/>
        <v>30</v>
      </c>
      <c r="H10" s="315" t="str">
        <f t="shared" si="7"/>
        <v>41,5m € p/m</v>
      </c>
      <c r="I10" s="66" t="str">
        <f t="shared" si="8"/>
        <v>3,4M</v>
      </c>
      <c r="J10" s="96">
        <f t="shared" si="9"/>
        <v>32.384444444444441</v>
      </c>
      <c r="K10" s="148">
        <f t="shared" si="10"/>
        <v>36.333333333333336</v>
      </c>
      <c r="L10" s="191">
        <f t="shared" si="11"/>
        <v>44</v>
      </c>
      <c r="M10" s="191">
        <f t="shared" si="12"/>
        <v>74.318181818181813</v>
      </c>
      <c r="N10" s="192">
        <f t="shared" si="13"/>
        <v>0.93</v>
      </c>
      <c r="O10" s="55">
        <f t="shared" si="14"/>
        <v>3</v>
      </c>
      <c r="P10" s="55">
        <f t="shared" si="15"/>
        <v>10</v>
      </c>
      <c r="Q10" s="55">
        <f t="shared" si="16"/>
        <v>13</v>
      </c>
      <c r="R10" s="57">
        <f t="shared" si="17"/>
        <v>0.35779816513761464</v>
      </c>
      <c r="S10" s="56">
        <f t="shared" si="18"/>
        <v>4</v>
      </c>
      <c r="T10" s="63">
        <f t="shared" si="19"/>
        <v>0.11009174311926605</v>
      </c>
      <c r="U10" s="57">
        <f t="shared" si="20"/>
        <v>3.2</v>
      </c>
      <c r="V10" s="57">
        <f t="shared" si="21"/>
        <v>8.8073394495412849E-2</v>
      </c>
      <c r="W10" s="57">
        <f t="shared" si="22"/>
        <v>3.2</v>
      </c>
      <c r="X10" s="57">
        <f t="shared" si="23"/>
        <v>8.8073394495412849E-2</v>
      </c>
      <c r="Y10" s="57">
        <f t="shared" si="24"/>
        <v>9.4</v>
      </c>
      <c r="Z10" s="57">
        <f t="shared" si="25"/>
        <v>0.25871559633027524</v>
      </c>
      <c r="AA10" s="57">
        <f t="shared" si="26"/>
        <v>12.600000000000001</v>
      </c>
      <c r="AB10" s="57">
        <f t="shared" si="27"/>
        <v>0.34678899082568809</v>
      </c>
      <c r="AC10" s="56">
        <f t="shared" si="28"/>
        <v>0</v>
      </c>
      <c r="AD10" s="56">
        <f t="shared" si="29"/>
        <v>0</v>
      </c>
      <c r="AE10" s="56">
        <f t="shared" si="30"/>
        <v>0</v>
      </c>
      <c r="AF10" s="60">
        <f t="shared" si="31"/>
        <v>9.9999999999999995E-8</v>
      </c>
      <c r="AG10" s="56">
        <f t="shared" si="32"/>
        <v>148</v>
      </c>
      <c r="AH10" s="57">
        <f t="shared" si="33"/>
        <v>4.0733944954128436</v>
      </c>
      <c r="AI10" s="55">
        <f t="shared" si="34"/>
        <v>88</v>
      </c>
      <c r="AJ10" s="57">
        <f t="shared" si="35"/>
        <v>2.4220183486238529</v>
      </c>
      <c r="AK10" s="56">
        <f t="shared" si="36"/>
        <v>23</v>
      </c>
      <c r="AL10" s="57">
        <f t="shared" si="37"/>
        <v>0.6330275229357798</v>
      </c>
      <c r="AM10" s="114">
        <f t="shared" si="38"/>
        <v>0.59459459459459463</v>
      </c>
      <c r="AN10" s="56">
        <f t="shared" si="39"/>
        <v>37</v>
      </c>
      <c r="AO10" s="57">
        <f t="shared" si="40"/>
        <v>1.0183486238532109</v>
      </c>
      <c r="AP10" s="56">
        <f t="shared" si="41"/>
        <v>511</v>
      </c>
      <c r="AQ10" s="57">
        <f t="shared" si="42"/>
        <v>14.064220183486238</v>
      </c>
      <c r="AR10" s="56">
        <f t="shared" si="43"/>
        <v>217</v>
      </c>
      <c r="AS10" s="57">
        <f t="shared" si="44"/>
        <v>5.9724770642201834</v>
      </c>
      <c r="AT10" s="60">
        <f t="shared" si="45"/>
        <v>0.42465753424657532</v>
      </c>
      <c r="AU10" s="61">
        <f t="shared" si="46"/>
        <v>2152</v>
      </c>
      <c r="AV10" s="62">
        <f t="shared" si="47"/>
        <v>59.229357798165132</v>
      </c>
      <c r="AW10" s="61">
        <f t="shared" si="48"/>
        <v>1873</v>
      </c>
      <c r="AX10" s="62">
        <f t="shared" si="49"/>
        <v>51.550458715596328</v>
      </c>
      <c r="AY10" s="63">
        <f t="shared" si="50"/>
        <v>0.87035315985130113</v>
      </c>
      <c r="AZ10" s="61">
        <f t="shared" si="51"/>
        <v>387</v>
      </c>
      <c r="BA10" s="57">
        <f t="shared" si="52"/>
        <v>10.651376146788991</v>
      </c>
      <c r="BB10" s="57">
        <f t="shared" si="53"/>
        <v>7.7132616487455197</v>
      </c>
      <c r="BC10" s="56">
        <f t="shared" si="54"/>
        <v>1896</v>
      </c>
      <c r="BD10" s="57">
        <f t="shared" si="55"/>
        <v>52.183486238532105</v>
      </c>
      <c r="BE10" s="56">
        <f t="shared" si="56"/>
        <v>256</v>
      </c>
      <c r="BF10" s="57">
        <f t="shared" si="57"/>
        <v>7.045871559633027</v>
      </c>
      <c r="BG10" s="316">
        <f t="shared" si="58"/>
        <v>0.13502109704641349</v>
      </c>
      <c r="BH10" s="56">
        <f t="shared" si="59"/>
        <v>127</v>
      </c>
      <c r="BI10" s="57">
        <f t="shared" si="60"/>
        <v>3.4954128440366969</v>
      </c>
      <c r="BJ10" s="56">
        <f t="shared" si="61"/>
        <v>19</v>
      </c>
      <c r="BK10" s="57">
        <f t="shared" si="62"/>
        <v>0.52293577981651373</v>
      </c>
      <c r="BL10" s="59">
        <f t="shared" si="63"/>
        <v>0.14960629921259844</v>
      </c>
      <c r="BM10" s="56">
        <f t="shared" si="64"/>
        <v>54</v>
      </c>
      <c r="BN10" s="57">
        <f t="shared" si="65"/>
        <v>1.4862385321100917</v>
      </c>
      <c r="BO10" s="57">
        <f t="shared" si="66"/>
        <v>37.159090909090907</v>
      </c>
      <c r="BP10" s="57">
        <f t="shared" si="67"/>
        <v>60.555555555555557</v>
      </c>
      <c r="BQ10" s="57">
        <f t="shared" si="68"/>
        <v>9.4</v>
      </c>
      <c r="BR10" s="57">
        <f t="shared" si="69"/>
        <v>-0.59999999999999964</v>
      </c>
      <c r="BS10" s="317">
        <f t="shared" si="70"/>
        <v>98.4</v>
      </c>
      <c r="BT10" s="318">
        <f t="shared" si="71"/>
        <v>2.7082568807339449</v>
      </c>
      <c r="BU10" s="320">
        <f t="shared" si="72"/>
        <v>69</v>
      </c>
      <c r="BV10" s="321">
        <f t="shared" si="73"/>
        <v>1.8990825688073394</v>
      </c>
      <c r="BW10" s="56">
        <f t="shared" si="74"/>
        <v>8</v>
      </c>
      <c r="BX10" s="57">
        <f t="shared" si="75"/>
        <v>0.22018348623853209</v>
      </c>
      <c r="BY10" s="317">
        <f t="shared" si="76"/>
        <v>1</v>
      </c>
      <c r="BZ10" s="318">
        <f t="shared" si="77"/>
        <v>2.7522935779816512E-2</v>
      </c>
      <c r="CA10" s="56">
        <f t="shared" si="78"/>
        <v>2820</v>
      </c>
      <c r="CB10" s="57">
        <f t="shared" si="79"/>
        <v>77.614678899082563</v>
      </c>
      <c r="CC10" s="56">
        <f t="shared" si="80"/>
        <v>135</v>
      </c>
      <c r="CD10" s="57">
        <f t="shared" si="81"/>
        <v>3.7155963302752291</v>
      </c>
      <c r="CE10" s="56">
        <f t="shared" si="82"/>
        <v>63</v>
      </c>
      <c r="CF10" s="57">
        <f t="shared" si="83"/>
        <v>1.7339449541284402</v>
      </c>
      <c r="CG10" s="63">
        <f t="shared" si="84"/>
        <v>0.46666666666666667</v>
      </c>
      <c r="CH10" s="213">
        <f t="shared" si="85"/>
        <v>7.2666666666666675</v>
      </c>
      <c r="CI10" s="212">
        <f t="shared" si="86"/>
        <v>0.2</v>
      </c>
      <c r="CJ10" s="305">
        <f t="shared" si="87"/>
        <v>234.26666666666668</v>
      </c>
      <c r="CK10" s="306">
        <f t="shared" si="88"/>
        <v>6.4477064220183484</v>
      </c>
      <c r="CL10" s="56">
        <f t="shared" si="89"/>
        <v>313</v>
      </c>
      <c r="CM10" s="56">
        <f t="shared" si="90"/>
        <v>203</v>
      </c>
      <c r="CN10" s="57">
        <f t="shared" si="91"/>
        <v>5.5871559633027523</v>
      </c>
      <c r="CO10" s="63">
        <f t="shared" si="92"/>
        <v>0.6485623003194888</v>
      </c>
      <c r="CP10" s="56">
        <f t="shared" si="93"/>
        <v>513.31999999999994</v>
      </c>
      <c r="CQ10" s="57">
        <f t="shared" si="94"/>
        <v>14.128073394495409</v>
      </c>
      <c r="CR10" s="56">
        <f t="shared" si="95"/>
        <v>382.63333333333333</v>
      </c>
      <c r="CS10" s="212">
        <f t="shared" si="96"/>
        <v>10.531192660550458</v>
      </c>
      <c r="CT10" s="213">
        <f t="shared" si="97"/>
        <v>47</v>
      </c>
      <c r="CU10" s="212">
        <f t="shared" si="98"/>
        <v>1.2935779816513762</v>
      </c>
      <c r="CV10" s="63">
        <f t="shared" si="99"/>
        <v>0.74540897166160169</v>
      </c>
      <c r="CW10" s="63">
        <f t="shared" si="100"/>
        <v>0.70872462645625589</v>
      </c>
      <c r="CX10" s="184">
        <f t="shared" si="101"/>
        <v>453.2</v>
      </c>
      <c r="CY10" s="185">
        <f t="shared" si="102"/>
        <v>12.473394495412842</v>
      </c>
      <c r="CZ10" s="186">
        <f t="shared" si="103"/>
        <v>635.83333333333337</v>
      </c>
      <c r="DA10" s="185">
        <f t="shared" si="104"/>
        <v>17.5</v>
      </c>
      <c r="DB10" s="186">
        <f t="shared" si="105"/>
        <v>459</v>
      </c>
      <c r="DC10" s="185">
        <f t="shared" si="106"/>
        <v>12.633027522935778</v>
      </c>
      <c r="DD10" s="185">
        <f t="shared" si="107"/>
        <v>12.1</v>
      </c>
      <c r="DE10" s="62">
        <f t="shared" si="108"/>
        <v>7.04</v>
      </c>
      <c r="DF10" s="312" t="s">
        <v>639</v>
      </c>
      <c r="DG10" s="309" t="s">
        <v>727</v>
      </c>
      <c r="DH10" s="309" t="s">
        <v>588</v>
      </c>
      <c r="DI10" s="309">
        <v>30</v>
      </c>
      <c r="DJ10" s="309" t="s">
        <v>728</v>
      </c>
      <c r="DK10" s="309" t="s">
        <v>650</v>
      </c>
      <c r="DL10" s="309" t="s">
        <v>13</v>
      </c>
      <c r="DM10" s="309" t="s">
        <v>643</v>
      </c>
      <c r="DN10" s="314">
        <v>47118</v>
      </c>
      <c r="DO10" s="309" t="s">
        <v>583</v>
      </c>
      <c r="DP10" s="309">
        <v>3270</v>
      </c>
      <c r="DQ10" s="309" t="s">
        <v>729</v>
      </c>
      <c r="DR10" s="309">
        <v>4</v>
      </c>
      <c r="DS10" s="309">
        <v>1</v>
      </c>
      <c r="DT10" s="309">
        <v>3</v>
      </c>
      <c r="DU10" s="309">
        <v>10</v>
      </c>
      <c r="DV10" s="309">
        <v>4</v>
      </c>
      <c r="DW10" s="309">
        <v>1</v>
      </c>
      <c r="DX10" s="309">
        <v>16</v>
      </c>
      <c r="DY10" s="309">
        <v>12.1</v>
      </c>
      <c r="DZ10" s="297">
        <v>17.5</v>
      </c>
      <c r="EA10" s="297" t="s">
        <v>756</v>
      </c>
      <c r="EB10" s="297" t="s">
        <v>749</v>
      </c>
      <c r="EC10" s="297">
        <v>135</v>
      </c>
      <c r="ED10" s="297">
        <v>63</v>
      </c>
      <c r="EE10" s="297">
        <v>0.2</v>
      </c>
      <c r="EF10" s="297">
        <v>2152</v>
      </c>
      <c r="EG10" s="297">
        <v>1873</v>
      </c>
      <c r="EH10" s="297">
        <v>54</v>
      </c>
      <c r="EI10" s="297">
        <v>256</v>
      </c>
      <c r="EJ10" s="297">
        <v>47</v>
      </c>
      <c r="EK10" s="297">
        <v>18</v>
      </c>
      <c r="EL10" s="297">
        <v>340</v>
      </c>
      <c r="EM10" s="297">
        <v>98</v>
      </c>
      <c r="EN10" s="297">
        <v>37</v>
      </c>
      <c r="EO10" s="297">
        <v>111</v>
      </c>
      <c r="EP10" s="297">
        <v>88</v>
      </c>
      <c r="EQ10" s="297">
        <v>8</v>
      </c>
      <c r="ER10" s="297">
        <v>23</v>
      </c>
      <c r="ES10" s="297">
        <v>135</v>
      </c>
      <c r="ET10" s="297">
        <v>17</v>
      </c>
      <c r="EU10" s="297">
        <v>45</v>
      </c>
      <c r="EV10" s="297">
        <v>127</v>
      </c>
      <c r="EW10" s="297">
        <v>19</v>
      </c>
      <c r="EX10" s="297">
        <v>1</v>
      </c>
      <c r="EY10" s="297">
        <v>0</v>
      </c>
      <c r="EZ10" s="297">
        <v>0</v>
      </c>
      <c r="FA10" s="297">
        <v>0</v>
      </c>
      <c r="FB10" s="297">
        <v>69</v>
      </c>
      <c r="FC10" s="297" t="s">
        <v>730</v>
      </c>
      <c r="FD10" s="302">
        <v>7.04</v>
      </c>
    </row>
    <row r="11" spans="1:160" ht="24.95" customHeight="1" thickBot="1" x14ac:dyDescent="0.3">
      <c r="A11" s="29" t="str">
        <f t="shared" si="0"/>
        <v>10º</v>
      </c>
      <c r="B11" s="70" t="str">
        <f t="shared" si="1"/>
        <v>Vanderlan</v>
      </c>
      <c r="C11" s="86" t="str">
        <f t="shared" si="2"/>
        <v>BRA</v>
      </c>
      <c r="D11" s="99" t="str">
        <f t="shared" si="3"/>
        <v>Somente Pé Esquerdo</v>
      </c>
      <c r="E11" s="65" t="str">
        <f t="shared" si="4"/>
        <v>Bragantino</v>
      </c>
      <c r="F11" s="168">
        <f t="shared" si="5"/>
        <v>1.83</v>
      </c>
      <c r="G11" s="170">
        <f t="shared" si="6"/>
        <v>24</v>
      </c>
      <c r="H11" s="315" t="str">
        <f t="shared" si="7"/>
        <v>9,5m € p/m</v>
      </c>
      <c r="I11" s="66" t="str">
        <f t="shared" si="8"/>
        <v>5,8M €</v>
      </c>
      <c r="J11" s="96">
        <f t="shared" si="9"/>
        <v>32.384444444444441</v>
      </c>
      <c r="K11" s="148">
        <f t="shared" si="10"/>
        <v>21.333333333333332</v>
      </c>
      <c r="L11" s="191">
        <f t="shared" si="11"/>
        <v>47</v>
      </c>
      <c r="M11" s="191">
        <f t="shared" si="12"/>
        <v>40.851063829787236</v>
      </c>
      <c r="N11" s="192">
        <f t="shared" si="13"/>
        <v>0.38</v>
      </c>
      <c r="O11" s="55">
        <f t="shared" si="14"/>
        <v>1</v>
      </c>
      <c r="P11" s="55">
        <f t="shared" si="15"/>
        <v>5</v>
      </c>
      <c r="Q11" s="55">
        <f t="shared" si="16"/>
        <v>6</v>
      </c>
      <c r="R11" s="57">
        <f t="shared" si="17"/>
        <v>0.28125</v>
      </c>
      <c r="S11" s="56">
        <f t="shared" si="18"/>
        <v>0</v>
      </c>
      <c r="T11" s="63">
        <f t="shared" si="19"/>
        <v>0</v>
      </c>
      <c r="U11" s="57">
        <f t="shared" si="20"/>
        <v>2.29</v>
      </c>
      <c r="V11" s="57">
        <f t="shared" si="21"/>
        <v>0.10734375</v>
      </c>
      <c r="W11" s="57">
        <f t="shared" si="22"/>
        <v>1.5</v>
      </c>
      <c r="X11" s="57">
        <f t="shared" si="23"/>
        <v>7.03125E-2</v>
      </c>
      <c r="Y11" s="57">
        <f t="shared" si="24"/>
        <v>3.82</v>
      </c>
      <c r="Z11" s="57">
        <f t="shared" si="25"/>
        <v>0.17906250000000001</v>
      </c>
      <c r="AA11" s="57">
        <f t="shared" si="26"/>
        <v>5.32</v>
      </c>
      <c r="AB11" s="57">
        <f t="shared" si="27"/>
        <v>0.24937500000000001</v>
      </c>
      <c r="AC11" s="56">
        <f t="shared" si="28"/>
        <v>1</v>
      </c>
      <c r="AD11" s="56">
        <f t="shared" si="29"/>
        <v>1</v>
      </c>
      <c r="AE11" s="56">
        <f t="shared" si="30"/>
        <v>0</v>
      </c>
      <c r="AF11" s="60">
        <f t="shared" si="31"/>
        <v>1</v>
      </c>
      <c r="AG11" s="56">
        <f t="shared" si="32"/>
        <v>108</v>
      </c>
      <c r="AH11" s="57">
        <f t="shared" si="33"/>
        <v>5.0625</v>
      </c>
      <c r="AI11" s="55">
        <f t="shared" si="34"/>
        <v>53</v>
      </c>
      <c r="AJ11" s="57">
        <f t="shared" si="35"/>
        <v>2.484375</v>
      </c>
      <c r="AK11" s="56">
        <f t="shared" si="36"/>
        <v>24</v>
      </c>
      <c r="AL11" s="57">
        <f t="shared" si="37"/>
        <v>1.125</v>
      </c>
      <c r="AM11" s="114">
        <f t="shared" si="38"/>
        <v>0.49074074074074076</v>
      </c>
      <c r="AN11" s="56">
        <f t="shared" si="39"/>
        <v>31</v>
      </c>
      <c r="AO11" s="57">
        <f t="shared" si="40"/>
        <v>1.453125</v>
      </c>
      <c r="AP11" s="56">
        <f t="shared" si="41"/>
        <v>307</v>
      </c>
      <c r="AQ11" s="57">
        <f t="shared" si="42"/>
        <v>14.390625</v>
      </c>
      <c r="AR11" s="56">
        <f t="shared" si="43"/>
        <v>125</v>
      </c>
      <c r="AS11" s="57">
        <f t="shared" si="44"/>
        <v>5.859375</v>
      </c>
      <c r="AT11" s="60">
        <f t="shared" si="45"/>
        <v>0.40716612377850164</v>
      </c>
      <c r="AU11" s="61">
        <f t="shared" si="46"/>
        <v>1444</v>
      </c>
      <c r="AV11" s="62">
        <f t="shared" si="47"/>
        <v>67.6875</v>
      </c>
      <c r="AW11" s="61">
        <f t="shared" si="48"/>
        <v>1264</v>
      </c>
      <c r="AX11" s="62">
        <f t="shared" si="49"/>
        <v>59.25</v>
      </c>
      <c r="AY11" s="63">
        <f t="shared" si="50"/>
        <v>0.8753462603878116</v>
      </c>
      <c r="AZ11" s="61">
        <f t="shared" si="51"/>
        <v>261</v>
      </c>
      <c r="BA11" s="57">
        <f t="shared" si="52"/>
        <v>12.234375</v>
      </c>
      <c r="BB11" s="57">
        <f t="shared" si="53"/>
        <v>8.0222222222222221</v>
      </c>
      <c r="BC11" s="56">
        <f t="shared" si="54"/>
        <v>1243</v>
      </c>
      <c r="BD11" s="57">
        <f t="shared" si="55"/>
        <v>58.265625</v>
      </c>
      <c r="BE11" s="56">
        <f t="shared" si="56"/>
        <v>201</v>
      </c>
      <c r="BF11" s="57">
        <f t="shared" si="57"/>
        <v>9.421875</v>
      </c>
      <c r="BG11" s="316">
        <f t="shared" si="58"/>
        <v>0.16170555108608206</v>
      </c>
      <c r="BH11" s="56">
        <f t="shared" si="59"/>
        <v>101</v>
      </c>
      <c r="BI11" s="57">
        <f t="shared" si="60"/>
        <v>4.734375</v>
      </c>
      <c r="BJ11" s="56">
        <f t="shared" si="61"/>
        <v>20</v>
      </c>
      <c r="BK11" s="57">
        <f t="shared" si="62"/>
        <v>0.9375</v>
      </c>
      <c r="BL11" s="59">
        <f t="shared" si="63"/>
        <v>0.19801980198019803</v>
      </c>
      <c r="BM11" s="56">
        <f t="shared" si="64"/>
        <v>35</v>
      </c>
      <c r="BN11" s="57">
        <f t="shared" si="65"/>
        <v>1.640625</v>
      </c>
      <c r="BO11" s="57">
        <f t="shared" si="66"/>
        <v>36.92307692307692</v>
      </c>
      <c r="BP11" s="57">
        <f t="shared" si="67"/>
        <v>54.857142857142854</v>
      </c>
      <c r="BQ11" s="57">
        <f t="shared" si="68"/>
        <v>3.82</v>
      </c>
      <c r="BR11" s="57">
        <f t="shared" si="69"/>
        <v>-1.1800000000000002</v>
      </c>
      <c r="BS11" s="317">
        <f t="shared" si="70"/>
        <v>67.819999999999993</v>
      </c>
      <c r="BT11" s="318">
        <f t="shared" si="71"/>
        <v>3.1790624999999997</v>
      </c>
      <c r="BU11" s="320">
        <f t="shared" si="72"/>
        <v>32</v>
      </c>
      <c r="BV11" s="321">
        <f t="shared" si="73"/>
        <v>1.5</v>
      </c>
      <c r="BW11" s="56">
        <f t="shared" si="74"/>
        <v>6</v>
      </c>
      <c r="BX11" s="57">
        <f t="shared" si="75"/>
        <v>0.28125</v>
      </c>
      <c r="BY11" s="317">
        <f t="shared" si="76"/>
        <v>0</v>
      </c>
      <c r="BZ11" s="318">
        <f t="shared" si="77"/>
        <v>0</v>
      </c>
      <c r="CA11" s="56">
        <f t="shared" si="78"/>
        <v>1924</v>
      </c>
      <c r="CB11" s="57">
        <f t="shared" si="79"/>
        <v>90.1875</v>
      </c>
      <c r="CC11" s="56">
        <f t="shared" si="80"/>
        <v>89</v>
      </c>
      <c r="CD11" s="57">
        <f t="shared" si="81"/>
        <v>4.171875</v>
      </c>
      <c r="CE11" s="56">
        <f t="shared" si="82"/>
        <v>68</v>
      </c>
      <c r="CF11" s="57">
        <f t="shared" si="83"/>
        <v>3.1875</v>
      </c>
      <c r="CG11" s="63">
        <f t="shared" si="84"/>
        <v>0.7640449438202247</v>
      </c>
      <c r="CH11" s="213">
        <f t="shared" si="85"/>
        <v>10.666666666666666</v>
      </c>
      <c r="CI11" s="212">
        <f t="shared" si="86"/>
        <v>0.5</v>
      </c>
      <c r="CJ11" s="305">
        <f t="shared" si="87"/>
        <v>160.66666666666666</v>
      </c>
      <c r="CK11" s="306">
        <f t="shared" si="88"/>
        <v>7.53125</v>
      </c>
      <c r="CL11" s="56">
        <f t="shared" si="89"/>
        <v>195</v>
      </c>
      <c r="CM11" s="56">
        <f t="shared" si="90"/>
        <v>121.5</v>
      </c>
      <c r="CN11" s="57">
        <f t="shared" si="91"/>
        <v>5.6953125</v>
      </c>
      <c r="CO11" s="63">
        <f t="shared" si="92"/>
        <v>0.62307692307692308</v>
      </c>
      <c r="CP11" s="56">
        <f t="shared" si="93"/>
        <v>352.31</v>
      </c>
      <c r="CQ11" s="57">
        <f t="shared" si="94"/>
        <v>16.514531250000001</v>
      </c>
      <c r="CR11" s="56">
        <f t="shared" si="95"/>
        <v>278.33333333333331</v>
      </c>
      <c r="CS11" s="212">
        <f t="shared" si="96"/>
        <v>13.046875</v>
      </c>
      <c r="CT11" s="213">
        <f t="shared" si="97"/>
        <v>39.75</v>
      </c>
      <c r="CU11" s="212">
        <f t="shared" si="98"/>
        <v>1.86328125</v>
      </c>
      <c r="CV11" s="63">
        <f t="shared" si="99"/>
        <v>0.79002393725223041</v>
      </c>
      <c r="CW11" s="63">
        <f t="shared" si="100"/>
        <v>0.73054271497566892</v>
      </c>
      <c r="CX11" s="184">
        <f t="shared" si="101"/>
        <v>276.5</v>
      </c>
      <c r="CY11" s="185">
        <f t="shared" si="102"/>
        <v>12.9609375</v>
      </c>
      <c r="CZ11" s="186">
        <f t="shared" si="103"/>
        <v>364.8</v>
      </c>
      <c r="DA11" s="185">
        <f t="shared" si="104"/>
        <v>17.100000000000001</v>
      </c>
      <c r="DB11" s="186">
        <f t="shared" si="105"/>
        <v>282</v>
      </c>
      <c r="DC11" s="185">
        <f t="shared" si="106"/>
        <v>13.21875</v>
      </c>
      <c r="DD11" s="185">
        <f t="shared" si="107"/>
        <v>13.7</v>
      </c>
      <c r="DE11" s="62">
        <f t="shared" si="108"/>
        <v>6.97</v>
      </c>
      <c r="DF11" s="311" t="s">
        <v>19</v>
      </c>
      <c r="DG11" s="308" t="s">
        <v>733</v>
      </c>
      <c r="DH11" s="308" t="s">
        <v>586</v>
      </c>
      <c r="DI11" s="308">
        <v>24</v>
      </c>
      <c r="DJ11" s="308" t="s">
        <v>734</v>
      </c>
      <c r="DK11" s="308" t="s">
        <v>735</v>
      </c>
      <c r="DL11" s="308" t="s">
        <v>13</v>
      </c>
      <c r="DM11" s="308" t="s">
        <v>649</v>
      </c>
      <c r="DN11" s="313">
        <v>47848</v>
      </c>
      <c r="DO11" s="308" t="s">
        <v>555</v>
      </c>
      <c r="DP11" s="308">
        <v>1920</v>
      </c>
      <c r="DQ11" s="308" t="s">
        <v>736</v>
      </c>
      <c r="DR11" s="308">
        <v>0</v>
      </c>
      <c r="DS11" s="308">
        <v>0</v>
      </c>
      <c r="DT11" s="308">
        <v>1</v>
      </c>
      <c r="DU11" s="308">
        <v>5</v>
      </c>
      <c r="DV11" s="308">
        <v>7</v>
      </c>
      <c r="DW11" s="308">
        <v>0</v>
      </c>
      <c r="DX11" s="308">
        <v>9</v>
      </c>
      <c r="DY11" s="308">
        <v>13.7</v>
      </c>
      <c r="DZ11" s="295">
        <v>17.100000000000001</v>
      </c>
      <c r="EA11" s="295" t="s">
        <v>758</v>
      </c>
      <c r="EB11" s="295" t="s">
        <v>751</v>
      </c>
      <c r="EC11" s="295">
        <v>89</v>
      </c>
      <c r="ED11" s="295">
        <v>68</v>
      </c>
      <c r="EE11" s="295">
        <v>0.5</v>
      </c>
      <c r="EF11" s="295">
        <v>1444</v>
      </c>
      <c r="EG11" s="295">
        <v>1264</v>
      </c>
      <c r="EH11" s="295">
        <v>35</v>
      </c>
      <c r="EI11" s="295">
        <v>201</v>
      </c>
      <c r="EJ11" s="295">
        <v>18</v>
      </c>
      <c r="EK11" s="295">
        <v>8</v>
      </c>
      <c r="EL11" s="295">
        <v>182</v>
      </c>
      <c r="EM11" s="295">
        <v>49</v>
      </c>
      <c r="EN11" s="295">
        <v>31</v>
      </c>
      <c r="EO11" s="295">
        <v>77</v>
      </c>
      <c r="EP11" s="295">
        <v>53</v>
      </c>
      <c r="EQ11" s="295">
        <v>6</v>
      </c>
      <c r="ER11" s="295">
        <v>17</v>
      </c>
      <c r="ES11" s="295">
        <v>94</v>
      </c>
      <c r="ET11" s="295">
        <v>8</v>
      </c>
      <c r="EU11" s="295">
        <v>27</v>
      </c>
      <c r="EV11" s="295">
        <v>101</v>
      </c>
      <c r="EW11" s="295">
        <v>20</v>
      </c>
      <c r="EX11" s="295">
        <v>8</v>
      </c>
      <c r="EY11" s="295">
        <v>0</v>
      </c>
      <c r="EZ11" s="295">
        <v>1</v>
      </c>
      <c r="FA11" s="295">
        <v>1</v>
      </c>
      <c r="FB11" s="295">
        <v>32</v>
      </c>
      <c r="FC11" s="295" t="s">
        <v>737</v>
      </c>
      <c r="FD11" s="300">
        <v>6.97</v>
      </c>
    </row>
  </sheetData>
  <autoFilter ref="B1:FD11" xr:uid="{00000000-0001-0000-0200-000000000000}">
    <sortState xmlns:xlrd2="http://schemas.microsoft.com/office/spreadsheetml/2017/richdata2" ref="B2:FD11">
      <sortCondition ref="B1:B11"/>
    </sortState>
  </autoFilter>
  <phoneticPr fontId="53" type="noConversion"/>
  <conditionalFormatting sqref="O1:O1048576">
    <cfRule type="iconSet" priority="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iconSet" priority="5">
      <iconSet iconSet="4Arrows">
        <cfvo type="percent" val="0"/>
        <cfvo type="percent" val="25"/>
        <cfvo type="percent" val="50"/>
        <cfvo type="percent" val="75"/>
      </iconSet>
    </cfRule>
    <cfRule type="colorScale" priority="3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805">
      <colorScale>
        <cfvo type="min"/>
        <cfvo type="percentile" val="50"/>
        <cfvo type="max"/>
        <color theme="8" tint="0.79998168889431442"/>
        <color theme="8" tint="0.39997558519241921"/>
        <color theme="8" tint="-0.249977111117893"/>
      </colorScale>
    </cfRule>
    <cfRule type="colorScale" priority="508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iconSet" priority="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817">
      <colorScale>
        <cfvo type="min"/>
        <cfvo type="percentile" val="50"/>
        <cfvo type="max"/>
        <color theme="8" tint="0.79998168889431442"/>
        <color theme="8" tint="0.39997558519241921"/>
        <color theme="8" tint="-0.249977111117893"/>
      </colorScale>
    </cfRule>
    <cfRule type="colorScale" priority="508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:AI1048576">
    <cfRule type="iconSet" priority="23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:AG1048576">
    <cfRule type="iconSet" priority="23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:AJ1048576">
    <cfRule type="colorScale" priority="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O1048576">
    <cfRule type="colorScale" priority="50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:AQ1048576">
    <cfRule type="colorScale" priority="4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:AS1048576">
    <cfRule type="colorScale" priority="509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:AT1048576">
    <cfRule type="iconSet" priority="25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iconSet" priority="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09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921">
      <colorScale>
        <cfvo type="min"/>
        <cfvo type="percentile" val="50"/>
        <cfvo type="max"/>
        <color theme="8" tint="0.79998168889431442"/>
        <color theme="8" tint="0.39997558519241921"/>
        <color theme="8" tint="-0.249977111117893"/>
      </colorScale>
    </cfRule>
  </conditionalFormatting>
  <conditionalFormatting sqref="AP1:AT1048576">
    <cfRule type="colorScale" priority="50928">
      <colorScale>
        <cfvo type="min"/>
        <cfvo type="percentile" val="50"/>
        <cfvo type="max"/>
        <color theme="7" tint="0.79998168889431442"/>
        <color theme="7" tint="0.59999389629810485"/>
        <color theme="7" tint="0.39997558519241921"/>
      </colorScale>
    </cfRule>
  </conditionalFormatting>
  <conditionalFormatting sqref="BM1:BM1048576">
    <cfRule type="iconSet" priority="25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98">
      <colorScale>
        <cfvo type="min"/>
        <cfvo type="percentile" val="50"/>
        <cfvo type="max"/>
        <color rgb="FFF8696B"/>
        <color theme="4" tint="0.39997558519241921"/>
        <color rgb="FF00B0F0"/>
      </colorScale>
    </cfRule>
  </conditionalFormatting>
  <conditionalFormatting sqref="Q1:Q1048576">
    <cfRule type="colorScale" priority="3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:AS1048576">
    <cfRule type="colorScale" priority="5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O1048576">
    <cfRule type="colorScale" priority="5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1:BB1048576">
    <cfRule type="iconSet" priority="170">
      <iconSet iconSet="3ArrowsGray" reverse="1">
        <cfvo type="percent" val="0"/>
        <cfvo type="percent" val="33"/>
        <cfvo type="percent" val="67"/>
      </iconSet>
    </cfRule>
    <cfRule type="colorScale" priority="277">
      <colorScale>
        <cfvo type="min"/>
        <cfvo type="max"/>
        <color rgb="FFFCFCFF"/>
        <color rgb="FFF8696B"/>
      </colorScale>
    </cfRule>
  </conditionalFormatting>
  <conditionalFormatting sqref="BA1:BA1048576">
    <cfRule type="colorScale" priority="278">
      <colorScale>
        <cfvo type="min"/>
        <cfvo type="max"/>
        <color rgb="FFFCFCFF"/>
        <color rgb="FFF8696B"/>
      </colorScale>
    </cfRule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1:CL1048576">
    <cfRule type="iconSet" priority="26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1:CN1048576"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1:CO1048576">
    <cfRule type="iconSet" priority="24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1:CN1048576">
    <cfRule type="iconSet" priority="24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W1:CW1048576">
    <cfRule type="iconSet" priority="26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1:CM1048576">
    <cfRule type="iconSet" priority="26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1048576">
    <cfRule type="colorScale" priority="3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1048576">
    <cfRule type="colorScale" priority="3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N1048576">
    <cfRule type="iconSet" priority="253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79">
      <colorScale>
        <cfvo type="min"/>
        <cfvo type="max"/>
        <color rgb="FFFCFCFF"/>
        <color rgb="FFF8696B"/>
      </colorScale>
    </cfRule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iconSet" priority="252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80">
      <colorScale>
        <cfvo type="min"/>
        <cfvo type="max"/>
        <color rgb="FFFCFCFF"/>
        <color rgb="FFF8696B"/>
      </colorScale>
    </cfRule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:AP1048576">
    <cfRule type="iconSet" priority="27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AQ1048576">
    <cfRule type="iconSet" priority="25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:AR1048576">
    <cfRule type="iconSet" priority="26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:AS1048576">
    <cfRule type="iconSet" priority="25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1:DE1048576">
    <cfRule type="colorScale" priority="344">
      <colorScale>
        <cfvo type="num" val="6.6"/>
        <cfvo type="num" val="6.65"/>
        <cfvo type="num" val="7"/>
        <color rgb="FFF8696B"/>
        <color rgb="FFFFEB84"/>
        <color rgb="FF63BE7B"/>
      </colorScale>
    </cfRule>
    <cfRule type="iconSet" priority="352">
      <iconSet iconSet="3Arrows">
        <cfvo type="percent" val="0"/>
        <cfvo type="num" val="6.7"/>
        <cfvo type="num" val="7"/>
      </iconSet>
    </cfRule>
  </conditionalFormatting>
  <conditionalFormatting sqref="DE1:DE1048576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1">
    <cfRule type="colorScale" priority="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AB1">
    <cfRule type="colorScale" priority="3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AB1">
    <cfRule type="colorScale" priority="3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AB1">
    <cfRule type="colorScale" priority="3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AB1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:AB1">
    <cfRule type="colorScale" priority="3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1:AB1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">
    <cfRule type="colorScale" priority="325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1:AB1">
    <cfRule type="colorScale" priority="3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">
    <cfRule type="colorScale" priority="323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3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">
    <cfRule type="colorScale" priority="330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">
    <cfRule type="colorScale" priority="329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">
    <cfRule type="colorScale" priority="328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X1">
    <cfRule type="colorScale" priority="327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Y1">
    <cfRule type="colorScale" priority="326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A1">
    <cfRule type="colorScale" priority="324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C1"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">
    <cfRule type="colorScale" priority="317">
      <colorScale>
        <cfvo type="min"/>
        <cfvo type="max"/>
        <color rgb="FFFFEF9C"/>
        <color rgb="FF63BE7B"/>
      </colorScale>
    </cfRule>
  </conditionalFormatting>
  <conditionalFormatting sqref="AC1:AC1048576">
    <cfRule type="colorScale" priority="2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max"/>
        <color rgb="FFFFEF9C"/>
        <color rgb="FF63BE7B"/>
      </colorScale>
    </cfRule>
  </conditionalFormatting>
  <conditionalFormatting sqref="AD2:AF1048576">
    <cfRule type="colorScale" priority="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:AF1048576">
    <cfRule type="colorScale" priority="310">
      <colorScale>
        <cfvo type="min"/>
        <cfvo type="max"/>
        <color rgb="FFFFEF9C"/>
        <color rgb="FF63BE7B"/>
      </colorScale>
    </cfRule>
  </conditionalFormatting>
  <conditionalFormatting sqref="AD1:AF1">
    <cfRule type="colorScale" priority="3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F1"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max"/>
        <color rgb="FFFFEF9C"/>
        <color rgb="FF63BE7B"/>
      </colorScale>
    </cfRule>
  </conditionalFormatting>
  <conditionalFormatting sqref="AE1">
    <cfRule type="colorScale" priority="305">
      <colorScale>
        <cfvo type="min"/>
        <cfvo type="max"/>
        <color rgb="FFFCFCFF"/>
        <color rgb="FFF8696B"/>
      </colorScale>
    </cfRule>
  </conditionalFormatting>
  <conditionalFormatting sqref="AF1">
    <cfRule type="colorScale" priority="3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colorScale" priority="2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1048576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02">
      <colorScale>
        <cfvo type="min"/>
        <cfvo type="max"/>
        <color rgb="FFFCFCFF"/>
        <color rgb="FFF8696B"/>
      </colorScale>
    </cfRule>
  </conditionalFormatting>
  <conditionalFormatting sqref="AF1:AF1048576">
    <cfRule type="colorScale" priority="2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U1048576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{C9556B89-F02C-494E-8924-135F87758A8B}</x14:id>
        </ext>
      </extLst>
    </cfRule>
    <cfRule type="colorScale" priority="298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V1:V1048576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{33F0FCFA-36D1-4279-B529-7B31F58C517D}</x14:id>
        </ext>
      </extLst>
    </cfRule>
    <cfRule type="colorScale" priority="297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W1:W1048576">
    <cfRule type="dataBar" priority="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{953C22EF-0DA8-4FEF-8116-2565270667DC}</x14:id>
        </ext>
      </extLst>
    </cfRule>
    <cfRule type="colorScale" priority="296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X1:X1048576">
    <cfRule type="dataBar" priority="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{3B384AA2-138D-4DBB-938B-E3D0EDF42314}</x14:id>
        </ext>
      </extLst>
    </cfRule>
    <cfRule type="colorScale" priority="295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Y1:Y1048576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{864C00F7-7CF2-488B-A48D-7D7888BCE7F8}</x14:id>
        </ext>
      </extLst>
    </cfRule>
    <cfRule type="colorScale" priority="294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Z1:Z1048576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{F6A0A220-5AE8-4657-92AA-0F2E4724DFF0}</x14:id>
        </ext>
      </extLst>
    </cfRule>
    <cfRule type="colorScale" priority="293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A1:AA1048576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{1F65FE95-19E7-45D1-8A6E-1BC9EC43E665}</x14:id>
        </ext>
      </extLst>
    </cfRule>
    <cfRule type="colorScale" priority="292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B1:AB1048576">
    <cfRule type="dataBar" priority="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{B76FC543-0DC4-420D-B2D3-20A769E744B2}</x14:id>
        </ext>
      </extLst>
    </cfRule>
    <cfRule type="colorScale" priority="291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G2:G11">
    <cfRule type="colorScale" priority="763242">
      <colorScale>
        <cfvo type="num" val="23"/>
        <cfvo type="num" val="28"/>
        <cfvo type="num" val="30"/>
        <color rgb="FF63BE7B"/>
        <color rgb="FFFFEB84"/>
        <color rgb="FFF8696B"/>
      </colorScale>
    </cfRule>
  </conditionalFormatting>
  <conditionalFormatting sqref="AK1:AK1048576">
    <cfRule type="colorScale" priority="236">
      <colorScale>
        <cfvo type="min"/>
        <cfvo type="max"/>
        <color rgb="FFFCFCFF"/>
        <color rgb="FFF8696B"/>
      </colorScale>
    </cfRule>
  </conditionalFormatting>
  <conditionalFormatting sqref="AL1:AL1048576">
    <cfRule type="colorScale" priority="235">
      <colorScale>
        <cfvo type="min"/>
        <cfvo type="max"/>
        <color rgb="FFFCFCFF"/>
        <color rgb="FFF8696B"/>
      </colorScale>
    </cfRule>
  </conditionalFormatting>
  <conditionalFormatting sqref="CX1:CX1048576">
    <cfRule type="colorScale" priority="231">
      <colorScale>
        <cfvo type="min"/>
        <cfvo type="percentile" val="50"/>
        <cfvo type="max"/>
        <color rgb="FFF8696B"/>
        <color theme="8" tint="0.79998168889431442"/>
        <color rgb="FF00B0F0"/>
      </colorScale>
    </cfRule>
    <cfRule type="iconSet" priority="232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B1:DB1048576">
    <cfRule type="iconSet" priority="217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20">
      <colorScale>
        <cfvo type="min"/>
        <cfvo type="max"/>
        <color rgb="FFFCFCFF"/>
        <color rgb="FFF8696B"/>
      </colorScale>
    </cfRule>
  </conditionalFormatting>
  <conditionalFormatting sqref="DC1:DC1048576">
    <cfRule type="iconSet" priority="216">
      <iconSet iconSet="3Arrows" reverse="1">
        <cfvo type="percent" val="0"/>
        <cfvo type="percent" val="33"/>
        <cfvo type="percent" val="67"/>
      </iconSet>
    </cfRule>
    <cfRule type="colorScale" priority="219">
      <colorScale>
        <cfvo type="min"/>
        <cfvo type="max"/>
        <color rgb="FFFCFCFF"/>
        <color rgb="FFF8696B"/>
      </colorScale>
    </cfRule>
  </conditionalFormatting>
  <conditionalFormatting sqref="DD1:DD1048576">
    <cfRule type="iconSet" priority="215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:S1048576">
    <cfRule type="colorScale" priority="207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209">
      <iconSet iconSet="3ArrowsGray">
        <cfvo type="percent" val="0"/>
        <cfvo type="percent" val="33"/>
        <cfvo type="percent" val="67"/>
      </iconSet>
    </cfRule>
  </conditionalFormatting>
  <conditionalFormatting sqref="T1:T1048576">
    <cfRule type="colorScale" priority="206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208">
      <iconSet iconSet="3ArrowsGray">
        <cfvo type="percent" val="0"/>
        <cfvo type="percent" val="33"/>
        <cfvo type="percent" val="67"/>
      </iconSet>
    </cfRule>
  </conditionalFormatting>
  <conditionalFormatting sqref="BQ1:BQ1048576">
    <cfRule type="colorScale" priority="193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{828E7614-D558-4A4A-BE37-DFA7F077EC1A}</x14:id>
        </ext>
      </extLst>
    </cfRule>
  </conditionalFormatting>
  <conditionalFormatting sqref="I1:I1048576">
    <cfRule type="containsText" dxfId="4" priority="192" operator="containsText" text="Desconhecido">
      <formula>NOT(ISERROR(SEARCH("Desconhecido",I1)))</formula>
    </cfRule>
  </conditionalFormatting>
  <conditionalFormatting sqref="DA1:DA1048576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180">
      <colorScale>
        <cfvo type="min"/>
        <cfvo type="max"/>
        <color rgb="FFFFEF9C"/>
        <color rgb="FF63BE7B"/>
      </colorScale>
    </cfRule>
  </conditionalFormatting>
  <conditionalFormatting sqref="L1:L1048576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76">
      <colorScale>
        <cfvo type="min"/>
        <cfvo type="num" val="75"/>
        <cfvo type="num" val="90"/>
        <color rgb="FFF8696B"/>
        <color rgb="FFFFEB84"/>
        <color rgb="FF63BE7B"/>
      </colorScale>
    </cfRule>
  </conditionalFormatting>
  <conditionalFormatting sqref="N1:N1048576">
    <cfRule type="dataBar" priority="1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{E900F056-9E90-40A6-9CAC-59D7BCC49E47}</x14:id>
        </ext>
      </extLst>
    </cfRule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1">
    <cfRule type="colorScale" priority="172">
      <colorScale>
        <cfvo type="num" val="0"/>
        <cfvo type="num" val="1.75"/>
        <cfvo type="num" val="1.84"/>
        <color rgb="FFF8696B"/>
        <color rgb="FFFFEB84"/>
        <color rgb="FF63BE7B"/>
      </colorScale>
    </cfRule>
  </conditionalFormatting>
  <conditionalFormatting sqref="AZ1:AZ1048576">
    <cfRule type="colorScale" priority="171">
      <colorScale>
        <cfvo type="min"/>
        <cfvo type="max"/>
        <color rgb="FFFFAFAF"/>
        <color rgb="FFF8696B"/>
      </colorScale>
    </cfRule>
  </conditionalFormatting>
  <conditionalFormatting sqref="CA1:CA1048576">
    <cfRule type="iconSet" priority="15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3">
      <colorScale>
        <cfvo type="min"/>
        <cfvo type="max"/>
        <color rgb="FFFFEF9C"/>
        <color rgb="FF63BE7B"/>
      </colorScale>
    </cfRule>
  </conditionalFormatting>
  <conditionalFormatting sqref="CB1:CB1048576">
    <cfRule type="iconSet" priority="150">
      <iconSet iconSet="3Arrows">
        <cfvo type="percent" val="0"/>
        <cfvo type="percent" val="33"/>
        <cfvo type="percent" val="67"/>
      </iconSet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1:CC1048576">
    <cfRule type="iconSet" priority="146">
      <iconSet iconSet="3ArrowsGray">
        <cfvo type="percent" val="0"/>
        <cfvo type="percent" val="33"/>
        <cfvo type="percent" val="67"/>
      </iconSet>
    </cfRule>
    <cfRule type="colorScale" priority="149">
      <colorScale>
        <cfvo type="min"/>
        <cfvo type="max"/>
        <color rgb="FFFFEF9C"/>
        <color rgb="FF63BE7B"/>
      </colorScale>
    </cfRule>
  </conditionalFormatting>
  <conditionalFormatting sqref="CE1:CE1048576">
    <cfRule type="iconSet" priority="145">
      <iconSet iconSet="3ArrowsGray">
        <cfvo type="percent" val="0"/>
        <cfvo type="percent" val="33"/>
        <cfvo type="percent" val="67"/>
      </iconSet>
    </cfRule>
    <cfRule type="colorScale" priority="148">
      <colorScale>
        <cfvo type="min"/>
        <cfvo type="max"/>
        <color rgb="FFFFEF9C"/>
        <color rgb="FF63BE7B"/>
      </colorScale>
    </cfRule>
  </conditionalFormatting>
  <conditionalFormatting sqref="CG1:CG1048576">
    <cfRule type="iconSet" priority="13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1:BN1048576">
    <cfRule type="iconSet" priority="12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30">
      <colorScale>
        <cfvo type="min"/>
        <cfvo type="percentile" val="50"/>
        <cfvo type="max"/>
        <color rgb="FFF8696B"/>
        <color theme="4" tint="0.59999389629810485"/>
        <color rgb="FF00B0F0"/>
      </colorScale>
    </cfRule>
  </conditionalFormatting>
  <conditionalFormatting sqref="BO1:BO1048576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1:BP1048576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1:BW1048576">
    <cfRule type="iconSet" priority="11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1:BX1048576">
    <cfRule type="iconSet" priority="11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Y1:CY1048576">
    <cfRule type="colorScale" priority="112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Z1:CZ1048576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:CP1048576">
    <cfRule type="iconSet" priority="78">
      <iconSet iconSet="3ArrowsGray">
        <cfvo type="percent" val="0"/>
        <cfvo type="percent" val="33"/>
        <cfvo type="percent" val="67"/>
      </iconSet>
    </cfRule>
    <cfRule type="colorScale" priority="79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CR1:CR1048576">
    <cfRule type="iconSet" priority="8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S1:CS1048576">
    <cfRule type="iconSet" priority="8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CT10485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{AB6A3896-9054-41C5-B4D3-CED4049B13F6}</x14:id>
        </ext>
      </extLst>
    </cfRule>
    <cfRule type="iconSet" priority="83">
      <iconSet iconSet="3ArrowsGray" reverse="1">
        <cfvo type="percent" val="0"/>
        <cfvo type="percent" val="33"/>
        <cfvo type="percent" val="67"/>
      </iconSet>
    </cfRule>
    <cfRule type="colorScale" priority="85">
      <colorScale>
        <cfvo type="min"/>
        <cfvo type="max"/>
        <color rgb="FFFCFCFF"/>
        <color rgb="FFF8696B"/>
      </colorScale>
    </cfRule>
  </conditionalFormatting>
  <conditionalFormatting sqref="CU1:CU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{ACF1B960-8F63-428D-A700-25AEB66F934D}</x14:id>
        </ext>
      </extLst>
    </cfRule>
    <cfRule type="iconSet" priority="82">
      <iconSet iconSet="3ArrowsGray" reverse="1">
        <cfvo type="percent" val="0"/>
        <cfvo type="percent" val="33"/>
        <cfvo type="percent" val="67"/>
      </iconSet>
    </cfRule>
    <cfRule type="colorScale" priority="84">
      <colorScale>
        <cfvo type="min"/>
        <cfvo type="max"/>
        <color rgb="FFFCFCFF"/>
        <color rgb="FFF8696B"/>
      </colorScale>
    </cfRule>
  </conditionalFormatting>
  <conditionalFormatting sqref="CV1:CV1048576">
    <cfRule type="iconSet" priority="80">
      <iconSet iconSet="3Arrows">
        <cfvo type="percent" val="0"/>
        <cfvo type="percent" val="33"/>
        <cfvo type="percent" val="67"/>
      </iconSet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Q1:CQ1048576">
    <cfRule type="iconSet" priority="76">
      <iconSet iconSet="3ArrowsGray">
        <cfvo type="percent" val="0"/>
        <cfvo type="percent" val="33"/>
        <cfvo type="percent" val="67"/>
      </iconSet>
    </cfRule>
    <cfRule type="colorScale" priority="77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CH1:CH1048576">
    <cfRule type="iconSet" priority="69">
      <iconSet iconSet="3Arrows">
        <cfvo type="percent" val="0"/>
        <cfvo type="percent" val="33"/>
        <cfvo type="percent" val="67"/>
      </iconSet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I1:CI1048576">
    <cfRule type="iconSet" priority="68">
      <iconSet iconSet="3Arrows">
        <cfvo type="percent" val="0"/>
        <cfvo type="percent" val="33"/>
        <cfvo type="percent" val="67"/>
      </iconSet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U1048576">
    <cfRule type="iconSet" priority="5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7">
      <colorScale>
        <cfvo type="min"/>
        <cfvo type="max"/>
        <color rgb="FFFFEF9C"/>
        <color rgb="FF63BE7B"/>
      </colorScale>
    </cfRule>
  </conditionalFormatting>
  <conditionalFormatting sqref="AV1:AV1048576">
    <cfRule type="iconSet" priority="5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6">
      <colorScale>
        <cfvo type="min"/>
        <cfvo type="max"/>
        <color rgb="FFFFEF9C"/>
        <color rgb="FF63BE7B"/>
      </colorScale>
    </cfRule>
  </conditionalFormatting>
  <conditionalFormatting sqref="AW1:AW1048576">
    <cfRule type="iconSet" priority="6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:AX1048576">
    <cfRule type="iconSet" priority="6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1:AY1048576">
    <cfRule type="iconSet" priority="6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:AH1048576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T1048576 AJ1:AJ1048576">
    <cfRule type="colorScale" priority="23629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1:BH1048576">
    <cfRule type="iconSet" priority="5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1:BI1048576">
    <cfRule type="iconSet" priority="5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1:BJ1048576">
    <cfRule type="iconSet" priority="5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1:BK1048576">
    <cfRule type="iconSet" priority="4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1:BL1048576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{5A030120-1816-4600-9BE4-3F68DB0809B6}</x14:id>
        </ext>
      </extLst>
    </cfRule>
    <cfRule type="colorScale" priority="48">
      <colorScale>
        <cfvo type="min"/>
        <cfvo type="percentile" val="50"/>
        <cfvo type="max"/>
        <color rgb="FFF8696B"/>
        <color theme="7" tint="0.59999389629810485"/>
        <color rgb="FF00B0F0"/>
      </colorScale>
    </cfRule>
  </conditionalFormatting>
  <conditionalFormatting sqref="CD1:CD1048576">
    <cfRule type="iconSet" priority="4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4">
      <colorScale>
        <cfvo type="min"/>
        <cfvo type="max"/>
        <color rgb="FFFFEF9C"/>
        <color rgb="FF63BE7B"/>
      </colorScale>
    </cfRule>
  </conditionalFormatting>
  <conditionalFormatting sqref="CF1:CF1048576">
    <cfRule type="iconSet" priority="4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3">
      <colorScale>
        <cfvo type="min"/>
        <cfvo type="max"/>
        <color rgb="FFFFEF9C"/>
        <color rgb="FF63BE7B"/>
      </colorScale>
    </cfRule>
  </conditionalFormatting>
  <conditionalFormatting sqref="BC1:BC104857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1:BD1048576">
    <cfRule type="iconSet" priority="3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1:BE1048576">
    <cfRule type="iconSet" priority="2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9">
      <colorScale>
        <cfvo type="min"/>
        <cfvo type="percentile" val="50"/>
        <cfvo type="max"/>
        <color rgb="FFF8696B"/>
        <color theme="6" tint="0.79998168889431442"/>
        <color rgb="FF00B0F0"/>
      </colorScale>
    </cfRule>
  </conditionalFormatting>
  <conditionalFormatting sqref="BF1:BF1048576">
    <cfRule type="iconSet" priority="2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BG1:BG1048576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{8D722F36-64F3-441C-8517-CA38EE422AE9}</x14:id>
        </ext>
      </extLst>
    </cfRule>
  </conditionalFormatting>
  <conditionalFormatting sqref="BR1:BR1048576">
    <cfRule type="iconSet" priority="2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">
      <colorScale>
        <cfvo type="num" val="-9.9999999999999991E-22"/>
        <cfvo type="num" val="0"/>
        <cfvo type="num" val="1"/>
        <color rgb="FFF8696B"/>
        <color theme="4" tint="0.79998168889431442"/>
        <color rgb="FF00B0F0"/>
      </colorScale>
    </cfRule>
  </conditionalFormatting>
  <conditionalFormatting sqref="BS1:BS1048576">
    <cfRule type="dataBar" priority="21">
      <dataBar>
        <cfvo type="min"/>
        <cfvo type="max"/>
        <color rgb="FF399357"/>
      </dataBar>
      <extLst>
        <ext xmlns:x14="http://schemas.microsoft.com/office/spreadsheetml/2009/9/main" uri="{B025F937-C7B1-47D3-B67F-A62EFF666E3E}">
          <x14:id>{D13C0685-632B-4089-929A-700BF6AC574C}</x14:id>
        </ext>
      </extLst>
    </cfRule>
  </conditionalFormatting>
  <conditionalFormatting sqref="BT1:BT1048576">
    <cfRule type="dataBar" priority="20">
      <dataBar>
        <cfvo type="min"/>
        <cfvo type="max"/>
        <color rgb="FF399357"/>
      </dataBar>
      <extLst>
        <ext xmlns:x14="http://schemas.microsoft.com/office/spreadsheetml/2009/9/main" uri="{B025F937-C7B1-47D3-B67F-A62EFF666E3E}">
          <x14:id>{962866D0-D2AA-4C61-914D-7BFF31599013}</x14:id>
        </ext>
      </extLst>
    </cfRule>
  </conditionalFormatting>
  <conditionalFormatting sqref="BY1:BY1048576">
    <cfRule type="dataBar" priority="15">
      <dataBar>
        <cfvo type="min"/>
        <cfvo type="max"/>
        <color rgb="FF9A0000"/>
      </dataBar>
      <extLst>
        <ext xmlns:x14="http://schemas.microsoft.com/office/spreadsheetml/2009/9/main" uri="{B025F937-C7B1-47D3-B67F-A62EFF666E3E}">
          <x14:id>{42050A4E-B1A9-4C5E-9947-0A1D78E02C28}</x14:id>
        </ext>
      </extLst>
    </cfRule>
  </conditionalFormatting>
  <conditionalFormatting sqref="BZ1:BZ1048576">
    <cfRule type="dataBar" priority="14">
      <dataBar>
        <cfvo type="min"/>
        <cfvo type="max"/>
        <color rgb="FF9A0000"/>
      </dataBar>
      <extLst>
        <ext xmlns:x14="http://schemas.microsoft.com/office/spreadsheetml/2009/9/main" uri="{B025F937-C7B1-47D3-B67F-A62EFF666E3E}">
          <x14:id>{7E6A37C6-6FD7-4467-9B21-3F07A0185A98}</x14:id>
        </ext>
      </extLst>
    </cfRule>
  </conditionalFormatting>
  <conditionalFormatting sqref="BU1:BU104857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13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1:BV104857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12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1:CJ1048576">
    <cfRule type="dataBar" priority="9">
      <dataBar>
        <cfvo type="min"/>
        <cfvo type="max"/>
        <color rgb="FF399357"/>
      </dataBar>
      <extLst>
        <ext xmlns:x14="http://schemas.microsoft.com/office/spreadsheetml/2009/9/main" uri="{B025F937-C7B1-47D3-B67F-A62EFF666E3E}">
          <x14:id>{CA99C9C1-0EFA-4E15-B951-5BAC2A0DB9F2}</x14:id>
        </ext>
      </extLst>
    </cfRule>
  </conditionalFormatting>
  <conditionalFormatting sqref="CK1:CK1048576">
    <cfRule type="dataBar" priority="8">
      <dataBar>
        <cfvo type="min"/>
        <cfvo type="max"/>
        <color rgb="FF399357"/>
      </dataBar>
      <extLst>
        <ext xmlns:x14="http://schemas.microsoft.com/office/spreadsheetml/2009/9/main" uri="{B025F937-C7B1-47D3-B67F-A62EFF666E3E}">
          <x14:id>{849200F5-9D75-4C2C-805D-EF45B98E4C81}</x14:id>
        </ext>
      </extLst>
    </cfRule>
  </conditionalFormatting>
  <conditionalFormatting sqref="DE12:DE1048576 DE1">
    <cfRule type="colorScale" priority="2383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1">
    <cfRule type="colorScale" priority="23837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:AM11">
    <cfRule type="colorScale" priority="23837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2:DE11">
    <cfRule type="colorScale" priority="23837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2:DE11">
    <cfRule type="colorScale" priority="2383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F11">
    <cfRule type="colorScale" priority="23837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556B89-F02C-494E-8924-135F87758A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U1:U1048576</xm:sqref>
        </x14:conditionalFormatting>
        <x14:conditionalFormatting xmlns:xm="http://schemas.microsoft.com/office/excel/2006/main">
          <x14:cfRule type="dataBar" id="{33F0FCFA-36D1-4279-B529-7B31F58C51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V1:V1048576</xm:sqref>
        </x14:conditionalFormatting>
        <x14:conditionalFormatting xmlns:xm="http://schemas.microsoft.com/office/excel/2006/main">
          <x14:cfRule type="dataBar" id="{953C22EF-0DA8-4FEF-8116-2565270667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W1:W1048576</xm:sqref>
        </x14:conditionalFormatting>
        <x14:conditionalFormatting xmlns:xm="http://schemas.microsoft.com/office/excel/2006/main">
          <x14:cfRule type="dataBar" id="{3B384AA2-138D-4DBB-938B-E3D0EDF423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X1:X1048576</xm:sqref>
        </x14:conditionalFormatting>
        <x14:conditionalFormatting xmlns:xm="http://schemas.microsoft.com/office/excel/2006/main">
          <x14:cfRule type="dataBar" id="{864C00F7-7CF2-488B-A48D-7D7888BCE7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Y1:Y1048576</xm:sqref>
        </x14:conditionalFormatting>
        <x14:conditionalFormatting xmlns:xm="http://schemas.microsoft.com/office/excel/2006/main">
          <x14:cfRule type="dataBar" id="{F6A0A220-5AE8-4657-92AA-0F2E4724DF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  <x14:conditionalFormatting xmlns:xm="http://schemas.microsoft.com/office/excel/2006/main">
          <x14:cfRule type="dataBar" id="{1F65FE95-19E7-45D1-8A6E-1BC9EC43E6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AA1:AA1048576</xm:sqref>
        </x14:conditionalFormatting>
        <x14:conditionalFormatting xmlns:xm="http://schemas.microsoft.com/office/excel/2006/main">
          <x14:cfRule type="dataBar" id="{B76FC543-0DC4-420D-B2D3-20A769E744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AB1:AB1048576</xm:sqref>
        </x14:conditionalFormatting>
        <x14:conditionalFormatting xmlns:xm="http://schemas.microsoft.com/office/excel/2006/main">
          <x14:cfRule type="dataBar" id="{828E7614-D558-4A4A-BE37-DFA7F077EC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BQ1:BQ1048576</xm:sqref>
        </x14:conditionalFormatting>
        <x14:conditionalFormatting xmlns:xm="http://schemas.microsoft.com/office/excel/2006/main">
          <x14:cfRule type="dataBar" id="{E900F056-9E90-40A6-9CAC-59D7BCC49E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AB6A3896-9054-41C5-B4D3-CED4049B13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CT1:CT1048576</xm:sqref>
        </x14:conditionalFormatting>
        <x14:conditionalFormatting xmlns:xm="http://schemas.microsoft.com/office/excel/2006/main">
          <x14:cfRule type="dataBar" id="{ACF1B960-8F63-428D-A700-25AEB66F93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CU1:CU1048576</xm:sqref>
        </x14:conditionalFormatting>
        <x14:conditionalFormatting xmlns:xm="http://schemas.microsoft.com/office/excel/2006/main">
          <x14:cfRule type="dataBar" id="{5A030120-1816-4600-9BE4-3F68DB080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BL1:BL1048576</xm:sqref>
        </x14:conditionalFormatting>
        <x14:conditionalFormatting xmlns:xm="http://schemas.microsoft.com/office/excel/2006/main">
          <x14:cfRule type="dataBar" id="{8D722F36-64F3-441C-8517-CA38EE422A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BG1:BG1048576</xm:sqref>
        </x14:conditionalFormatting>
        <x14:conditionalFormatting xmlns:xm="http://schemas.microsoft.com/office/excel/2006/main">
          <x14:cfRule type="dataBar" id="{D13C0685-632B-4089-929A-700BF6AC5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BS1:BS1048576</xm:sqref>
        </x14:conditionalFormatting>
        <x14:conditionalFormatting xmlns:xm="http://schemas.microsoft.com/office/excel/2006/main">
          <x14:cfRule type="dataBar" id="{962866D0-D2AA-4C61-914D-7BFF315990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BT1:BT1048576</xm:sqref>
        </x14:conditionalFormatting>
        <x14:conditionalFormatting xmlns:xm="http://schemas.microsoft.com/office/excel/2006/main">
          <x14:cfRule type="dataBar" id="{42050A4E-B1A9-4C5E-9947-0A1D78E02C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BY1:BY1048576</xm:sqref>
        </x14:conditionalFormatting>
        <x14:conditionalFormatting xmlns:xm="http://schemas.microsoft.com/office/excel/2006/main">
          <x14:cfRule type="dataBar" id="{7E6A37C6-6FD7-4467-9B21-3F07A0185A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BZ1:BZ1048576</xm:sqref>
        </x14:conditionalFormatting>
        <x14:conditionalFormatting xmlns:xm="http://schemas.microsoft.com/office/excel/2006/main">
          <x14:cfRule type="dataBar" id="{CA99C9C1-0EFA-4E15-B951-5BAC2A0DB9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CJ1:CJ1048576</xm:sqref>
        </x14:conditionalFormatting>
        <x14:conditionalFormatting xmlns:xm="http://schemas.microsoft.com/office/excel/2006/main">
          <x14:cfRule type="dataBar" id="{849200F5-9D75-4C2C-805D-EF45B98E4C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CK1:CK1048576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theme="9" tint="-0.499984740745262"/>
  </sheetPr>
  <dimension ref="A1:EU1001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 x14ac:dyDescent="0.25"/>
  <cols>
    <col min="2" max="2" width="30.7109375" customWidth="1"/>
    <col min="3" max="3" width="12.5703125" customWidth="1"/>
    <col min="4" max="4" width="20.7109375" customWidth="1"/>
    <col min="5" max="5" width="23" bestFit="1" customWidth="1"/>
    <col min="6" max="6" width="14.7109375" customWidth="1"/>
    <col min="7" max="7" width="15.7109375" customWidth="1"/>
    <col min="8" max="8" width="15.140625" customWidth="1"/>
    <col min="9" max="9" width="13.42578125" customWidth="1"/>
    <col min="10" max="10" width="17.28515625" bestFit="1" customWidth="1"/>
    <col min="11" max="11" width="15.7109375" customWidth="1"/>
    <col min="12" max="12" width="15.7109375" style="13" customWidth="1"/>
    <col min="13" max="15" width="18.7109375" style="13" customWidth="1"/>
    <col min="16" max="18" width="18.7109375" customWidth="1"/>
    <col min="19" max="20" width="18.7109375" style="13" customWidth="1"/>
    <col min="21" max="79" width="18.7109375" customWidth="1"/>
    <col min="80" max="80" width="18.7109375" hidden="1" customWidth="1"/>
    <col min="81" max="85" width="18.7109375" customWidth="1"/>
    <col min="86" max="92" width="18.7109375" style="11" customWidth="1"/>
    <col min="93" max="93" width="18.7109375" style="369" customWidth="1"/>
    <col min="94" max="97" width="18.7109375" style="11" customWidth="1"/>
    <col min="98" max="99" width="18.7109375" customWidth="1"/>
    <col min="100" max="100" width="19.7109375" customWidth="1"/>
    <col min="101" max="104" width="18.7109375" customWidth="1"/>
    <col min="105" max="105" width="8.7109375" customWidth="1"/>
    <col min="106" max="106" width="10.7109375" style="1" customWidth="1"/>
    <col min="107" max="107" width="11.140625" style="1" customWidth="1"/>
    <col min="108" max="113" width="10.7109375" style="1" customWidth="1"/>
    <col min="114" max="114" width="11.5703125" style="1" customWidth="1"/>
    <col min="115" max="151" width="10.7109375" style="1" customWidth="1"/>
  </cols>
  <sheetData>
    <row r="1" spans="1:151" ht="50.1" customHeight="1" thickBot="1" x14ac:dyDescent="0.3">
      <c r="A1" s="112"/>
      <c r="B1" s="4" t="s">
        <v>20</v>
      </c>
      <c r="C1" s="4" t="s">
        <v>214</v>
      </c>
      <c r="D1" s="94" t="s">
        <v>232</v>
      </c>
      <c r="E1" s="4" t="s">
        <v>28</v>
      </c>
      <c r="F1" s="4" t="s">
        <v>29</v>
      </c>
      <c r="G1" s="4" t="s">
        <v>1</v>
      </c>
      <c r="H1" s="85" t="s">
        <v>3</v>
      </c>
      <c r="I1" s="4" t="s">
        <v>122</v>
      </c>
      <c r="J1" s="4" t="s">
        <v>21</v>
      </c>
      <c r="K1" s="4" t="s">
        <v>231</v>
      </c>
      <c r="L1" s="4" t="s">
        <v>131</v>
      </c>
      <c r="M1" s="30" t="s">
        <v>420</v>
      </c>
      <c r="N1" s="30" t="s">
        <v>421</v>
      </c>
      <c r="O1" s="30" t="s">
        <v>424</v>
      </c>
      <c r="P1" s="224" t="s">
        <v>22</v>
      </c>
      <c r="Q1" s="224" t="s">
        <v>65</v>
      </c>
      <c r="R1" s="224" t="s">
        <v>66</v>
      </c>
      <c r="S1" s="98" t="s">
        <v>38</v>
      </c>
      <c r="T1" s="98" t="s">
        <v>416</v>
      </c>
      <c r="U1" s="104" t="s">
        <v>241</v>
      </c>
      <c r="V1" s="104" t="s">
        <v>238</v>
      </c>
      <c r="W1" s="105" t="s">
        <v>239</v>
      </c>
      <c r="X1" s="104" t="s">
        <v>240</v>
      </c>
      <c r="Y1" s="19" t="s">
        <v>67</v>
      </c>
      <c r="Z1" s="17" t="s">
        <v>64</v>
      </c>
      <c r="AA1" s="142" t="s">
        <v>68</v>
      </c>
      <c r="AB1" s="366" t="s">
        <v>69</v>
      </c>
      <c r="AC1" s="366" t="s">
        <v>494</v>
      </c>
      <c r="AD1" s="158" t="s">
        <v>98</v>
      </c>
      <c r="AE1" s="22" t="s">
        <v>102</v>
      </c>
      <c r="AF1" s="95" t="s">
        <v>225</v>
      </c>
      <c r="AG1" s="95" t="s">
        <v>226</v>
      </c>
      <c r="AH1" s="95" t="s">
        <v>227</v>
      </c>
      <c r="AI1" s="95" t="s">
        <v>228</v>
      </c>
      <c r="AJ1" s="95" t="s">
        <v>229</v>
      </c>
      <c r="AK1" s="175" t="s">
        <v>274</v>
      </c>
      <c r="AL1" s="175" t="s">
        <v>402</v>
      </c>
      <c r="AM1" s="175" t="s">
        <v>403</v>
      </c>
      <c r="AN1" s="175" t="s">
        <v>271</v>
      </c>
      <c r="AO1" s="175" t="s">
        <v>441</v>
      </c>
      <c r="AP1" s="176" t="s">
        <v>98</v>
      </c>
      <c r="AQ1" s="176" t="s">
        <v>404</v>
      </c>
      <c r="AR1" s="4" t="s">
        <v>78</v>
      </c>
      <c r="AS1" s="4" t="s">
        <v>46</v>
      </c>
      <c r="AT1" s="4" t="s">
        <v>156</v>
      </c>
      <c r="AU1" s="4" t="s">
        <v>79</v>
      </c>
      <c r="AV1" s="165" t="s">
        <v>27</v>
      </c>
      <c r="AW1" s="165" t="s">
        <v>44</v>
      </c>
      <c r="AX1" s="4" t="s">
        <v>77</v>
      </c>
      <c r="AY1" s="38" t="s">
        <v>286</v>
      </c>
      <c r="AZ1" s="38" t="s">
        <v>315</v>
      </c>
      <c r="BA1" s="38" t="s">
        <v>576</v>
      </c>
      <c r="BB1" s="38" t="s">
        <v>284</v>
      </c>
      <c r="BC1" s="80" t="s">
        <v>283</v>
      </c>
      <c r="BD1" s="39" t="s">
        <v>182</v>
      </c>
      <c r="BE1" s="39" t="s">
        <v>400</v>
      </c>
      <c r="BF1" s="39" t="s">
        <v>43</v>
      </c>
      <c r="BG1" s="39" t="s">
        <v>401</v>
      </c>
      <c r="BH1" s="144" t="s">
        <v>247</v>
      </c>
      <c r="BI1" s="144" t="s">
        <v>382</v>
      </c>
      <c r="BJ1" s="39" t="s">
        <v>71</v>
      </c>
      <c r="BK1" s="51" t="s">
        <v>465</v>
      </c>
      <c r="BL1" s="51" t="s">
        <v>466</v>
      </c>
      <c r="BM1" s="16" t="s">
        <v>72</v>
      </c>
      <c r="BN1" s="16" t="s">
        <v>159</v>
      </c>
      <c r="BO1" s="16" t="s">
        <v>73</v>
      </c>
      <c r="BP1" s="16" t="s">
        <v>577</v>
      </c>
      <c r="BQ1" s="16" t="s">
        <v>298</v>
      </c>
      <c r="BR1" s="338" t="s">
        <v>74</v>
      </c>
      <c r="BS1" s="338" t="s">
        <v>578</v>
      </c>
      <c r="BT1" s="216" t="s">
        <v>463</v>
      </c>
      <c r="BU1" s="216" t="s">
        <v>464</v>
      </c>
      <c r="BV1" s="16" t="s">
        <v>60</v>
      </c>
      <c r="BW1" s="4" t="s">
        <v>76</v>
      </c>
      <c r="BX1" s="4" t="s">
        <v>80</v>
      </c>
      <c r="BY1" s="42" t="s">
        <v>379</v>
      </c>
      <c r="BZ1" s="42" t="s">
        <v>237</v>
      </c>
      <c r="CA1" s="43" t="s">
        <v>132</v>
      </c>
      <c r="CB1" s="111" t="s">
        <v>479</v>
      </c>
      <c r="CC1" s="42" t="s">
        <v>480</v>
      </c>
      <c r="CD1" s="43" t="s">
        <v>278</v>
      </c>
      <c r="CE1" s="43" t="s">
        <v>310</v>
      </c>
      <c r="CF1" s="43" t="s">
        <v>309</v>
      </c>
      <c r="CG1" s="43" t="s">
        <v>275</v>
      </c>
      <c r="CH1" s="173" t="s">
        <v>164</v>
      </c>
      <c r="CI1" s="120" t="s">
        <v>142</v>
      </c>
      <c r="CJ1" s="119" t="s">
        <v>145</v>
      </c>
      <c r="CK1" s="119" t="s">
        <v>143</v>
      </c>
      <c r="CL1" s="119" t="s">
        <v>146</v>
      </c>
      <c r="CM1" s="333" t="s">
        <v>451</v>
      </c>
      <c r="CN1" s="333" t="s">
        <v>452</v>
      </c>
      <c r="CO1" s="367" t="s">
        <v>144</v>
      </c>
      <c r="CP1" s="46" t="s">
        <v>169</v>
      </c>
      <c r="CQ1" s="46" t="s">
        <v>457</v>
      </c>
      <c r="CR1" s="172" t="s">
        <v>397</v>
      </c>
      <c r="CS1" s="172" t="s">
        <v>132</v>
      </c>
      <c r="CT1" s="44" t="s">
        <v>348</v>
      </c>
      <c r="CU1" s="44" t="s">
        <v>349</v>
      </c>
      <c r="CV1" s="336" t="s">
        <v>430</v>
      </c>
      <c r="CW1" s="43" t="s">
        <v>414</v>
      </c>
      <c r="CX1" s="43" t="s">
        <v>415</v>
      </c>
      <c r="CY1" s="43" t="s">
        <v>180</v>
      </c>
      <c r="CZ1" s="118" t="s">
        <v>25</v>
      </c>
      <c r="DA1" s="292" t="s">
        <v>14</v>
      </c>
      <c r="DB1" s="293" t="s">
        <v>620</v>
      </c>
      <c r="DC1" s="293" t="s">
        <v>20</v>
      </c>
      <c r="DD1" s="293" t="s">
        <v>1</v>
      </c>
      <c r="DE1" s="293" t="s">
        <v>0</v>
      </c>
      <c r="DF1" s="293" t="s">
        <v>29</v>
      </c>
      <c r="DG1" s="293" t="s">
        <v>40</v>
      </c>
      <c r="DH1" s="293" t="s">
        <v>2</v>
      </c>
      <c r="DI1" s="293" t="s">
        <v>3</v>
      </c>
      <c r="DJ1" s="293" t="s">
        <v>89</v>
      </c>
      <c r="DK1" s="293" t="s">
        <v>621</v>
      </c>
      <c r="DL1" s="293" t="s">
        <v>682</v>
      </c>
      <c r="DM1" s="293" t="s">
        <v>30</v>
      </c>
      <c r="DN1" s="293" t="s">
        <v>623</v>
      </c>
      <c r="DO1" s="293" t="s">
        <v>683</v>
      </c>
      <c r="DP1" s="293" t="s">
        <v>684</v>
      </c>
      <c r="DQ1" s="293" t="s">
        <v>63</v>
      </c>
      <c r="DR1" s="293" t="s">
        <v>264</v>
      </c>
      <c r="DS1" s="293" t="s">
        <v>4</v>
      </c>
      <c r="DT1" s="293" t="s">
        <v>179</v>
      </c>
      <c r="DU1" s="293" t="s">
        <v>166</v>
      </c>
      <c r="DV1" s="293" t="s">
        <v>645</v>
      </c>
      <c r="DW1" s="293" t="s">
        <v>11</v>
      </c>
      <c r="DX1" s="293" t="s">
        <v>17</v>
      </c>
      <c r="DY1" s="293" t="s">
        <v>187</v>
      </c>
      <c r="DZ1" s="293" t="s">
        <v>15</v>
      </c>
      <c r="EA1" s="293" t="s">
        <v>16</v>
      </c>
      <c r="EB1" s="293" t="s">
        <v>648</v>
      </c>
      <c r="EC1" s="293" t="s">
        <v>647</v>
      </c>
      <c r="ED1" s="293" t="s">
        <v>8</v>
      </c>
      <c r="EE1" s="293" t="s">
        <v>9</v>
      </c>
      <c r="EF1" s="293" t="s">
        <v>189</v>
      </c>
      <c r="EG1" s="293" t="s">
        <v>190</v>
      </c>
      <c r="EH1" s="293" t="s">
        <v>104</v>
      </c>
      <c r="EI1" s="293" t="s">
        <v>635</v>
      </c>
      <c r="EJ1" s="293" t="s">
        <v>48</v>
      </c>
      <c r="EK1" s="293" t="s">
        <v>253</v>
      </c>
      <c r="EL1" s="293" t="s">
        <v>41</v>
      </c>
      <c r="EM1" s="293" t="s">
        <v>236</v>
      </c>
      <c r="EN1" s="293" t="s">
        <v>49</v>
      </c>
      <c r="EO1" s="293" t="s">
        <v>646</v>
      </c>
      <c r="EP1" s="293" t="s">
        <v>165</v>
      </c>
      <c r="EQ1" s="293" t="s">
        <v>685</v>
      </c>
      <c r="ER1" s="293" t="s">
        <v>5</v>
      </c>
      <c r="ES1" s="293" t="s">
        <v>103</v>
      </c>
      <c r="ET1" s="293" t="s">
        <v>18</v>
      </c>
      <c r="EU1" s="294" t="s">
        <v>642</v>
      </c>
    </row>
    <row r="2" spans="1:151" ht="24.95" customHeight="1" thickBot="1" x14ac:dyDescent="0.3">
      <c r="A2" s="29" t="str">
        <f t="shared" ref="A2:A11" si="0">ROW()-1 &amp; "º"</f>
        <v>1º</v>
      </c>
      <c r="B2" s="69" t="str">
        <f t="shared" ref="B2:B11" si="1">DC2</f>
        <v>Cauan Barros</v>
      </c>
      <c r="C2" s="86" t="str">
        <f t="shared" ref="C2:C11" si="2">DB2</f>
        <v>BRA</v>
      </c>
      <c r="D2" s="99" t="str">
        <f t="shared" ref="D2:D11" si="3">DG2</f>
        <v>Pé Direito</v>
      </c>
      <c r="E2" s="28" t="str">
        <f t="shared" ref="E2:E11" si="4">DE2</f>
        <v>Vasco da Gama</v>
      </c>
      <c r="F2" s="168">
        <f t="shared" ref="F2:F11" si="5">IFERROR(SUBSTITUTE(DF2," cm","")/100,0)</f>
        <v>1.83</v>
      </c>
      <c r="G2" s="36">
        <f t="shared" ref="G2:G11" si="6">DD2</f>
        <v>22</v>
      </c>
      <c r="H2" s="330" t="str">
        <f t="shared" ref="H2:H11" si="7">DI2</f>
        <v>32,5m € p/m</v>
      </c>
      <c r="I2" s="35">
        <f t="shared" ref="I2:I11" si="8">IF(DJ2="-", "Sem Data Final", DJ2)</f>
        <v>47483</v>
      </c>
      <c r="J2" s="202" t="str">
        <f t="shared" ref="J2:J11" si="9">DH2</f>
        <v>4,9M € - 9,2M €</v>
      </c>
      <c r="K2" s="96">
        <f t="shared" ref="K2:K11" si="10">AVERAGE(L:L)</f>
        <v>31.868888888888886</v>
      </c>
      <c r="L2" s="146">
        <f t="shared" ref="L2:L11" si="11">DK2/90</f>
        <v>31.522222222222222</v>
      </c>
      <c r="M2" s="146">
        <f t="shared" ref="M2:M11" si="12">IF(ISERROR(FIND("(",DL2)), VALUE(DL2), VALUE(LEFT(DL2,FIND("(",DL2)-2)) + VALUE(MID(DL2,FIND("(",DL2)+1,FIND(")",DL2)-FIND("(",DL2)-1)))</f>
        <v>42</v>
      </c>
      <c r="N2" s="146">
        <f t="shared" ref="N2:N11" si="13">IFERROR(DK2/M2,0)</f>
        <v>67.547619047619051</v>
      </c>
      <c r="O2" s="187">
        <f t="shared" ref="O2:O11" si="14">IFERROR(IF(ISERROR(FIND("(",DL2)), "100%", TEXT(VALUE(LEFT(DL2,FIND("(",DL2)-2)) / (VALUE(LEFT(DL2,FIND("(",DL2)-2)) + VALUE(MID(DL2,FIND("(",DL2)+1,FIND(")",DL2)-FIND("(",DL2)-1))),"0%")),0)*1</f>
        <v>0.76</v>
      </c>
      <c r="P2" s="2">
        <f t="shared" ref="P2:P11" si="15">DO2</f>
        <v>5</v>
      </c>
      <c r="Q2" s="2">
        <f t="shared" ref="Q2:Q11" si="16">DP2</f>
        <v>4</v>
      </c>
      <c r="R2" s="2">
        <f t="shared" ref="R2:R11" si="17">IFERROR(P2+Q2,0)</f>
        <v>9</v>
      </c>
      <c r="S2" s="6">
        <f t="shared" ref="S2:S11" si="18">DM2</f>
        <v>1</v>
      </c>
      <c r="T2" s="21">
        <f t="shared" ref="T2:T11" si="19">IFERROR((S2*1)/L2,0)</f>
        <v>3.1723651744800845E-2</v>
      </c>
      <c r="U2" s="56">
        <f t="shared" ref="U2:U11" si="20">ER2</f>
        <v>0</v>
      </c>
      <c r="V2" s="56">
        <f t="shared" ref="V2:V11" si="21">ES2</f>
        <v>0</v>
      </c>
      <c r="W2" s="56">
        <f t="shared" ref="W2:W11" si="22">IFERROR(U2-V2,0)</f>
        <v>0</v>
      </c>
      <c r="X2" s="60">
        <f t="shared" ref="X2:X11" si="23">IFERROR((V2*1)/U2,0.0000001)</f>
        <v>9.9999999999999995E-8</v>
      </c>
      <c r="Y2" s="2">
        <f t="shared" ref="Y2:Y11" si="24">DQ2</f>
        <v>4</v>
      </c>
      <c r="Z2" s="2">
        <f t="shared" ref="Z2:Z11" si="25">DR2</f>
        <v>0</v>
      </c>
      <c r="AA2" s="2">
        <f t="shared" ref="AA2:AA11" si="26">IFERROR(DQ2+DR2,0)</f>
        <v>4</v>
      </c>
      <c r="AB2" s="355">
        <f t="shared" ref="AB2:AB11" si="27">DV2</f>
        <v>19</v>
      </c>
      <c r="AC2" s="329">
        <f t="shared" ref="AC2:AC11" si="28">IFERROR(AB2/L2,0)</f>
        <v>0.60274938315121607</v>
      </c>
      <c r="AD2" s="2">
        <f t="shared" ref="AD2:AD11" si="29">AB2-(Y2+Z2)</f>
        <v>15</v>
      </c>
      <c r="AE2" s="21">
        <f t="shared" ref="AE2:AE11" si="30">IFERROR((AA2*1)/AB2,0)</f>
        <v>0.21052631578947367</v>
      </c>
      <c r="AF2" s="211">
        <f t="shared" ref="AF2:AF11" si="31">EF2</f>
        <v>193</v>
      </c>
      <c r="AG2" s="199">
        <f t="shared" ref="AG2:AG11" si="32">IFERROR(AF2/L2,0)</f>
        <v>6.1226647867465633</v>
      </c>
      <c r="AH2" s="211">
        <f t="shared" ref="AH2:AH11" si="33">EG2</f>
        <v>46</v>
      </c>
      <c r="AI2" s="199">
        <f t="shared" ref="AI2:AI11" si="34">IFERROR(AH2/L2,0)</f>
        <v>1.4592879802608389</v>
      </c>
      <c r="AJ2" s="21">
        <f t="shared" ref="AJ2:AJ11" si="35">IFERROR(AH2/AF2,0)</f>
        <v>0.23834196891191708</v>
      </c>
      <c r="AK2" s="6">
        <f t="shared" ref="AK2:AK11" si="36">IFERROR(DW2+EH2+DV2,0)</f>
        <v>166</v>
      </c>
      <c r="AL2" s="5">
        <f t="shared" ref="AL2:AL11" si="37">IFERROR(AK2/L2,0)</f>
        <v>5.2661261896369407</v>
      </c>
      <c r="AM2" s="6">
        <f t="shared" ref="AM2:AM11" si="38">IFERROR(DX2+EI2+EJ2,0)</f>
        <v>100</v>
      </c>
      <c r="AN2" s="5">
        <f t="shared" ref="AN2:AN11" si="39">IFERROR(AM2/L2,0)</f>
        <v>3.1723651744800847</v>
      </c>
      <c r="AO2" s="21">
        <f t="shared" ref="AO2:AO11" si="40">IFERROR((AM2*1)/AK2,0)</f>
        <v>0.60240963855421692</v>
      </c>
      <c r="AP2" s="2">
        <f t="shared" ref="AP2:AP11" si="41">IFERROR(DV2-DQ2-DR2,0)</f>
        <v>15</v>
      </c>
      <c r="AQ2" s="21">
        <f t="shared" ref="AQ2:AQ11" si="42">IFERROR((AP2*1)/DV2,0)</f>
        <v>0.78947368421052633</v>
      </c>
      <c r="AR2" s="6">
        <f t="shared" ref="AR2:AR11" si="43">DZ2</f>
        <v>1857</v>
      </c>
      <c r="AS2" s="6">
        <f t="shared" ref="AS2:AS11" si="44">EA2</f>
        <v>1693</v>
      </c>
      <c r="AT2" s="5">
        <f t="shared" ref="AT2:AT11" si="45">IFERROR((AS2/L2),0)</f>
        <v>53.708142403947832</v>
      </c>
      <c r="AU2" s="5">
        <f t="shared" ref="AU2:AU11" si="46">IFERROR((AS2-AV2)/(DK2/90),0)</f>
        <v>48.505463517800493</v>
      </c>
      <c r="AV2" s="6">
        <f t="shared" ref="AV2:AV11" si="47">AR2-AS2</f>
        <v>164</v>
      </c>
      <c r="AW2" s="5">
        <f t="shared" ref="AW2:AW11" si="48">IFERROR(AV2/L2,0)</f>
        <v>5.2026788861473383</v>
      </c>
      <c r="AX2" s="20">
        <f t="shared" ref="AX2:AX11" si="49">IFERROR((EA2*1)/DZ2,0)</f>
        <v>0.91168551427032851</v>
      </c>
      <c r="AY2" s="331">
        <f t="shared" ref="AY2:AY11" si="50">(DZ2-EC2)</f>
        <v>1630</v>
      </c>
      <c r="AZ2" s="5">
        <f t="shared" ref="AZ2:AZ11" si="51">IFERROR(AY2/L2,0)</f>
        <v>51.709552344025376</v>
      </c>
      <c r="BA2" s="6">
        <f t="shared" ref="BA2:BA11" si="52">EC2</f>
        <v>227</v>
      </c>
      <c r="BB2" s="5">
        <f t="shared" ref="BB2:BB11" si="53">IFERROR(BA2/L2,0)</f>
        <v>7.2012689460697921</v>
      </c>
      <c r="BC2" s="21">
        <f t="shared" ref="BC2:BC11" si="54">IFERROR((BA2*1)/AY2,0)</f>
        <v>0.1392638036809816</v>
      </c>
      <c r="BD2" s="6">
        <f t="shared" ref="BD2:BD11" si="55">EH2+DV2</f>
        <v>65</v>
      </c>
      <c r="BE2" s="5">
        <f t="shared" ref="BE2:BE11" si="56">IFERROR(BD2/L2,0)</f>
        <v>2.0620373634120548</v>
      </c>
      <c r="BF2" s="6">
        <f t="shared" ref="BF2:BF11" si="57">EI2</f>
        <v>31</v>
      </c>
      <c r="BG2" s="5">
        <f t="shared" ref="BG2:BG11" si="58">IFERROR(BF2/L2,0)</f>
        <v>0.98343320408882617</v>
      </c>
      <c r="BH2" s="6">
        <f t="shared" ref="BH2:BH11" si="59">EH2-EI2</f>
        <v>15</v>
      </c>
      <c r="BI2" s="5">
        <f t="shared" ref="BI2:BI11" si="60">IFERROR(BH2/L2,0)</f>
        <v>0.47585477617201272</v>
      </c>
      <c r="BJ2" s="21">
        <f t="shared" ref="BJ2:BJ11" si="61">IFERROR((BF2*1)/BD2,0)</f>
        <v>0.47692307692307695</v>
      </c>
      <c r="BK2" s="6">
        <f t="shared" ref="BK2:BK11" si="62">EJ2</f>
        <v>5</v>
      </c>
      <c r="BL2" s="5">
        <f t="shared" ref="BL2:BL11" si="63">IFERROR(BK2/L2,0)</f>
        <v>0.15861825872400423</v>
      </c>
      <c r="BM2" s="6">
        <f t="shared" ref="BM2:BM11" si="64">DW2</f>
        <v>101</v>
      </c>
      <c r="BN2" s="5">
        <f t="shared" ref="BN2:BN11" si="65">IFERROR(BM2/L2,0)</f>
        <v>3.2040888262248854</v>
      </c>
      <c r="BO2" s="6">
        <f t="shared" ref="BO2:BO11" si="66">DX2</f>
        <v>64</v>
      </c>
      <c r="BP2" s="5">
        <f t="shared" ref="BP2:BP11" si="67">IFERROR(BO2/L2,0)</f>
        <v>2.0303137116672541</v>
      </c>
      <c r="BQ2" s="21">
        <f t="shared" ref="BQ2:BQ11" si="68">IFERROR(DX2/DW2,0)</f>
        <v>0.63366336633663367</v>
      </c>
      <c r="BR2" s="6">
        <f t="shared" ref="BR2:BR11" si="69">DW2-DX2</f>
        <v>37</v>
      </c>
      <c r="BS2" s="5">
        <f t="shared" ref="BS2:BS11" si="70">IFERROR(BR2/L2,0)</f>
        <v>1.1737751145576314</v>
      </c>
      <c r="BT2" s="6">
        <f t="shared" ref="BT2:BT11" si="71">IFERROR((BU2*L2),0)</f>
        <v>12.60888888888889</v>
      </c>
      <c r="BU2" s="5">
        <f t="shared" ref="BU2:BU11" si="72">DY2</f>
        <v>0.4</v>
      </c>
      <c r="BV2" s="21">
        <f t="shared" ref="BV2:BV11" si="73">IFERROR((BO2*1)/BM2,0)</f>
        <v>0.63366336633663367</v>
      </c>
      <c r="BW2" s="2">
        <f t="shared" ref="BW2:BW11" si="74">EB2</f>
        <v>40</v>
      </c>
      <c r="BX2" s="5">
        <f t="shared" ref="BX2:BX11" si="75">IFERROR(BW2/L2,0)</f>
        <v>1.2689460697920338</v>
      </c>
      <c r="BY2" s="6">
        <f t="shared" ref="BY2:BY11" si="76">EL2+EK2+EM2+EJ2</f>
        <v>127</v>
      </c>
      <c r="BZ2" s="5">
        <f t="shared" ref="BZ2:BZ11" si="77">IFERROR(BY2/L2,0)</f>
        <v>4.0289037715897074</v>
      </c>
      <c r="CA2" s="5">
        <f t="shared" ref="CA2:CA11" si="78">IFERROR((DS2+EB2+DP2)/L2,0)</f>
        <v>1.7130771942192458</v>
      </c>
      <c r="CB2" s="6">
        <f t="shared" ref="CB2:CB11" si="79">SUM(EI:EI)</f>
        <v>268</v>
      </c>
      <c r="CC2" s="332">
        <f t="shared" ref="CC2:CC11" si="80">IFERROR((EI2*1)/CB2,0)</f>
        <v>0.11567164179104478</v>
      </c>
      <c r="CD2" s="6">
        <f t="shared" ref="CD2:CD11" si="81">EM2+EL2+EN2+EK2</f>
        <v>149</v>
      </c>
      <c r="CE2" s="5">
        <f t="shared" ref="CE2:CE11" si="82">IFERROR(CD2/L2,0)</f>
        <v>4.7268241099753263</v>
      </c>
      <c r="CF2" s="6">
        <f t="shared" ref="CF2:CF11" si="83">EG2+EI2+(EJ2*0.5)</f>
        <v>79.5</v>
      </c>
      <c r="CG2" s="5">
        <f t="shared" ref="CG2:CG11" si="84">IFERROR(CF2/L2,0)</f>
        <v>2.5220303137116673</v>
      </c>
      <c r="CH2" s="62">
        <f t="shared" ref="CH2:CH11" si="85">EP2</f>
        <v>8.6</v>
      </c>
      <c r="CI2" s="61">
        <f t="shared" ref="CI2:CI11" si="86">IFERROR((DN2*3)+(DQ2*1.5)+(DR2*2)+EH2+EL2+EN2+EK2+EM2+DV2,0)</f>
        <v>220</v>
      </c>
      <c r="CJ2" s="62">
        <f t="shared" ref="CJ2:CJ11" si="87">IFERROR(CI2/L2,0)</f>
        <v>6.979203383856186</v>
      </c>
      <c r="CK2" s="61">
        <f t="shared" ref="CK2:CK11" si="88">IFERROR(EI2+EL2+EJ2+EN2+EK2+EM2+(BT2*0.5),0)</f>
        <v>191.30444444444444</v>
      </c>
      <c r="CL2" s="62">
        <f t="shared" ref="CL2:CL11" si="89">IFERROR(CK2/L2,0)</f>
        <v>6.0688755727881567</v>
      </c>
      <c r="CM2" s="334">
        <f t="shared" ref="CM2:CM11" si="90">IFERROR((DN2*3)+(DQ2*1.25)+(DR2*2)+DV2,0)</f>
        <v>24</v>
      </c>
      <c r="CN2" s="335">
        <f t="shared" ref="CN2:CN11" si="91">CM2/L2</f>
        <v>0.76136764187522032</v>
      </c>
      <c r="CO2" s="368">
        <f t="shared" ref="CO2:CO11" si="92">IFERROR(CK2/CI2,0)</f>
        <v>0.86956565656565654</v>
      </c>
      <c r="CP2" s="194">
        <f t="shared" ref="CP2:CP11" si="93">IFERROR(SUBSTITUTE(DU2,".","," ),0)*1</f>
        <v>4.57</v>
      </c>
      <c r="CQ2" s="194">
        <f t="shared" ref="CQ2:CQ11" si="94">IFERROR(CP2/EB2,0)</f>
        <v>0.11425</v>
      </c>
      <c r="CR2" s="6">
        <f t="shared" ref="CR2:CR11" si="95">IFERROR(EB2+DS2,0)</f>
        <v>50</v>
      </c>
      <c r="CS2" s="62">
        <f t="shared" ref="CS2:CS11" si="96">IFERROR(CR2/L2,0)</f>
        <v>1.5861825872400424</v>
      </c>
      <c r="CT2" s="5">
        <f t="shared" ref="CT2:CT11" si="97">IFERROR(VALUE(SUBSTITUTE(ET2, " km", "")),0)</f>
        <v>371.3</v>
      </c>
      <c r="CU2" s="5">
        <f t="shared" ref="CU2:CU11" si="98">IFERROR(CT2/L2,0)</f>
        <v>11.778991892844555</v>
      </c>
      <c r="CV2" s="337">
        <f t="shared" ref="CV2:CV11" si="99">IFERROR((((CT2*1000)/(DK2*60))*3600)/1000,0)</f>
        <v>7.8526612618963689</v>
      </c>
      <c r="CW2" s="183">
        <f t="shared" ref="CW2:CW11" si="100">IFERROR((DZ2-EA2)+(DW2-DX2)+(ED2-EE2),0)</f>
        <v>222</v>
      </c>
      <c r="CX2" s="117">
        <f t="shared" ref="CX2:CX11" si="101">IFERROR(CW2/L2,0)</f>
        <v>7.0426506873457875</v>
      </c>
      <c r="CY2" s="117">
        <f t="shared" ref="CY2:CY11" si="102">DT2</f>
        <v>6.3</v>
      </c>
      <c r="CZ2" s="117">
        <f t="shared" ref="CZ2:CZ11" si="103">IFERROR(VALUE(SUBSTITUTE(EU2, ".", ",")),0)</f>
        <v>6.98</v>
      </c>
      <c r="DA2" s="299"/>
      <c r="DB2" s="295" t="s">
        <v>13</v>
      </c>
      <c r="DC2" s="295" t="s">
        <v>890</v>
      </c>
      <c r="DD2" s="295">
        <v>22</v>
      </c>
      <c r="DE2" s="295" t="s">
        <v>583</v>
      </c>
      <c r="DF2" s="295" t="s">
        <v>586</v>
      </c>
      <c r="DG2" s="295" t="s">
        <v>643</v>
      </c>
      <c r="DH2" s="295" t="s">
        <v>891</v>
      </c>
      <c r="DI2" s="295" t="s">
        <v>666</v>
      </c>
      <c r="DJ2" s="296">
        <v>47483</v>
      </c>
      <c r="DK2" s="295">
        <v>2837</v>
      </c>
      <c r="DL2" s="295" t="s">
        <v>892</v>
      </c>
      <c r="DM2" s="295">
        <v>1</v>
      </c>
      <c r="DN2" s="295">
        <v>0</v>
      </c>
      <c r="DO2" s="295">
        <v>5</v>
      </c>
      <c r="DP2" s="295">
        <v>4</v>
      </c>
      <c r="DQ2" s="295">
        <v>4</v>
      </c>
      <c r="DR2" s="295">
        <v>0</v>
      </c>
      <c r="DS2" s="295">
        <v>10</v>
      </c>
      <c r="DT2" s="295">
        <v>6.3</v>
      </c>
      <c r="DU2" s="295" t="s">
        <v>893</v>
      </c>
      <c r="DV2" s="295">
        <v>19</v>
      </c>
      <c r="DW2" s="295">
        <v>101</v>
      </c>
      <c r="DX2" s="295">
        <v>64</v>
      </c>
      <c r="DY2" s="295">
        <v>0.4</v>
      </c>
      <c r="DZ2" s="295">
        <v>1857</v>
      </c>
      <c r="EA2" s="295">
        <v>1693</v>
      </c>
      <c r="EB2" s="295">
        <v>40</v>
      </c>
      <c r="EC2" s="295">
        <v>227</v>
      </c>
      <c r="ED2" s="295">
        <v>39</v>
      </c>
      <c r="EE2" s="295">
        <v>18</v>
      </c>
      <c r="EF2" s="295">
        <v>193</v>
      </c>
      <c r="EG2" s="295">
        <v>46</v>
      </c>
      <c r="EH2" s="295">
        <v>46</v>
      </c>
      <c r="EI2" s="295">
        <v>31</v>
      </c>
      <c r="EJ2" s="295">
        <v>5</v>
      </c>
      <c r="EK2" s="295">
        <v>17</v>
      </c>
      <c r="EL2" s="295">
        <v>91</v>
      </c>
      <c r="EM2" s="295">
        <v>14</v>
      </c>
      <c r="EN2" s="295">
        <v>27</v>
      </c>
      <c r="EO2" s="295">
        <v>8</v>
      </c>
      <c r="EP2" s="295">
        <v>8.6</v>
      </c>
      <c r="EQ2" s="295">
        <v>0</v>
      </c>
      <c r="ER2" s="295">
        <v>0</v>
      </c>
      <c r="ES2" s="295">
        <v>0</v>
      </c>
      <c r="ET2" s="295" t="s">
        <v>894</v>
      </c>
      <c r="EU2" s="300">
        <v>6.98</v>
      </c>
    </row>
    <row r="3" spans="1:151" ht="24.95" customHeight="1" thickBot="1" x14ac:dyDescent="0.3">
      <c r="A3" s="29" t="str">
        <f t="shared" si="0"/>
        <v>2º</v>
      </c>
      <c r="B3" s="69" t="str">
        <f t="shared" si="1"/>
        <v>Felipe Amaral</v>
      </c>
      <c r="C3" s="86" t="str">
        <f t="shared" si="2"/>
        <v>BRA</v>
      </c>
      <c r="D3" s="99" t="str">
        <f t="shared" si="3"/>
        <v>Pé Direito</v>
      </c>
      <c r="E3" s="28" t="str">
        <f t="shared" si="4"/>
        <v>América Mineiro</v>
      </c>
      <c r="F3" s="168">
        <f t="shared" si="5"/>
        <v>1.74</v>
      </c>
      <c r="G3" s="36">
        <f t="shared" si="6"/>
        <v>23</v>
      </c>
      <c r="H3" s="330" t="str">
        <f t="shared" si="7"/>
        <v>6,5m € p/m</v>
      </c>
      <c r="I3" s="35">
        <f t="shared" si="8"/>
        <v>47848</v>
      </c>
      <c r="J3" s="202" t="str">
        <f t="shared" si="9"/>
        <v>350m € - 3,4M €</v>
      </c>
      <c r="K3" s="96">
        <f t="shared" si="10"/>
        <v>31.868888888888886</v>
      </c>
      <c r="L3" s="146">
        <f t="shared" si="11"/>
        <v>33.611111111111114</v>
      </c>
      <c r="M3" s="146">
        <f t="shared" si="12"/>
        <v>38</v>
      </c>
      <c r="N3" s="146">
        <f t="shared" si="13"/>
        <v>79.60526315789474</v>
      </c>
      <c r="O3" s="187">
        <f t="shared" si="14"/>
        <v>0.87</v>
      </c>
      <c r="P3" s="2">
        <f t="shared" si="15"/>
        <v>1</v>
      </c>
      <c r="Q3" s="2">
        <f t="shared" si="16"/>
        <v>5</v>
      </c>
      <c r="R3" s="2">
        <f t="shared" si="17"/>
        <v>6</v>
      </c>
      <c r="S3" s="6">
        <f t="shared" si="18"/>
        <v>2</v>
      </c>
      <c r="T3" s="21">
        <f t="shared" si="19"/>
        <v>5.9504132231404952E-2</v>
      </c>
      <c r="U3" s="56">
        <f t="shared" si="20"/>
        <v>0</v>
      </c>
      <c r="V3" s="56">
        <f t="shared" si="21"/>
        <v>0</v>
      </c>
      <c r="W3" s="56">
        <f t="shared" si="22"/>
        <v>0</v>
      </c>
      <c r="X3" s="60">
        <f t="shared" si="23"/>
        <v>9.9999999999999995E-8</v>
      </c>
      <c r="Y3" s="2">
        <f t="shared" si="24"/>
        <v>3</v>
      </c>
      <c r="Z3" s="2">
        <f t="shared" si="25"/>
        <v>0</v>
      </c>
      <c r="AA3" s="2">
        <f t="shared" si="26"/>
        <v>3</v>
      </c>
      <c r="AB3" s="355">
        <f t="shared" si="27"/>
        <v>18</v>
      </c>
      <c r="AC3" s="329">
        <f t="shared" si="28"/>
        <v>0.53553719008264455</v>
      </c>
      <c r="AD3" s="2">
        <f t="shared" si="29"/>
        <v>15</v>
      </c>
      <c r="AE3" s="21">
        <f t="shared" si="30"/>
        <v>0.16666666666666666</v>
      </c>
      <c r="AF3" s="211">
        <f t="shared" si="31"/>
        <v>185</v>
      </c>
      <c r="AG3" s="199">
        <f t="shared" si="32"/>
        <v>5.5041322314049586</v>
      </c>
      <c r="AH3" s="211">
        <f t="shared" si="33"/>
        <v>47</v>
      </c>
      <c r="AI3" s="199">
        <f t="shared" si="34"/>
        <v>1.3983471074380165</v>
      </c>
      <c r="AJ3" s="21">
        <f t="shared" si="35"/>
        <v>0.25405405405405407</v>
      </c>
      <c r="AK3" s="6">
        <f t="shared" si="36"/>
        <v>109</v>
      </c>
      <c r="AL3" s="5">
        <f t="shared" si="37"/>
        <v>3.24297520661157</v>
      </c>
      <c r="AM3" s="6">
        <f t="shared" si="38"/>
        <v>45</v>
      </c>
      <c r="AN3" s="5">
        <f t="shared" si="39"/>
        <v>1.3388429752066116</v>
      </c>
      <c r="AO3" s="21">
        <f t="shared" si="40"/>
        <v>0.41284403669724773</v>
      </c>
      <c r="AP3" s="2">
        <f t="shared" si="41"/>
        <v>15</v>
      </c>
      <c r="AQ3" s="21">
        <f t="shared" si="42"/>
        <v>0.83333333333333337</v>
      </c>
      <c r="AR3" s="6">
        <f t="shared" si="43"/>
        <v>1732</v>
      </c>
      <c r="AS3" s="6">
        <f t="shared" si="44"/>
        <v>1576</v>
      </c>
      <c r="AT3" s="5">
        <f t="shared" si="45"/>
        <v>46.889256198347105</v>
      </c>
      <c r="AU3" s="5">
        <f t="shared" si="46"/>
        <v>42.247933884297517</v>
      </c>
      <c r="AV3" s="6">
        <f t="shared" si="47"/>
        <v>156</v>
      </c>
      <c r="AW3" s="5">
        <f t="shared" si="48"/>
        <v>4.6413223140495861</v>
      </c>
      <c r="AX3" s="20">
        <f t="shared" si="49"/>
        <v>0.90993071593533492</v>
      </c>
      <c r="AY3" s="331">
        <f t="shared" si="50"/>
        <v>1543</v>
      </c>
      <c r="AZ3" s="5">
        <f t="shared" si="51"/>
        <v>45.907438016528921</v>
      </c>
      <c r="BA3" s="6">
        <f t="shared" si="52"/>
        <v>189</v>
      </c>
      <c r="BB3" s="5">
        <f t="shared" si="53"/>
        <v>5.6231404958677684</v>
      </c>
      <c r="BC3" s="21">
        <f t="shared" si="54"/>
        <v>0.12248865845755022</v>
      </c>
      <c r="BD3" s="6">
        <f t="shared" si="55"/>
        <v>61</v>
      </c>
      <c r="BE3" s="5">
        <f t="shared" si="56"/>
        <v>1.8148760330578511</v>
      </c>
      <c r="BF3" s="6">
        <f t="shared" si="57"/>
        <v>25</v>
      </c>
      <c r="BG3" s="5">
        <f t="shared" si="58"/>
        <v>0.74380165289256195</v>
      </c>
      <c r="BH3" s="6">
        <f t="shared" si="59"/>
        <v>18</v>
      </c>
      <c r="BI3" s="5">
        <f t="shared" si="60"/>
        <v>0.53553719008264455</v>
      </c>
      <c r="BJ3" s="21">
        <f t="shared" si="61"/>
        <v>0.4098360655737705</v>
      </c>
      <c r="BK3" s="6">
        <f t="shared" si="62"/>
        <v>2</v>
      </c>
      <c r="BL3" s="5">
        <f t="shared" si="63"/>
        <v>5.9504132231404952E-2</v>
      </c>
      <c r="BM3" s="6">
        <f t="shared" si="64"/>
        <v>48</v>
      </c>
      <c r="BN3" s="5">
        <f t="shared" si="65"/>
        <v>1.428099173553719</v>
      </c>
      <c r="BO3" s="6">
        <f t="shared" si="66"/>
        <v>18</v>
      </c>
      <c r="BP3" s="5">
        <f t="shared" si="67"/>
        <v>0.53553719008264455</v>
      </c>
      <c r="BQ3" s="21">
        <f t="shared" si="68"/>
        <v>0.375</v>
      </c>
      <c r="BR3" s="6">
        <f t="shared" si="69"/>
        <v>30</v>
      </c>
      <c r="BS3" s="5">
        <f t="shared" si="70"/>
        <v>0.89256198347107429</v>
      </c>
      <c r="BT3" s="6">
        <f t="shared" si="71"/>
        <v>3.3611111111111116</v>
      </c>
      <c r="BU3" s="5">
        <f t="shared" si="72"/>
        <v>0.1</v>
      </c>
      <c r="BV3" s="21">
        <f t="shared" si="73"/>
        <v>0.375</v>
      </c>
      <c r="BW3" s="2">
        <f t="shared" si="74"/>
        <v>32</v>
      </c>
      <c r="BX3" s="5">
        <f t="shared" si="75"/>
        <v>0.95206611570247923</v>
      </c>
      <c r="BY3" s="6">
        <f t="shared" si="76"/>
        <v>107</v>
      </c>
      <c r="BZ3" s="5">
        <f t="shared" si="77"/>
        <v>3.1834710743801651</v>
      </c>
      <c r="CA3" s="5">
        <f t="shared" si="78"/>
        <v>1.3983471074380165</v>
      </c>
      <c r="CB3" s="6">
        <f t="shared" si="79"/>
        <v>268</v>
      </c>
      <c r="CC3" s="332">
        <f t="shared" si="80"/>
        <v>9.3283582089552244E-2</v>
      </c>
      <c r="CD3" s="6">
        <f t="shared" si="81"/>
        <v>140</v>
      </c>
      <c r="CE3" s="5">
        <f t="shared" si="82"/>
        <v>4.1652892561983466</v>
      </c>
      <c r="CF3" s="6">
        <f t="shared" si="83"/>
        <v>73</v>
      </c>
      <c r="CG3" s="5">
        <f t="shared" si="84"/>
        <v>2.1719008264462807</v>
      </c>
      <c r="CH3" s="62">
        <f t="shared" si="85"/>
        <v>11.7</v>
      </c>
      <c r="CI3" s="61">
        <f t="shared" si="86"/>
        <v>205.5</v>
      </c>
      <c r="CJ3" s="62">
        <f t="shared" si="87"/>
        <v>6.1140495867768587</v>
      </c>
      <c r="CK3" s="61">
        <f t="shared" si="88"/>
        <v>168.68055555555554</v>
      </c>
      <c r="CL3" s="62">
        <f t="shared" si="89"/>
        <v>5.018595041322313</v>
      </c>
      <c r="CM3" s="334">
        <f t="shared" si="90"/>
        <v>21.75</v>
      </c>
      <c r="CN3" s="335">
        <f t="shared" si="91"/>
        <v>0.64710743801652881</v>
      </c>
      <c r="CO3" s="368">
        <f t="shared" si="92"/>
        <v>0.82082995404163284</v>
      </c>
      <c r="CP3" s="194">
        <f t="shared" si="93"/>
        <v>5.1100000000000003</v>
      </c>
      <c r="CQ3" s="194">
        <f t="shared" si="94"/>
        <v>0.15968750000000001</v>
      </c>
      <c r="CR3" s="6">
        <f t="shared" si="95"/>
        <v>42</v>
      </c>
      <c r="CS3" s="62">
        <f t="shared" si="96"/>
        <v>1.2495867768595039</v>
      </c>
      <c r="CT3" s="5">
        <f t="shared" si="97"/>
        <v>379.6</v>
      </c>
      <c r="CU3" s="5">
        <f t="shared" si="98"/>
        <v>11.293884297520661</v>
      </c>
      <c r="CV3" s="337">
        <f t="shared" si="99"/>
        <v>7.5292561983471069</v>
      </c>
      <c r="CW3" s="183">
        <f t="shared" si="100"/>
        <v>199</v>
      </c>
      <c r="CX3" s="117">
        <f t="shared" si="101"/>
        <v>5.9206611570247931</v>
      </c>
      <c r="CY3" s="117">
        <f t="shared" si="102"/>
        <v>6.3</v>
      </c>
      <c r="CZ3" s="117">
        <f t="shared" si="103"/>
        <v>6.82</v>
      </c>
      <c r="DA3" s="299"/>
      <c r="DB3" s="295" t="s">
        <v>13</v>
      </c>
      <c r="DC3" s="295" t="s">
        <v>840</v>
      </c>
      <c r="DD3" s="295">
        <v>23</v>
      </c>
      <c r="DE3" s="295" t="s">
        <v>771</v>
      </c>
      <c r="DF3" s="295" t="s">
        <v>775</v>
      </c>
      <c r="DG3" s="295" t="s">
        <v>643</v>
      </c>
      <c r="DH3" s="295" t="s">
        <v>841</v>
      </c>
      <c r="DI3" s="295" t="s">
        <v>842</v>
      </c>
      <c r="DJ3" s="296">
        <v>47848</v>
      </c>
      <c r="DK3" s="295">
        <v>3025</v>
      </c>
      <c r="DL3" s="295" t="s">
        <v>843</v>
      </c>
      <c r="DM3" s="295">
        <v>2</v>
      </c>
      <c r="DN3" s="295">
        <v>0</v>
      </c>
      <c r="DO3" s="295">
        <v>1</v>
      </c>
      <c r="DP3" s="295">
        <v>5</v>
      </c>
      <c r="DQ3" s="295">
        <v>3</v>
      </c>
      <c r="DR3" s="295">
        <v>0</v>
      </c>
      <c r="DS3" s="295">
        <v>10</v>
      </c>
      <c r="DT3" s="295">
        <v>6.3</v>
      </c>
      <c r="DU3" s="295" t="s">
        <v>844</v>
      </c>
      <c r="DV3" s="295">
        <v>18</v>
      </c>
      <c r="DW3" s="295">
        <v>48</v>
      </c>
      <c r="DX3" s="295">
        <v>18</v>
      </c>
      <c r="DY3" s="295">
        <v>0.1</v>
      </c>
      <c r="DZ3" s="295">
        <v>1732</v>
      </c>
      <c r="EA3" s="295">
        <v>1576</v>
      </c>
      <c r="EB3" s="295">
        <v>32</v>
      </c>
      <c r="EC3" s="295">
        <v>189</v>
      </c>
      <c r="ED3" s="295">
        <v>19</v>
      </c>
      <c r="EE3" s="295">
        <v>6</v>
      </c>
      <c r="EF3" s="295">
        <v>185</v>
      </c>
      <c r="EG3" s="295">
        <v>47</v>
      </c>
      <c r="EH3" s="295">
        <v>43</v>
      </c>
      <c r="EI3" s="295">
        <v>25</v>
      </c>
      <c r="EJ3" s="295">
        <v>2</v>
      </c>
      <c r="EK3" s="295">
        <v>12</v>
      </c>
      <c r="EL3" s="295">
        <v>88</v>
      </c>
      <c r="EM3" s="295">
        <v>5</v>
      </c>
      <c r="EN3" s="295">
        <v>35</v>
      </c>
      <c r="EO3" s="295">
        <v>21</v>
      </c>
      <c r="EP3" s="295">
        <v>11.7</v>
      </c>
      <c r="EQ3" s="295">
        <v>0</v>
      </c>
      <c r="ER3" s="295">
        <v>0</v>
      </c>
      <c r="ES3" s="295">
        <v>0</v>
      </c>
      <c r="ET3" s="295" t="s">
        <v>845</v>
      </c>
      <c r="EU3" s="300">
        <v>6.82</v>
      </c>
    </row>
    <row r="4" spans="1:151" ht="24.95" customHeight="1" thickBot="1" x14ac:dyDescent="0.3">
      <c r="A4" s="29" t="str">
        <f t="shared" si="0"/>
        <v>3º</v>
      </c>
      <c r="B4" s="69" t="str">
        <f t="shared" si="1"/>
        <v>Ignacio Sosa</v>
      </c>
      <c r="C4" s="86" t="str">
        <f t="shared" si="2"/>
        <v>URU</v>
      </c>
      <c r="D4" s="99" t="str">
        <f t="shared" si="3"/>
        <v>Pé Direito</v>
      </c>
      <c r="E4" s="28" t="str">
        <f t="shared" si="4"/>
        <v>Bragantino</v>
      </c>
      <c r="F4" s="168">
        <f t="shared" si="5"/>
        <v>1.75</v>
      </c>
      <c r="G4" s="36">
        <f t="shared" si="6"/>
        <v>23</v>
      </c>
      <c r="H4" s="330" t="str">
        <f t="shared" si="7"/>
        <v>4,7m € p/m</v>
      </c>
      <c r="I4" s="35">
        <f t="shared" si="8"/>
        <v>47848</v>
      </c>
      <c r="J4" s="202" t="str">
        <f t="shared" si="9"/>
        <v>400m € - 4M €</v>
      </c>
      <c r="K4" s="96">
        <f t="shared" si="10"/>
        <v>31.868888888888886</v>
      </c>
      <c r="L4" s="146">
        <f t="shared" si="11"/>
        <v>31.822222222222223</v>
      </c>
      <c r="M4" s="146">
        <f t="shared" si="12"/>
        <v>48</v>
      </c>
      <c r="N4" s="146">
        <f t="shared" si="13"/>
        <v>59.666666666666664</v>
      </c>
      <c r="O4" s="187">
        <f t="shared" si="14"/>
        <v>0.79</v>
      </c>
      <c r="P4" s="2">
        <f t="shared" si="15"/>
        <v>0</v>
      </c>
      <c r="Q4" s="2">
        <f t="shared" si="16"/>
        <v>5</v>
      </c>
      <c r="R4" s="2">
        <f t="shared" si="17"/>
        <v>5</v>
      </c>
      <c r="S4" s="6">
        <f t="shared" si="18"/>
        <v>1</v>
      </c>
      <c r="T4" s="21">
        <f t="shared" si="19"/>
        <v>3.1424581005586594E-2</v>
      </c>
      <c r="U4" s="56">
        <f t="shared" si="20"/>
        <v>0</v>
      </c>
      <c r="V4" s="56">
        <f t="shared" si="21"/>
        <v>0</v>
      </c>
      <c r="W4" s="56">
        <f t="shared" si="22"/>
        <v>0</v>
      </c>
      <c r="X4" s="60">
        <f t="shared" si="23"/>
        <v>9.9999999999999995E-8</v>
      </c>
      <c r="Y4" s="2">
        <f t="shared" si="24"/>
        <v>1</v>
      </c>
      <c r="Z4" s="2">
        <f t="shared" si="25"/>
        <v>0</v>
      </c>
      <c r="AA4" s="2">
        <f t="shared" si="26"/>
        <v>1</v>
      </c>
      <c r="AB4" s="355">
        <f t="shared" si="27"/>
        <v>18</v>
      </c>
      <c r="AC4" s="329">
        <f t="shared" si="28"/>
        <v>0.56564245810055869</v>
      </c>
      <c r="AD4" s="2">
        <f t="shared" si="29"/>
        <v>17</v>
      </c>
      <c r="AE4" s="21">
        <f t="shared" si="30"/>
        <v>5.5555555555555552E-2</v>
      </c>
      <c r="AF4" s="211">
        <f t="shared" si="31"/>
        <v>241</v>
      </c>
      <c r="AG4" s="199">
        <f t="shared" si="32"/>
        <v>7.5733240223463687</v>
      </c>
      <c r="AH4" s="211">
        <f t="shared" si="33"/>
        <v>50</v>
      </c>
      <c r="AI4" s="199">
        <f t="shared" si="34"/>
        <v>1.5712290502793296</v>
      </c>
      <c r="AJ4" s="21">
        <f t="shared" si="35"/>
        <v>0.2074688796680498</v>
      </c>
      <c r="AK4" s="6">
        <f t="shared" si="36"/>
        <v>118</v>
      </c>
      <c r="AL4" s="5">
        <f t="shared" si="37"/>
        <v>3.7081005586592179</v>
      </c>
      <c r="AM4" s="6">
        <f t="shared" si="38"/>
        <v>58</v>
      </c>
      <c r="AN4" s="5">
        <f t="shared" si="39"/>
        <v>1.8226256983240223</v>
      </c>
      <c r="AO4" s="21">
        <f t="shared" si="40"/>
        <v>0.49152542372881358</v>
      </c>
      <c r="AP4" s="2">
        <f t="shared" si="41"/>
        <v>17</v>
      </c>
      <c r="AQ4" s="21">
        <f t="shared" si="42"/>
        <v>0.94444444444444442</v>
      </c>
      <c r="AR4" s="6">
        <f t="shared" si="43"/>
        <v>2708</v>
      </c>
      <c r="AS4" s="6">
        <f t="shared" si="44"/>
        <v>2494</v>
      </c>
      <c r="AT4" s="5">
        <f t="shared" si="45"/>
        <v>78.372905027932958</v>
      </c>
      <c r="AU4" s="5">
        <f t="shared" si="46"/>
        <v>71.648044692737429</v>
      </c>
      <c r="AV4" s="6">
        <f t="shared" si="47"/>
        <v>214</v>
      </c>
      <c r="AW4" s="5">
        <f t="shared" si="48"/>
        <v>6.7248603351955305</v>
      </c>
      <c r="AX4" s="20">
        <f t="shared" si="49"/>
        <v>0.92097488921713444</v>
      </c>
      <c r="AY4" s="331">
        <f t="shared" si="50"/>
        <v>2362</v>
      </c>
      <c r="AZ4" s="5">
        <f t="shared" si="51"/>
        <v>74.22486033519553</v>
      </c>
      <c r="BA4" s="6">
        <f t="shared" si="52"/>
        <v>346</v>
      </c>
      <c r="BB4" s="5">
        <f t="shared" si="53"/>
        <v>10.87290502793296</v>
      </c>
      <c r="BC4" s="21">
        <f t="shared" si="54"/>
        <v>0.14648602878916173</v>
      </c>
      <c r="BD4" s="6">
        <f t="shared" si="55"/>
        <v>74</v>
      </c>
      <c r="BE4" s="5">
        <f t="shared" si="56"/>
        <v>2.3254189944134076</v>
      </c>
      <c r="BF4" s="6">
        <f t="shared" si="57"/>
        <v>35</v>
      </c>
      <c r="BG4" s="5">
        <f t="shared" si="58"/>
        <v>1.0998603351955307</v>
      </c>
      <c r="BH4" s="6">
        <f t="shared" si="59"/>
        <v>21</v>
      </c>
      <c r="BI4" s="5">
        <f t="shared" si="60"/>
        <v>0.65991620111731841</v>
      </c>
      <c r="BJ4" s="21">
        <f t="shared" si="61"/>
        <v>0.47297297297297297</v>
      </c>
      <c r="BK4" s="6">
        <f t="shared" si="62"/>
        <v>4</v>
      </c>
      <c r="BL4" s="5">
        <f t="shared" si="63"/>
        <v>0.12569832402234637</v>
      </c>
      <c r="BM4" s="6">
        <f t="shared" si="64"/>
        <v>44</v>
      </c>
      <c r="BN4" s="5">
        <f t="shared" si="65"/>
        <v>1.3826815642458101</v>
      </c>
      <c r="BO4" s="6">
        <f t="shared" si="66"/>
        <v>19</v>
      </c>
      <c r="BP4" s="5">
        <f t="shared" si="67"/>
        <v>0.59706703910614523</v>
      </c>
      <c r="BQ4" s="21">
        <f t="shared" si="68"/>
        <v>0.43181818181818182</v>
      </c>
      <c r="BR4" s="6">
        <f t="shared" si="69"/>
        <v>25</v>
      </c>
      <c r="BS4" s="5">
        <f t="shared" si="70"/>
        <v>0.78561452513966479</v>
      </c>
      <c r="BT4" s="6">
        <f t="shared" si="71"/>
        <v>3.1822222222222223</v>
      </c>
      <c r="BU4" s="5">
        <f t="shared" si="72"/>
        <v>0.1</v>
      </c>
      <c r="BV4" s="21">
        <f t="shared" si="73"/>
        <v>0.43181818181818182</v>
      </c>
      <c r="BW4" s="2">
        <f t="shared" si="74"/>
        <v>59</v>
      </c>
      <c r="BX4" s="5">
        <f t="shared" si="75"/>
        <v>1.854050279329609</v>
      </c>
      <c r="BY4" s="6">
        <f t="shared" si="76"/>
        <v>116</v>
      </c>
      <c r="BZ4" s="5">
        <f t="shared" si="77"/>
        <v>3.6452513966480447</v>
      </c>
      <c r="CA4" s="5">
        <f t="shared" si="78"/>
        <v>2.3254189944134076</v>
      </c>
      <c r="CB4" s="6">
        <f t="shared" si="79"/>
        <v>268</v>
      </c>
      <c r="CC4" s="332">
        <f t="shared" si="80"/>
        <v>0.13059701492537312</v>
      </c>
      <c r="CD4" s="6">
        <f t="shared" si="81"/>
        <v>136</v>
      </c>
      <c r="CE4" s="5">
        <f t="shared" si="82"/>
        <v>4.2737430167597763</v>
      </c>
      <c r="CF4" s="6">
        <f t="shared" si="83"/>
        <v>87</v>
      </c>
      <c r="CG4" s="5">
        <f t="shared" si="84"/>
        <v>2.7339385474860336</v>
      </c>
      <c r="CH4" s="62">
        <f t="shared" si="85"/>
        <v>6.9</v>
      </c>
      <c r="CI4" s="61">
        <f t="shared" si="86"/>
        <v>220.5</v>
      </c>
      <c r="CJ4" s="62">
        <f t="shared" si="87"/>
        <v>6.9291201117318435</v>
      </c>
      <c r="CK4" s="61">
        <f t="shared" si="88"/>
        <v>176.5911111111111</v>
      </c>
      <c r="CL4" s="62">
        <f t="shared" si="89"/>
        <v>5.5493016759776532</v>
      </c>
      <c r="CM4" s="334">
        <f t="shared" si="90"/>
        <v>28.25</v>
      </c>
      <c r="CN4" s="335">
        <f t="shared" si="91"/>
        <v>0.88774441340782118</v>
      </c>
      <c r="CO4" s="368">
        <f t="shared" si="92"/>
        <v>0.80086671705719326</v>
      </c>
      <c r="CP4" s="194">
        <f t="shared" si="93"/>
        <v>5.69</v>
      </c>
      <c r="CQ4" s="194">
        <f t="shared" si="94"/>
        <v>9.6440677966101701E-2</v>
      </c>
      <c r="CR4" s="6">
        <f t="shared" si="95"/>
        <v>69</v>
      </c>
      <c r="CS4" s="62">
        <f t="shared" si="96"/>
        <v>2.1682960893854748</v>
      </c>
      <c r="CT4" s="5">
        <f t="shared" si="97"/>
        <v>395.5</v>
      </c>
      <c r="CU4" s="5">
        <f t="shared" si="98"/>
        <v>12.428421787709498</v>
      </c>
      <c r="CV4" s="337">
        <f t="shared" si="99"/>
        <v>8.285614525139664</v>
      </c>
      <c r="CW4" s="183">
        <f t="shared" si="100"/>
        <v>269</v>
      </c>
      <c r="CX4" s="117">
        <f t="shared" si="101"/>
        <v>8.453212290502794</v>
      </c>
      <c r="CY4" s="117">
        <f t="shared" si="102"/>
        <v>8.1</v>
      </c>
      <c r="CZ4" s="117">
        <f t="shared" si="103"/>
        <v>6.9</v>
      </c>
      <c r="DA4" s="301" t="s">
        <v>639</v>
      </c>
      <c r="DB4" s="297" t="s">
        <v>594</v>
      </c>
      <c r="DC4" s="297" t="s">
        <v>851</v>
      </c>
      <c r="DD4" s="297">
        <v>23</v>
      </c>
      <c r="DE4" s="297" t="s">
        <v>555</v>
      </c>
      <c r="DF4" s="297" t="s">
        <v>588</v>
      </c>
      <c r="DG4" s="297" t="s">
        <v>643</v>
      </c>
      <c r="DH4" s="297" t="s">
        <v>852</v>
      </c>
      <c r="DI4" s="297" t="s">
        <v>665</v>
      </c>
      <c r="DJ4" s="298">
        <v>47848</v>
      </c>
      <c r="DK4" s="297">
        <v>2864</v>
      </c>
      <c r="DL4" s="297" t="s">
        <v>853</v>
      </c>
      <c r="DM4" s="297">
        <v>1</v>
      </c>
      <c r="DN4" s="297">
        <v>3</v>
      </c>
      <c r="DO4" s="297">
        <v>0</v>
      </c>
      <c r="DP4" s="297">
        <v>5</v>
      </c>
      <c r="DQ4" s="297">
        <v>1</v>
      </c>
      <c r="DR4" s="297">
        <v>0</v>
      </c>
      <c r="DS4" s="297">
        <v>10</v>
      </c>
      <c r="DT4" s="297">
        <v>8.1</v>
      </c>
      <c r="DU4" s="297" t="s">
        <v>854</v>
      </c>
      <c r="DV4" s="297">
        <v>18</v>
      </c>
      <c r="DW4" s="297">
        <v>44</v>
      </c>
      <c r="DX4" s="297">
        <v>19</v>
      </c>
      <c r="DY4" s="297">
        <v>0.1</v>
      </c>
      <c r="DZ4" s="297">
        <v>2708</v>
      </c>
      <c r="EA4" s="297">
        <v>2494</v>
      </c>
      <c r="EB4" s="297">
        <v>59</v>
      </c>
      <c r="EC4" s="297">
        <v>346</v>
      </c>
      <c r="ED4" s="297">
        <v>50</v>
      </c>
      <c r="EE4" s="297">
        <v>20</v>
      </c>
      <c r="EF4" s="297">
        <v>241</v>
      </c>
      <c r="EG4" s="297">
        <v>50</v>
      </c>
      <c r="EH4" s="297">
        <v>56</v>
      </c>
      <c r="EI4" s="297">
        <v>35</v>
      </c>
      <c r="EJ4" s="297">
        <v>4</v>
      </c>
      <c r="EK4" s="297">
        <v>22</v>
      </c>
      <c r="EL4" s="297">
        <v>74</v>
      </c>
      <c r="EM4" s="297">
        <v>16</v>
      </c>
      <c r="EN4" s="297">
        <v>24</v>
      </c>
      <c r="EO4" s="297">
        <v>9</v>
      </c>
      <c r="EP4" s="297">
        <v>6.9</v>
      </c>
      <c r="EQ4" s="297">
        <v>0</v>
      </c>
      <c r="ER4" s="297">
        <v>0</v>
      </c>
      <c r="ES4" s="297">
        <v>0</v>
      </c>
      <c r="ET4" s="297" t="s">
        <v>855</v>
      </c>
      <c r="EU4" s="302">
        <v>6.9</v>
      </c>
    </row>
    <row r="5" spans="1:151" ht="24.95" customHeight="1" thickBot="1" x14ac:dyDescent="0.3">
      <c r="A5" s="29" t="str">
        <f t="shared" si="0"/>
        <v>4º</v>
      </c>
      <c r="B5" s="69" t="str">
        <f t="shared" si="1"/>
        <v>Jhojan Torres</v>
      </c>
      <c r="C5" s="86" t="str">
        <f t="shared" si="2"/>
        <v>COL</v>
      </c>
      <c r="D5" s="99" t="str">
        <f t="shared" si="3"/>
        <v>Pé Direito</v>
      </c>
      <c r="E5" s="28" t="str">
        <f t="shared" si="4"/>
        <v>Independiente Santa Fe</v>
      </c>
      <c r="F5" s="168">
        <f t="shared" si="5"/>
        <v>1.78</v>
      </c>
      <c r="G5" s="36">
        <f t="shared" si="6"/>
        <v>23</v>
      </c>
      <c r="H5" s="330" t="str">
        <f t="shared" si="7"/>
        <v>22m € p/m</v>
      </c>
      <c r="I5" s="35">
        <f t="shared" si="8"/>
        <v>46752</v>
      </c>
      <c r="J5" s="202" t="str">
        <f t="shared" si="9"/>
        <v>750m € - 1,7M €</v>
      </c>
      <c r="K5" s="96">
        <f t="shared" si="10"/>
        <v>31.868888888888886</v>
      </c>
      <c r="L5" s="146">
        <f t="shared" si="11"/>
        <v>36.333333333333336</v>
      </c>
      <c r="M5" s="146">
        <f t="shared" si="12"/>
        <v>41</v>
      </c>
      <c r="N5" s="146">
        <f t="shared" si="13"/>
        <v>79.756097560975604</v>
      </c>
      <c r="O5" s="187">
        <f t="shared" si="14"/>
        <v>0.9</v>
      </c>
      <c r="P5" s="2">
        <f t="shared" si="15"/>
        <v>2</v>
      </c>
      <c r="Q5" s="2">
        <f t="shared" si="16"/>
        <v>5</v>
      </c>
      <c r="R5" s="2">
        <f t="shared" si="17"/>
        <v>7</v>
      </c>
      <c r="S5" s="6">
        <f t="shared" si="18"/>
        <v>0</v>
      </c>
      <c r="T5" s="21">
        <f t="shared" si="19"/>
        <v>0</v>
      </c>
      <c r="U5" s="56">
        <f t="shared" si="20"/>
        <v>0</v>
      </c>
      <c r="V5" s="56">
        <f t="shared" si="21"/>
        <v>0</v>
      </c>
      <c r="W5" s="56">
        <f t="shared" si="22"/>
        <v>0</v>
      </c>
      <c r="X5" s="60">
        <f t="shared" si="23"/>
        <v>9.9999999999999995E-8</v>
      </c>
      <c r="Y5" s="2">
        <f t="shared" si="24"/>
        <v>11</v>
      </c>
      <c r="Z5" s="2">
        <f t="shared" si="25"/>
        <v>0</v>
      </c>
      <c r="AA5" s="2">
        <f t="shared" si="26"/>
        <v>11</v>
      </c>
      <c r="AB5" s="355">
        <f t="shared" si="27"/>
        <v>31</v>
      </c>
      <c r="AC5" s="329">
        <f t="shared" si="28"/>
        <v>0.85321100917431192</v>
      </c>
      <c r="AD5" s="2">
        <f t="shared" si="29"/>
        <v>20</v>
      </c>
      <c r="AE5" s="21">
        <f t="shared" si="30"/>
        <v>0.35483870967741937</v>
      </c>
      <c r="AF5" s="211">
        <f t="shared" si="31"/>
        <v>132</v>
      </c>
      <c r="AG5" s="199">
        <f t="shared" si="32"/>
        <v>3.6330275229357798</v>
      </c>
      <c r="AH5" s="211">
        <f t="shared" si="33"/>
        <v>33</v>
      </c>
      <c r="AI5" s="199">
        <f t="shared" si="34"/>
        <v>0.90825688073394495</v>
      </c>
      <c r="AJ5" s="21">
        <f t="shared" si="35"/>
        <v>0.25</v>
      </c>
      <c r="AK5" s="6">
        <f t="shared" si="36"/>
        <v>102</v>
      </c>
      <c r="AL5" s="5">
        <f t="shared" si="37"/>
        <v>2.807339449541284</v>
      </c>
      <c r="AM5" s="6">
        <f t="shared" si="38"/>
        <v>39</v>
      </c>
      <c r="AN5" s="5">
        <f t="shared" si="39"/>
        <v>1.073394495412844</v>
      </c>
      <c r="AO5" s="21">
        <f t="shared" si="40"/>
        <v>0.38235294117647056</v>
      </c>
      <c r="AP5" s="2">
        <f t="shared" si="41"/>
        <v>20</v>
      </c>
      <c r="AQ5" s="21">
        <f t="shared" si="42"/>
        <v>0.64516129032258063</v>
      </c>
      <c r="AR5" s="6">
        <f t="shared" si="43"/>
        <v>1275</v>
      </c>
      <c r="AS5" s="6">
        <f t="shared" si="44"/>
        <v>1158</v>
      </c>
      <c r="AT5" s="5">
        <f t="shared" si="45"/>
        <v>31.87155963302752</v>
      </c>
      <c r="AU5" s="5">
        <f t="shared" si="46"/>
        <v>28.651376146788991</v>
      </c>
      <c r="AV5" s="6">
        <f t="shared" si="47"/>
        <v>117</v>
      </c>
      <c r="AW5" s="5">
        <f t="shared" si="48"/>
        <v>3.2201834862385317</v>
      </c>
      <c r="AX5" s="20">
        <f t="shared" si="49"/>
        <v>0.90823529411764703</v>
      </c>
      <c r="AY5" s="331">
        <f t="shared" si="50"/>
        <v>1173</v>
      </c>
      <c r="AZ5" s="5">
        <f t="shared" si="51"/>
        <v>32.284403669724767</v>
      </c>
      <c r="BA5" s="6">
        <f t="shared" si="52"/>
        <v>102</v>
      </c>
      <c r="BB5" s="5">
        <f t="shared" si="53"/>
        <v>2.807339449541284</v>
      </c>
      <c r="BC5" s="21">
        <f t="shared" si="54"/>
        <v>8.6956521739130432E-2</v>
      </c>
      <c r="BD5" s="6">
        <f t="shared" si="55"/>
        <v>58</v>
      </c>
      <c r="BE5" s="5">
        <f t="shared" si="56"/>
        <v>1.5963302752293578</v>
      </c>
      <c r="BF5" s="6">
        <f t="shared" si="57"/>
        <v>21</v>
      </c>
      <c r="BG5" s="5">
        <f t="shared" si="58"/>
        <v>0.57798165137614677</v>
      </c>
      <c r="BH5" s="6">
        <f t="shared" si="59"/>
        <v>6</v>
      </c>
      <c r="BI5" s="5">
        <f t="shared" si="60"/>
        <v>0.16513761467889906</v>
      </c>
      <c r="BJ5" s="21">
        <f t="shared" si="61"/>
        <v>0.36206896551724138</v>
      </c>
      <c r="BK5" s="6">
        <f t="shared" si="62"/>
        <v>0</v>
      </c>
      <c r="BL5" s="5">
        <f t="shared" si="63"/>
        <v>0</v>
      </c>
      <c r="BM5" s="6">
        <f t="shared" si="64"/>
        <v>44</v>
      </c>
      <c r="BN5" s="5">
        <f t="shared" si="65"/>
        <v>1.2110091743119265</v>
      </c>
      <c r="BO5" s="6">
        <f t="shared" si="66"/>
        <v>18</v>
      </c>
      <c r="BP5" s="5">
        <f t="shared" si="67"/>
        <v>0.49541284403669722</v>
      </c>
      <c r="BQ5" s="21">
        <f t="shared" si="68"/>
        <v>0.40909090909090912</v>
      </c>
      <c r="BR5" s="6">
        <f t="shared" si="69"/>
        <v>26</v>
      </c>
      <c r="BS5" s="5">
        <f t="shared" si="70"/>
        <v>0.71559633027522929</v>
      </c>
      <c r="BT5" s="6">
        <f t="shared" si="71"/>
        <v>3.6333333333333337</v>
      </c>
      <c r="BU5" s="5">
        <f t="shared" si="72"/>
        <v>0.1</v>
      </c>
      <c r="BV5" s="21">
        <f t="shared" si="73"/>
        <v>0.40909090909090912</v>
      </c>
      <c r="BW5" s="2">
        <f t="shared" si="74"/>
        <v>19</v>
      </c>
      <c r="BX5" s="5">
        <f t="shared" si="75"/>
        <v>0.52293577981651373</v>
      </c>
      <c r="BY5" s="6">
        <f t="shared" si="76"/>
        <v>70</v>
      </c>
      <c r="BZ5" s="5">
        <f t="shared" si="77"/>
        <v>1.9266055045871557</v>
      </c>
      <c r="CA5" s="5">
        <f t="shared" si="78"/>
        <v>0.74311926605504586</v>
      </c>
      <c r="CB5" s="6">
        <f t="shared" si="79"/>
        <v>268</v>
      </c>
      <c r="CC5" s="332">
        <f t="shared" si="80"/>
        <v>7.8358208955223885E-2</v>
      </c>
      <c r="CD5" s="6">
        <f t="shared" si="81"/>
        <v>84</v>
      </c>
      <c r="CE5" s="5">
        <f t="shared" si="82"/>
        <v>2.3119266055045871</v>
      </c>
      <c r="CF5" s="6">
        <f t="shared" si="83"/>
        <v>54</v>
      </c>
      <c r="CG5" s="5">
        <f t="shared" si="84"/>
        <v>1.4862385321100917</v>
      </c>
      <c r="CH5" s="62">
        <f t="shared" si="85"/>
        <v>12.2</v>
      </c>
      <c r="CI5" s="61">
        <f t="shared" si="86"/>
        <v>158.5</v>
      </c>
      <c r="CJ5" s="62">
        <f t="shared" si="87"/>
        <v>4.3623853211009171</v>
      </c>
      <c r="CK5" s="61">
        <f t="shared" si="88"/>
        <v>106.81666666666666</v>
      </c>
      <c r="CL5" s="62">
        <f t="shared" si="89"/>
        <v>2.9399082568807335</v>
      </c>
      <c r="CM5" s="334">
        <f t="shared" si="90"/>
        <v>44.75</v>
      </c>
      <c r="CN5" s="335">
        <f t="shared" si="91"/>
        <v>1.2316513761467889</v>
      </c>
      <c r="CO5" s="368">
        <f t="shared" si="92"/>
        <v>0.67392218717139851</v>
      </c>
      <c r="CP5" s="194">
        <f t="shared" si="93"/>
        <v>4.7300000000000004</v>
      </c>
      <c r="CQ5" s="194">
        <f t="shared" si="94"/>
        <v>0.24894736842105267</v>
      </c>
      <c r="CR5" s="6">
        <f t="shared" si="95"/>
        <v>22</v>
      </c>
      <c r="CS5" s="62">
        <f t="shared" si="96"/>
        <v>0.60550458715596323</v>
      </c>
      <c r="CT5" s="5">
        <f t="shared" si="97"/>
        <v>243.9</v>
      </c>
      <c r="CU5" s="5">
        <f t="shared" si="98"/>
        <v>6.7128440366972475</v>
      </c>
      <c r="CV5" s="337">
        <f t="shared" si="99"/>
        <v>4.475229357798165</v>
      </c>
      <c r="CW5" s="183">
        <f t="shared" si="100"/>
        <v>169</v>
      </c>
      <c r="CX5" s="117">
        <f t="shared" si="101"/>
        <v>4.6513761467889907</v>
      </c>
      <c r="CY5" s="117">
        <f t="shared" si="102"/>
        <v>9.1</v>
      </c>
      <c r="CZ5" s="117">
        <f t="shared" si="103"/>
        <v>6.69</v>
      </c>
      <c r="DA5" s="299" t="s">
        <v>19</v>
      </c>
      <c r="DB5" s="295" t="s">
        <v>553</v>
      </c>
      <c r="DC5" s="295" t="s">
        <v>876</v>
      </c>
      <c r="DD5" s="295">
        <v>23</v>
      </c>
      <c r="DE5" s="295" t="s">
        <v>877</v>
      </c>
      <c r="DF5" s="295" t="s">
        <v>550</v>
      </c>
      <c r="DG5" s="295" t="s">
        <v>643</v>
      </c>
      <c r="DH5" s="295" t="s">
        <v>878</v>
      </c>
      <c r="DI5" s="295" t="s">
        <v>879</v>
      </c>
      <c r="DJ5" s="296">
        <v>46752</v>
      </c>
      <c r="DK5" s="295">
        <v>3270</v>
      </c>
      <c r="DL5" s="295" t="s">
        <v>880</v>
      </c>
      <c r="DM5" s="295">
        <v>0</v>
      </c>
      <c r="DN5" s="295">
        <v>0</v>
      </c>
      <c r="DO5" s="295">
        <v>2</v>
      </c>
      <c r="DP5" s="295">
        <v>5</v>
      </c>
      <c r="DQ5" s="295">
        <v>11</v>
      </c>
      <c r="DR5" s="295">
        <v>0</v>
      </c>
      <c r="DS5" s="295">
        <v>3</v>
      </c>
      <c r="DT5" s="295">
        <v>9.1</v>
      </c>
      <c r="DU5" s="295" t="s">
        <v>881</v>
      </c>
      <c r="DV5" s="295">
        <v>31</v>
      </c>
      <c r="DW5" s="295">
        <v>44</v>
      </c>
      <c r="DX5" s="295">
        <v>18</v>
      </c>
      <c r="DY5" s="295">
        <v>0.1</v>
      </c>
      <c r="DZ5" s="295">
        <v>1275</v>
      </c>
      <c r="EA5" s="295">
        <v>1158</v>
      </c>
      <c r="EB5" s="295">
        <v>19</v>
      </c>
      <c r="EC5" s="295">
        <v>102</v>
      </c>
      <c r="ED5" s="295">
        <v>43</v>
      </c>
      <c r="EE5" s="295">
        <v>17</v>
      </c>
      <c r="EF5" s="295">
        <v>132</v>
      </c>
      <c r="EG5" s="295">
        <v>33</v>
      </c>
      <c r="EH5" s="295">
        <v>27</v>
      </c>
      <c r="EI5" s="295">
        <v>21</v>
      </c>
      <c r="EJ5" s="295">
        <v>0</v>
      </c>
      <c r="EK5" s="295">
        <v>7</v>
      </c>
      <c r="EL5" s="295">
        <v>60</v>
      </c>
      <c r="EM5" s="295">
        <v>3</v>
      </c>
      <c r="EN5" s="295">
        <v>14</v>
      </c>
      <c r="EO5" s="295">
        <v>12</v>
      </c>
      <c r="EP5" s="295">
        <v>12.2</v>
      </c>
      <c r="EQ5" s="295">
        <v>0</v>
      </c>
      <c r="ER5" s="295">
        <v>0</v>
      </c>
      <c r="ES5" s="295">
        <v>0</v>
      </c>
      <c r="ET5" s="295" t="s">
        <v>882</v>
      </c>
      <c r="EU5" s="300">
        <v>6.69</v>
      </c>
    </row>
    <row r="6" spans="1:151" ht="24.95" customHeight="1" thickBot="1" x14ac:dyDescent="0.3">
      <c r="A6" s="29" t="str">
        <f t="shared" si="0"/>
        <v>5º</v>
      </c>
      <c r="B6" s="69" t="str">
        <f t="shared" si="1"/>
        <v>João Tavares</v>
      </c>
      <c r="C6" s="86" t="str">
        <f t="shared" si="2"/>
        <v>BRA</v>
      </c>
      <c r="D6" s="99" t="str">
        <f t="shared" si="3"/>
        <v>Pé Direito</v>
      </c>
      <c r="E6" s="28" t="str">
        <f t="shared" si="4"/>
        <v>Londrina</v>
      </c>
      <c r="F6" s="168">
        <f t="shared" si="5"/>
        <v>1.89</v>
      </c>
      <c r="G6" s="36">
        <f t="shared" si="6"/>
        <v>22</v>
      </c>
      <c r="H6" s="330" t="str">
        <f t="shared" si="7"/>
        <v>1,1m € p/m</v>
      </c>
      <c r="I6" s="35">
        <f t="shared" si="8"/>
        <v>47118</v>
      </c>
      <c r="J6" s="202" t="str">
        <f t="shared" si="9"/>
        <v>55m € - 550m €</v>
      </c>
      <c r="K6" s="96">
        <f t="shared" si="10"/>
        <v>31.868888888888886</v>
      </c>
      <c r="L6" s="146">
        <f t="shared" si="11"/>
        <v>27.1</v>
      </c>
      <c r="M6" s="146">
        <f t="shared" si="12"/>
        <v>41</v>
      </c>
      <c r="N6" s="146">
        <f t="shared" si="13"/>
        <v>59.487804878048777</v>
      </c>
      <c r="O6" s="187">
        <f t="shared" si="14"/>
        <v>0.8</v>
      </c>
      <c r="P6" s="2">
        <f t="shared" si="15"/>
        <v>1</v>
      </c>
      <c r="Q6" s="2">
        <f t="shared" si="16"/>
        <v>3</v>
      </c>
      <c r="R6" s="2">
        <f t="shared" si="17"/>
        <v>4</v>
      </c>
      <c r="S6" s="6">
        <f t="shared" si="18"/>
        <v>1</v>
      </c>
      <c r="T6" s="21">
        <f t="shared" si="19"/>
        <v>3.6900369003690037E-2</v>
      </c>
      <c r="U6" s="56">
        <f t="shared" si="20"/>
        <v>0</v>
      </c>
      <c r="V6" s="56">
        <f t="shared" si="21"/>
        <v>0</v>
      </c>
      <c r="W6" s="56">
        <f t="shared" si="22"/>
        <v>0</v>
      </c>
      <c r="X6" s="60">
        <f t="shared" si="23"/>
        <v>9.9999999999999995E-8</v>
      </c>
      <c r="Y6" s="2">
        <f t="shared" si="24"/>
        <v>5</v>
      </c>
      <c r="Z6" s="2">
        <f t="shared" si="25"/>
        <v>0</v>
      </c>
      <c r="AA6" s="2">
        <f t="shared" si="26"/>
        <v>5</v>
      </c>
      <c r="AB6" s="355">
        <f t="shared" si="27"/>
        <v>34</v>
      </c>
      <c r="AC6" s="329">
        <f t="shared" si="28"/>
        <v>1.2546125461254611</v>
      </c>
      <c r="AD6" s="2">
        <f t="shared" si="29"/>
        <v>29</v>
      </c>
      <c r="AE6" s="21">
        <f t="shared" si="30"/>
        <v>0.14705882352941177</v>
      </c>
      <c r="AF6" s="211">
        <f t="shared" si="31"/>
        <v>158</v>
      </c>
      <c r="AG6" s="199">
        <f t="shared" si="32"/>
        <v>5.8302583025830259</v>
      </c>
      <c r="AH6" s="211">
        <f t="shared" si="33"/>
        <v>34</v>
      </c>
      <c r="AI6" s="199">
        <f t="shared" si="34"/>
        <v>1.2546125461254611</v>
      </c>
      <c r="AJ6" s="21">
        <f t="shared" si="35"/>
        <v>0.21518987341772153</v>
      </c>
      <c r="AK6" s="6">
        <f t="shared" si="36"/>
        <v>159</v>
      </c>
      <c r="AL6" s="5">
        <f t="shared" si="37"/>
        <v>5.8671586715867159</v>
      </c>
      <c r="AM6" s="6">
        <f t="shared" si="38"/>
        <v>74</v>
      </c>
      <c r="AN6" s="5">
        <f t="shared" si="39"/>
        <v>2.7306273062730626</v>
      </c>
      <c r="AO6" s="21">
        <f t="shared" si="40"/>
        <v>0.46540880503144655</v>
      </c>
      <c r="AP6" s="2">
        <f t="shared" si="41"/>
        <v>29</v>
      </c>
      <c r="AQ6" s="21">
        <f t="shared" si="42"/>
        <v>0.8529411764705882</v>
      </c>
      <c r="AR6" s="6">
        <f t="shared" si="43"/>
        <v>1436</v>
      </c>
      <c r="AS6" s="6">
        <f t="shared" si="44"/>
        <v>1260</v>
      </c>
      <c r="AT6" s="5">
        <f t="shared" si="45"/>
        <v>46.494464944649444</v>
      </c>
      <c r="AU6" s="5">
        <f t="shared" si="46"/>
        <v>40</v>
      </c>
      <c r="AV6" s="6">
        <f t="shared" si="47"/>
        <v>176</v>
      </c>
      <c r="AW6" s="5">
        <f t="shared" si="48"/>
        <v>6.4944649446494465</v>
      </c>
      <c r="AX6" s="20">
        <f t="shared" si="49"/>
        <v>0.87743732590529244</v>
      </c>
      <c r="AY6" s="331">
        <f t="shared" si="50"/>
        <v>1298</v>
      </c>
      <c r="AZ6" s="5">
        <f t="shared" si="51"/>
        <v>47.896678966789665</v>
      </c>
      <c r="BA6" s="6">
        <f t="shared" si="52"/>
        <v>138</v>
      </c>
      <c r="BB6" s="5">
        <f t="shared" si="53"/>
        <v>5.0922509225092245</v>
      </c>
      <c r="BC6" s="21">
        <f t="shared" si="54"/>
        <v>0.10631741140215717</v>
      </c>
      <c r="BD6" s="6">
        <f t="shared" si="55"/>
        <v>64</v>
      </c>
      <c r="BE6" s="5">
        <f t="shared" si="56"/>
        <v>2.3616236162361623</v>
      </c>
      <c r="BF6" s="6">
        <f t="shared" si="57"/>
        <v>17</v>
      </c>
      <c r="BG6" s="5">
        <f t="shared" si="58"/>
        <v>0.62730627306273057</v>
      </c>
      <c r="BH6" s="6">
        <f t="shared" si="59"/>
        <v>13</v>
      </c>
      <c r="BI6" s="5">
        <f t="shared" si="60"/>
        <v>0.47970479704797048</v>
      </c>
      <c r="BJ6" s="21">
        <f t="shared" si="61"/>
        <v>0.265625</v>
      </c>
      <c r="BK6" s="6">
        <f t="shared" si="62"/>
        <v>1</v>
      </c>
      <c r="BL6" s="5">
        <f t="shared" si="63"/>
        <v>3.6900369003690037E-2</v>
      </c>
      <c r="BM6" s="6">
        <f t="shared" si="64"/>
        <v>95</v>
      </c>
      <c r="BN6" s="5">
        <f t="shared" si="65"/>
        <v>3.5055350553505535</v>
      </c>
      <c r="BO6" s="6">
        <f t="shared" si="66"/>
        <v>56</v>
      </c>
      <c r="BP6" s="5">
        <f t="shared" si="67"/>
        <v>2.0664206642066421</v>
      </c>
      <c r="BQ6" s="21">
        <f t="shared" si="68"/>
        <v>0.58947368421052626</v>
      </c>
      <c r="BR6" s="6">
        <f t="shared" si="69"/>
        <v>39</v>
      </c>
      <c r="BS6" s="5">
        <f t="shared" si="70"/>
        <v>1.4391143911439113</v>
      </c>
      <c r="BT6" s="6">
        <f t="shared" si="71"/>
        <v>8.1300000000000008</v>
      </c>
      <c r="BU6" s="5">
        <f t="shared" si="72"/>
        <v>0.3</v>
      </c>
      <c r="BV6" s="21">
        <f t="shared" si="73"/>
        <v>0.58947368421052626</v>
      </c>
      <c r="BW6" s="2">
        <f t="shared" si="74"/>
        <v>24</v>
      </c>
      <c r="BX6" s="5">
        <f t="shared" si="75"/>
        <v>0.88560885608856088</v>
      </c>
      <c r="BY6" s="6">
        <f t="shared" si="76"/>
        <v>96</v>
      </c>
      <c r="BZ6" s="5">
        <f t="shared" si="77"/>
        <v>3.5424354243542435</v>
      </c>
      <c r="CA6" s="5">
        <f t="shared" si="78"/>
        <v>1.1439114391143912</v>
      </c>
      <c r="CB6" s="6">
        <f t="shared" si="79"/>
        <v>268</v>
      </c>
      <c r="CC6" s="332">
        <f t="shared" si="80"/>
        <v>6.3432835820895525E-2</v>
      </c>
      <c r="CD6" s="6">
        <f t="shared" si="81"/>
        <v>123</v>
      </c>
      <c r="CE6" s="5">
        <f t="shared" si="82"/>
        <v>4.5387453874538739</v>
      </c>
      <c r="CF6" s="6">
        <f t="shared" si="83"/>
        <v>51.5</v>
      </c>
      <c r="CG6" s="5">
        <f t="shared" si="84"/>
        <v>1.9003690036900367</v>
      </c>
      <c r="CH6" s="62">
        <f t="shared" si="85"/>
        <v>10.1</v>
      </c>
      <c r="CI6" s="61">
        <f t="shared" si="86"/>
        <v>194.5</v>
      </c>
      <c r="CJ6" s="62">
        <f t="shared" si="87"/>
        <v>7.1771217712177116</v>
      </c>
      <c r="CK6" s="61">
        <f t="shared" si="88"/>
        <v>145.065</v>
      </c>
      <c r="CL6" s="62">
        <f t="shared" si="89"/>
        <v>5.3529520295202948</v>
      </c>
      <c r="CM6" s="334">
        <f t="shared" si="90"/>
        <v>40.25</v>
      </c>
      <c r="CN6" s="335">
        <f t="shared" si="91"/>
        <v>1.485239852398524</v>
      </c>
      <c r="CO6" s="368">
        <f t="shared" si="92"/>
        <v>0.74583547557840613</v>
      </c>
      <c r="CP6" s="194">
        <f t="shared" si="93"/>
        <v>4.13</v>
      </c>
      <c r="CQ6" s="194">
        <f t="shared" si="94"/>
        <v>0.17208333333333334</v>
      </c>
      <c r="CR6" s="6">
        <f t="shared" si="95"/>
        <v>28</v>
      </c>
      <c r="CS6" s="62">
        <f t="shared" si="96"/>
        <v>1.033210332103321</v>
      </c>
      <c r="CT6" s="5">
        <f t="shared" si="97"/>
        <v>326.5</v>
      </c>
      <c r="CU6" s="5">
        <f t="shared" si="98"/>
        <v>12.047970479704796</v>
      </c>
      <c r="CV6" s="337">
        <f t="shared" si="99"/>
        <v>8.031980319803198</v>
      </c>
      <c r="CW6" s="183">
        <f t="shared" si="100"/>
        <v>225</v>
      </c>
      <c r="CX6" s="117">
        <f t="shared" si="101"/>
        <v>8.3025830258302573</v>
      </c>
      <c r="CY6" s="117">
        <f t="shared" si="102"/>
        <v>7.6</v>
      </c>
      <c r="CZ6" s="117">
        <f t="shared" si="103"/>
        <v>6.83</v>
      </c>
      <c r="DA6" s="301"/>
      <c r="DB6" s="297" t="s">
        <v>13</v>
      </c>
      <c r="DC6" s="297" t="s">
        <v>884</v>
      </c>
      <c r="DD6" s="297">
        <v>22</v>
      </c>
      <c r="DE6" s="297" t="s">
        <v>769</v>
      </c>
      <c r="DF6" s="297" t="s">
        <v>593</v>
      </c>
      <c r="DG6" s="297" t="s">
        <v>643</v>
      </c>
      <c r="DH6" s="297" t="s">
        <v>885</v>
      </c>
      <c r="DI6" s="297" t="s">
        <v>886</v>
      </c>
      <c r="DJ6" s="298">
        <v>47118</v>
      </c>
      <c r="DK6" s="297">
        <v>2439</v>
      </c>
      <c r="DL6" s="297" t="s">
        <v>887</v>
      </c>
      <c r="DM6" s="297">
        <v>1</v>
      </c>
      <c r="DN6" s="297">
        <v>0</v>
      </c>
      <c r="DO6" s="297">
        <v>1</v>
      </c>
      <c r="DP6" s="297">
        <v>3</v>
      </c>
      <c r="DQ6" s="297">
        <v>5</v>
      </c>
      <c r="DR6" s="297">
        <v>0</v>
      </c>
      <c r="DS6" s="297">
        <v>4</v>
      </c>
      <c r="DT6" s="297">
        <v>7.6</v>
      </c>
      <c r="DU6" s="297" t="s">
        <v>888</v>
      </c>
      <c r="DV6" s="297">
        <v>34</v>
      </c>
      <c r="DW6" s="297">
        <v>95</v>
      </c>
      <c r="DX6" s="297">
        <v>56</v>
      </c>
      <c r="DY6" s="297">
        <v>0.3</v>
      </c>
      <c r="DZ6" s="297">
        <v>1436</v>
      </c>
      <c r="EA6" s="297">
        <v>1260</v>
      </c>
      <c r="EB6" s="297">
        <v>24</v>
      </c>
      <c r="EC6" s="297">
        <v>138</v>
      </c>
      <c r="ED6" s="297">
        <v>14</v>
      </c>
      <c r="EE6" s="297">
        <v>4</v>
      </c>
      <c r="EF6" s="297">
        <v>158</v>
      </c>
      <c r="EG6" s="297">
        <v>34</v>
      </c>
      <c r="EH6" s="297">
        <v>30</v>
      </c>
      <c r="EI6" s="297">
        <v>17</v>
      </c>
      <c r="EJ6" s="297">
        <v>1</v>
      </c>
      <c r="EK6" s="297">
        <v>13</v>
      </c>
      <c r="EL6" s="297">
        <v>75</v>
      </c>
      <c r="EM6" s="297">
        <v>7</v>
      </c>
      <c r="EN6" s="297">
        <v>28</v>
      </c>
      <c r="EO6" s="297">
        <v>10</v>
      </c>
      <c r="EP6" s="297">
        <v>10.1</v>
      </c>
      <c r="EQ6" s="297">
        <v>0</v>
      </c>
      <c r="ER6" s="297">
        <v>0</v>
      </c>
      <c r="ES6" s="297">
        <v>0</v>
      </c>
      <c r="ET6" s="297" t="s">
        <v>889</v>
      </c>
      <c r="EU6" s="302">
        <v>6.83</v>
      </c>
    </row>
    <row r="7" spans="1:151" ht="24.95" customHeight="1" thickBot="1" x14ac:dyDescent="0.3">
      <c r="A7" s="29" t="str">
        <f t="shared" si="0"/>
        <v>6º</v>
      </c>
      <c r="B7" s="69" t="str">
        <f t="shared" si="1"/>
        <v>Johan Caicedo</v>
      </c>
      <c r="C7" s="86" t="str">
        <f t="shared" si="2"/>
        <v>COL</v>
      </c>
      <c r="D7" s="99" t="str">
        <f t="shared" si="3"/>
        <v>Pé Direito</v>
      </c>
      <c r="E7" s="28" t="str">
        <f t="shared" si="4"/>
        <v>Deportivo Pasto</v>
      </c>
      <c r="F7" s="168">
        <f t="shared" si="5"/>
        <v>1.83</v>
      </c>
      <c r="G7" s="36">
        <f t="shared" si="6"/>
        <v>22</v>
      </c>
      <c r="H7" s="330" t="str">
        <f t="shared" si="7"/>
        <v>10,25m € p/m</v>
      </c>
      <c r="I7" s="35">
        <f t="shared" si="8"/>
        <v>46752</v>
      </c>
      <c r="J7" s="202" t="str">
        <f t="shared" si="9"/>
        <v>1,6M € - 3,4M €</v>
      </c>
      <c r="K7" s="96">
        <f t="shared" si="10"/>
        <v>31.868888888888886</v>
      </c>
      <c r="L7" s="146">
        <f t="shared" si="11"/>
        <v>29.155555555555555</v>
      </c>
      <c r="M7" s="146">
        <f t="shared" si="12"/>
        <v>34</v>
      </c>
      <c r="N7" s="146">
        <f t="shared" si="13"/>
        <v>77.17647058823529</v>
      </c>
      <c r="O7" s="187">
        <f t="shared" si="14"/>
        <v>0.94</v>
      </c>
      <c r="P7" s="2">
        <f t="shared" si="15"/>
        <v>1</v>
      </c>
      <c r="Q7" s="2">
        <f t="shared" si="16"/>
        <v>3</v>
      </c>
      <c r="R7" s="2">
        <f t="shared" si="17"/>
        <v>4</v>
      </c>
      <c r="S7" s="6">
        <f t="shared" si="18"/>
        <v>2</v>
      </c>
      <c r="T7" s="21">
        <f t="shared" si="19"/>
        <v>6.8597560975609762E-2</v>
      </c>
      <c r="U7" s="56">
        <f t="shared" si="20"/>
        <v>0</v>
      </c>
      <c r="V7" s="56">
        <f t="shared" si="21"/>
        <v>0</v>
      </c>
      <c r="W7" s="56">
        <f t="shared" si="22"/>
        <v>0</v>
      </c>
      <c r="X7" s="60">
        <f t="shared" si="23"/>
        <v>9.9999999999999995E-8</v>
      </c>
      <c r="Y7" s="2">
        <f t="shared" si="24"/>
        <v>6</v>
      </c>
      <c r="Z7" s="2">
        <f t="shared" si="25"/>
        <v>1</v>
      </c>
      <c r="AA7" s="2">
        <f t="shared" si="26"/>
        <v>7</v>
      </c>
      <c r="AB7" s="355">
        <f t="shared" si="27"/>
        <v>32</v>
      </c>
      <c r="AC7" s="329">
        <f t="shared" si="28"/>
        <v>1.0975609756097562</v>
      </c>
      <c r="AD7" s="2">
        <f t="shared" si="29"/>
        <v>25</v>
      </c>
      <c r="AE7" s="21">
        <f t="shared" si="30"/>
        <v>0.21875</v>
      </c>
      <c r="AF7" s="211">
        <f t="shared" si="31"/>
        <v>172</v>
      </c>
      <c r="AG7" s="199">
        <f t="shared" si="32"/>
        <v>5.899390243902439</v>
      </c>
      <c r="AH7" s="211">
        <f t="shared" si="33"/>
        <v>55</v>
      </c>
      <c r="AI7" s="199">
        <f t="shared" si="34"/>
        <v>1.8864329268292683</v>
      </c>
      <c r="AJ7" s="21">
        <f t="shared" si="35"/>
        <v>0.31976744186046513</v>
      </c>
      <c r="AK7" s="6">
        <f t="shared" si="36"/>
        <v>150</v>
      </c>
      <c r="AL7" s="5">
        <f t="shared" si="37"/>
        <v>5.1448170731707314</v>
      </c>
      <c r="AM7" s="6">
        <f t="shared" si="38"/>
        <v>78</v>
      </c>
      <c r="AN7" s="5">
        <f t="shared" si="39"/>
        <v>2.6753048780487805</v>
      </c>
      <c r="AO7" s="21">
        <f t="shared" si="40"/>
        <v>0.52</v>
      </c>
      <c r="AP7" s="2">
        <f t="shared" si="41"/>
        <v>25</v>
      </c>
      <c r="AQ7" s="21">
        <f t="shared" si="42"/>
        <v>0.78125</v>
      </c>
      <c r="AR7" s="6">
        <f t="shared" si="43"/>
        <v>1600</v>
      </c>
      <c r="AS7" s="6">
        <f t="shared" si="44"/>
        <v>1434</v>
      </c>
      <c r="AT7" s="5">
        <f t="shared" si="45"/>
        <v>49.184451219512198</v>
      </c>
      <c r="AU7" s="5">
        <f t="shared" si="46"/>
        <v>43.490853658536587</v>
      </c>
      <c r="AV7" s="6">
        <f t="shared" si="47"/>
        <v>166</v>
      </c>
      <c r="AW7" s="5">
        <f t="shared" si="48"/>
        <v>5.6935975609756095</v>
      </c>
      <c r="AX7" s="20">
        <f t="shared" si="49"/>
        <v>0.89624999999999999</v>
      </c>
      <c r="AY7" s="331">
        <f t="shared" si="50"/>
        <v>1489</v>
      </c>
      <c r="AZ7" s="5">
        <f t="shared" si="51"/>
        <v>51.070884146341463</v>
      </c>
      <c r="BA7" s="6">
        <f t="shared" si="52"/>
        <v>111</v>
      </c>
      <c r="BB7" s="5">
        <f t="shared" si="53"/>
        <v>3.8071646341463414</v>
      </c>
      <c r="BC7" s="21">
        <f t="shared" si="54"/>
        <v>7.4546675621222303E-2</v>
      </c>
      <c r="BD7" s="6">
        <f t="shared" si="55"/>
        <v>87</v>
      </c>
      <c r="BE7" s="5">
        <f t="shared" si="56"/>
        <v>2.9839939024390243</v>
      </c>
      <c r="BF7" s="6">
        <f t="shared" si="57"/>
        <v>38</v>
      </c>
      <c r="BG7" s="5">
        <f t="shared" si="58"/>
        <v>1.3033536585365855</v>
      </c>
      <c r="BH7" s="6">
        <f t="shared" si="59"/>
        <v>17</v>
      </c>
      <c r="BI7" s="5">
        <f t="shared" si="60"/>
        <v>0.58307926829268297</v>
      </c>
      <c r="BJ7" s="21">
        <f t="shared" si="61"/>
        <v>0.43678160919540232</v>
      </c>
      <c r="BK7" s="6">
        <f t="shared" si="62"/>
        <v>4</v>
      </c>
      <c r="BL7" s="5">
        <f t="shared" si="63"/>
        <v>0.13719512195121952</v>
      </c>
      <c r="BM7" s="6">
        <f t="shared" si="64"/>
        <v>63</v>
      </c>
      <c r="BN7" s="5">
        <f t="shared" si="65"/>
        <v>2.1608231707317072</v>
      </c>
      <c r="BO7" s="6">
        <f t="shared" si="66"/>
        <v>36</v>
      </c>
      <c r="BP7" s="5">
        <f t="shared" si="67"/>
        <v>1.2347560975609757</v>
      </c>
      <c r="BQ7" s="21">
        <f t="shared" si="68"/>
        <v>0.5714285714285714</v>
      </c>
      <c r="BR7" s="6">
        <f t="shared" si="69"/>
        <v>27</v>
      </c>
      <c r="BS7" s="5">
        <f t="shared" si="70"/>
        <v>0.92606707317073167</v>
      </c>
      <c r="BT7" s="6">
        <f t="shared" si="71"/>
        <v>11.662222222222223</v>
      </c>
      <c r="BU7" s="5">
        <f t="shared" si="72"/>
        <v>0.4</v>
      </c>
      <c r="BV7" s="21">
        <f t="shared" si="73"/>
        <v>0.5714285714285714</v>
      </c>
      <c r="BW7" s="2">
        <f t="shared" si="74"/>
        <v>25</v>
      </c>
      <c r="BX7" s="5">
        <f t="shared" si="75"/>
        <v>0.85746951219512202</v>
      </c>
      <c r="BY7" s="6">
        <f t="shared" si="76"/>
        <v>83</v>
      </c>
      <c r="BZ7" s="5">
        <f t="shared" si="77"/>
        <v>2.8467987804878048</v>
      </c>
      <c r="CA7" s="5">
        <f t="shared" si="78"/>
        <v>1.0975609756097562</v>
      </c>
      <c r="CB7" s="6">
        <f t="shared" si="79"/>
        <v>268</v>
      </c>
      <c r="CC7" s="332">
        <f t="shared" si="80"/>
        <v>0.1417910447761194</v>
      </c>
      <c r="CD7" s="6">
        <f t="shared" si="81"/>
        <v>104</v>
      </c>
      <c r="CE7" s="5">
        <f t="shared" si="82"/>
        <v>3.5670731707317076</v>
      </c>
      <c r="CF7" s="6">
        <f t="shared" si="83"/>
        <v>95</v>
      </c>
      <c r="CG7" s="5">
        <f t="shared" si="84"/>
        <v>3.2583841463414633</v>
      </c>
      <c r="CH7" s="62">
        <f t="shared" si="85"/>
        <v>12.3</v>
      </c>
      <c r="CI7" s="61">
        <f t="shared" si="86"/>
        <v>202</v>
      </c>
      <c r="CJ7" s="62">
        <f t="shared" si="87"/>
        <v>6.9283536585365857</v>
      </c>
      <c r="CK7" s="61">
        <f t="shared" si="88"/>
        <v>151.83111111111111</v>
      </c>
      <c r="CL7" s="62">
        <f t="shared" si="89"/>
        <v>5.2076219512195125</v>
      </c>
      <c r="CM7" s="334">
        <f t="shared" si="90"/>
        <v>41.5</v>
      </c>
      <c r="CN7" s="335">
        <f t="shared" si="91"/>
        <v>1.4233993902439024</v>
      </c>
      <c r="CO7" s="368">
        <f t="shared" si="92"/>
        <v>0.75163916391639163</v>
      </c>
      <c r="CP7" s="194">
        <f t="shared" si="93"/>
        <v>2.29</v>
      </c>
      <c r="CQ7" s="194">
        <f t="shared" si="94"/>
        <v>9.1600000000000001E-2</v>
      </c>
      <c r="CR7" s="6">
        <f t="shared" si="95"/>
        <v>29</v>
      </c>
      <c r="CS7" s="62">
        <f t="shared" si="96"/>
        <v>0.99466463414634143</v>
      </c>
      <c r="CT7" s="5">
        <f t="shared" si="97"/>
        <v>330.2</v>
      </c>
      <c r="CU7" s="5">
        <f t="shared" si="98"/>
        <v>11.325457317073171</v>
      </c>
      <c r="CV7" s="337">
        <f t="shared" si="99"/>
        <v>7.55030487804878</v>
      </c>
      <c r="CW7" s="183">
        <f t="shared" si="100"/>
        <v>204</v>
      </c>
      <c r="CX7" s="117">
        <f t="shared" si="101"/>
        <v>6.9969512195121952</v>
      </c>
      <c r="CY7" s="117">
        <f t="shared" si="102"/>
        <v>7.4</v>
      </c>
      <c r="CZ7" s="117">
        <f t="shared" si="103"/>
        <v>6.76</v>
      </c>
      <c r="DA7" s="301"/>
      <c r="DB7" s="297" t="s">
        <v>553</v>
      </c>
      <c r="DC7" s="297" t="s">
        <v>856</v>
      </c>
      <c r="DD7" s="297">
        <v>22</v>
      </c>
      <c r="DE7" s="297" t="s">
        <v>857</v>
      </c>
      <c r="DF7" s="297" t="s">
        <v>586</v>
      </c>
      <c r="DG7" s="297" t="s">
        <v>643</v>
      </c>
      <c r="DH7" s="297" t="s">
        <v>858</v>
      </c>
      <c r="DI7" s="297" t="s">
        <v>859</v>
      </c>
      <c r="DJ7" s="298">
        <v>46752</v>
      </c>
      <c r="DK7" s="297">
        <v>2624</v>
      </c>
      <c r="DL7" s="297" t="s">
        <v>860</v>
      </c>
      <c r="DM7" s="297">
        <v>2</v>
      </c>
      <c r="DN7" s="297">
        <v>0</v>
      </c>
      <c r="DO7" s="297">
        <v>1</v>
      </c>
      <c r="DP7" s="297">
        <v>3</v>
      </c>
      <c r="DQ7" s="297">
        <v>6</v>
      </c>
      <c r="DR7" s="297">
        <v>1</v>
      </c>
      <c r="DS7" s="297">
        <v>4</v>
      </c>
      <c r="DT7" s="297">
        <v>7.4</v>
      </c>
      <c r="DU7" s="297" t="s">
        <v>861</v>
      </c>
      <c r="DV7" s="297">
        <v>32</v>
      </c>
      <c r="DW7" s="297">
        <v>63</v>
      </c>
      <c r="DX7" s="297">
        <v>36</v>
      </c>
      <c r="DY7" s="297">
        <v>0.4</v>
      </c>
      <c r="DZ7" s="297">
        <v>1600</v>
      </c>
      <c r="EA7" s="297">
        <v>1434</v>
      </c>
      <c r="EB7" s="297">
        <v>25</v>
      </c>
      <c r="EC7" s="297">
        <v>111</v>
      </c>
      <c r="ED7" s="297">
        <v>12</v>
      </c>
      <c r="EE7" s="297">
        <v>1</v>
      </c>
      <c r="EF7" s="297">
        <v>172</v>
      </c>
      <c r="EG7" s="297">
        <v>55</v>
      </c>
      <c r="EH7" s="297">
        <v>55</v>
      </c>
      <c r="EI7" s="297">
        <v>38</v>
      </c>
      <c r="EJ7" s="297">
        <v>4</v>
      </c>
      <c r="EK7" s="297">
        <v>4</v>
      </c>
      <c r="EL7" s="297">
        <v>72</v>
      </c>
      <c r="EM7" s="297">
        <v>3</v>
      </c>
      <c r="EN7" s="297">
        <v>25</v>
      </c>
      <c r="EO7" s="297">
        <v>27</v>
      </c>
      <c r="EP7" s="297">
        <v>12.3</v>
      </c>
      <c r="EQ7" s="297">
        <v>0</v>
      </c>
      <c r="ER7" s="297">
        <v>0</v>
      </c>
      <c r="ES7" s="297">
        <v>0</v>
      </c>
      <c r="ET7" s="297" t="s">
        <v>862</v>
      </c>
      <c r="EU7" s="302">
        <v>6.76</v>
      </c>
    </row>
    <row r="8" spans="1:151" ht="24.95" customHeight="1" thickBot="1" x14ac:dyDescent="0.3">
      <c r="A8" s="29" t="str">
        <f t="shared" si="0"/>
        <v>7º</v>
      </c>
      <c r="B8" s="69" t="str">
        <f t="shared" si="1"/>
        <v>José Mercado</v>
      </c>
      <c r="C8" s="86" t="str">
        <f t="shared" si="2"/>
        <v>COL</v>
      </c>
      <c r="D8" s="99" t="str">
        <f t="shared" si="3"/>
        <v>Pé Direito</v>
      </c>
      <c r="E8" s="28" t="str">
        <f t="shared" si="4"/>
        <v>Unión Magdalena</v>
      </c>
      <c r="F8" s="168">
        <f t="shared" si="5"/>
        <v>1.74</v>
      </c>
      <c r="G8" s="36">
        <f t="shared" si="6"/>
        <v>23</v>
      </c>
      <c r="H8" s="330" t="str">
        <f t="shared" si="7"/>
        <v>3,5m € p/m</v>
      </c>
      <c r="I8" s="35">
        <f t="shared" si="8"/>
        <v>46752</v>
      </c>
      <c r="J8" s="202" t="str">
        <f t="shared" si="9"/>
        <v>375m € - 1,3M €</v>
      </c>
      <c r="K8" s="96">
        <f t="shared" si="10"/>
        <v>31.868888888888886</v>
      </c>
      <c r="L8" s="146">
        <f t="shared" si="11"/>
        <v>31.133333333333333</v>
      </c>
      <c r="M8" s="146">
        <f t="shared" si="12"/>
        <v>38</v>
      </c>
      <c r="N8" s="146">
        <f t="shared" si="13"/>
        <v>73.736842105263165</v>
      </c>
      <c r="O8" s="187">
        <f t="shared" si="14"/>
        <v>0.89</v>
      </c>
      <c r="P8" s="2">
        <f t="shared" si="15"/>
        <v>2</v>
      </c>
      <c r="Q8" s="2">
        <f t="shared" si="16"/>
        <v>4</v>
      </c>
      <c r="R8" s="2">
        <f t="shared" si="17"/>
        <v>6</v>
      </c>
      <c r="S8" s="6">
        <f t="shared" si="18"/>
        <v>0</v>
      </c>
      <c r="T8" s="21">
        <f t="shared" si="19"/>
        <v>0</v>
      </c>
      <c r="U8" s="56">
        <f t="shared" si="20"/>
        <v>0</v>
      </c>
      <c r="V8" s="56">
        <f t="shared" si="21"/>
        <v>0</v>
      </c>
      <c r="W8" s="56">
        <f t="shared" si="22"/>
        <v>0</v>
      </c>
      <c r="X8" s="60">
        <f t="shared" si="23"/>
        <v>9.9999999999999995E-8</v>
      </c>
      <c r="Y8" s="2">
        <f t="shared" si="24"/>
        <v>3</v>
      </c>
      <c r="Z8" s="2">
        <f t="shared" si="25"/>
        <v>0</v>
      </c>
      <c r="AA8" s="2">
        <f t="shared" si="26"/>
        <v>3</v>
      </c>
      <c r="AB8" s="355">
        <f t="shared" si="27"/>
        <v>6</v>
      </c>
      <c r="AC8" s="329">
        <f t="shared" si="28"/>
        <v>0.19271948608137046</v>
      </c>
      <c r="AD8" s="2">
        <f t="shared" si="29"/>
        <v>3</v>
      </c>
      <c r="AE8" s="21">
        <f t="shared" si="30"/>
        <v>0.5</v>
      </c>
      <c r="AF8" s="211">
        <f t="shared" si="31"/>
        <v>24</v>
      </c>
      <c r="AG8" s="199">
        <f t="shared" si="32"/>
        <v>0.77087794432548185</v>
      </c>
      <c r="AH8" s="211">
        <f t="shared" si="33"/>
        <v>9</v>
      </c>
      <c r="AI8" s="199">
        <f t="shared" si="34"/>
        <v>0.28907922912205569</v>
      </c>
      <c r="AJ8" s="21">
        <f t="shared" si="35"/>
        <v>0.375</v>
      </c>
      <c r="AK8" s="6">
        <f t="shared" si="36"/>
        <v>23</v>
      </c>
      <c r="AL8" s="5">
        <f t="shared" si="37"/>
        <v>0.73875802997858675</v>
      </c>
      <c r="AM8" s="6">
        <f t="shared" si="38"/>
        <v>5</v>
      </c>
      <c r="AN8" s="5">
        <f t="shared" si="39"/>
        <v>0.16059957173447537</v>
      </c>
      <c r="AO8" s="21">
        <f t="shared" si="40"/>
        <v>0.21739130434782608</v>
      </c>
      <c r="AP8" s="2">
        <f t="shared" si="41"/>
        <v>3</v>
      </c>
      <c r="AQ8" s="21">
        <f t="shared" si="42"/>
        <v>0.5</v>
      </c>
      <c r="AR8" s="6">
        <f t="shared" si="43"/>
        <v>251</v>
      </c>
      <c r="AS8" s="6">
        <f t="shared" si="44"/>
        <v>222</v>
      </c>
      <c r="AT8" s="5">
        <f t="shared" si="45"/>
        <v>7.1306209850107072</v>
      </c>
      <c r="AU8" s="5">
        <f t="shared" si="46"/>
        <v>6.1991434689507496</v>
      </c>
      <c r="AV8" s="6">
        <f t="shared" si="47"/>
        <v>29</v>
      </c>
      <c r="AW8" s="5">
        <f t="shared" si="48"/>
        <v>0.93147751605995721</v>
      </c>
      <c r="AX8" s="20">
        <f t="shared" si="49"/>
        <v>0.8844621513944223</v>
      </c>
      <c r="AY8" s="331">
        <f t="shared" si="50"/>
        <v>230</v>
      </c>
      <c r="AZ8" s="5">
        <f t="shared" si="51"/>
        <v>7.3875802997858671</v>
      </c>
      <c r="BA8" s="6">
        <f t="shared" si="52"/>
        <v>21</v>
      </c>
      <c r="BB8" s="5">
        <f t="shared" si="53"/>
        <v>0.67451820128479656</v>
      </c>
      <c r="BC8" s="21">
        <f t="shared" si="54"/>
        <v>9.1304347826086957E-2</v>
      </c>
      <c r="BD8" s="6">
        <f t="shared" si="55"/>
        <v>14</v>
      </c>
      <c r="BE8" s="5">
        <f t="shared" si="56"/>
        <v>0.44967880085653106</v>
      </c>
      <c r="BF8" s="6">
        <f t="shared" si="57"/>
        <v>2</v>
      </c>
      <c r="BG8" s="5">
        <f t="shared" si="58"/>
        <v>6.4239828693790149E-2</v>
      </c>
      <c r="BH8" s="6">
        <f t="shared" si="59"/>
        <v>6</v>
      </c>
      <c r="BI8" s="5">
        <f t="shared" si="60"/>
        <v>0.19271948608137046</v>
      </c>
      <c r="BJ8" s="21">
        <f t="shared" si="61"/>
        <v>0.14285714285714285</v>
      </c>
      <c r="BK8" s="6">
        <f t="shared" si="62"/>
        <v>0</v>
      </c>
      <c r="BL8" s="5">
        <f t="shared" si="63"/>
        <v>0</v>
      </c>
      <c r="BM8" s="6">
        <f t="shared" si="64"/>
        <v>9</v>
      </c>
      <c r="BN8" s="5">
        <f t="shared" si="65"/>
        <v>0.28907922912205569</v>
      </c>
      <c r="BO8" s="6">
        <f t="shared" si="66"/>
        <v>3</v>
      </c>
      <c r="BP8" s="5">
        <f t="shared" si="67"/>
        <v>9.6359743040685231E-2</v>
      </c>
      <c r="BQ8" s="21">
        <f t="shared" si="68"/>
        <v>0.33333333333333331</v>
      </c>
      <c r="BR8" s="6">
        <f t="shared" si="69"/>
        <v>6</v>
      </c>
      <c r="BS8" s="5">
        <f t="shared" si="70"/>
        <v>0.19271948608137046</v>
      </c>
      <c r="BT8" s="6">
        <f t="shared" si="71"/>
        <v>0</v>
      </c>
      <c r="BU8" s="5">
        <f t="shared" si="72"/>
        <v>0</v>
      </c>
      <c r="BV8" s="21">
        <f t="shared" si="73"/>
        <v>0.33333333333333331</v>
      </c>
      <c r="BW8" s="2">
        <f t="shared" si="74"/>
        <v>24</v>
      </c>
      <c r="BX8" s="5">
        <f t="shared" si="75"/>
        <v>0.77087794432548185</v>
      </c>
      <c r="BY8" s="6">
        <f t="shared" si="76"/>
        <v>12</v>
      </c>
      <c r="BZ8" s="5">
        <f t="shared" si="77"/>
        <v>0.38543897216274092</v>
      </c>
      <c r="CA8" s="5">
        <f t="shared" si="78"/>
        <v>1.2526766595289078</v>
      </c>
      <c r="CB8" s="6">
        <f t="shared" si="79"/>
        <v>268</v>
      </c>
      <c r="CC8" s="332">
        <f t="shared" si="80"/>
        <v>7.462686567164179E-3</v>
      </c>
      <c r="CD8" s="6">
        <f t="shared" si="81"/>
        <v>14</v>
      </c>
      <c r="CE8" s="5">
        <f t="shared" si="82"/>
        <v>0.44967880085653106</v>
      </c>
      <c r="CF8" s="6">
        <f t="shared" si="83"/>
        <v>11</v>
      </c>
      <c r="CG8" s="5">
        <f t="shared" si="84"/>
        <v>0.35331905781584583</v>
      </c>
      <c r="CH8" s="62">
        <f t="shared" si="85"/>
        <v>12.6</v>
      </c>
      <c r="CI8" s="61">
        <f t="shared" si="86"/>
        <v>32.5</v>
      </c>
      <c r="CJ8" s="62">
        <f t="shared" si="87"/>
        <v>1.04389721627409</v>
      </c>
      <c r="CK8" s="61">
        <f t="shared" si="88"/>
        <v>16</v>
      </c>
      <c r="CL8" s="62">
        <f t="shared" si="89"/>
        <v>0.51391862955032119</v>
      </c>
      <c r="CM8" s="334">
        <f t="shared" si="90"/>
        <v>9.75</v>
      </c>
      <c r="CN8" s="335">
        <f t="shared" si="91"/>
        <v>0.31316916488222696</v>
      </c>
      <c r="CO8" s="368">
        <f t="shared" si="92"/>
        <v>0.49230769230769234</v>
      </c>
      <c r="CP8" s="194">
        <f t="shared" si="93"/>
        <v>6.87</v>
      </c>
      <c r="CQ8" s="194">
        <f t="shared" si="94"/>
        <v>0.28625</v>
      </c>
      <c r="CR8" s="6">
        <f t="shared" si="95"/>
        <v>35</v>
      </c>
      <c r="CS8" s="62">
        <f t="shared" si="96"/>
        <v>1.1241970021413277</v>
      </c>
      <c r="CT8" s="5">
        <f t="shared" si="97"/>
        <v>38.1</v>
      </c>
      <c r="CU8" s="5">
        <f t="shared" si="98"/>
        <v>1.2237687366167025</v>
      </c>
      <c r="CV8" s="337">
        <f t="shared" si="99"/>
        <v>0.81584582441113496</v>
      </c>
      <c r="CW8" s="183">
        <f t="shared" si="100"/>
        <v>54</v>
      </c>
      <c r="CX8" s="117">
        <f t="shared" si="101"/>
        <v>1.734475374732334</v>
      </c>
      <c r="CY8" s="117">
        <f t="shared" si="102"/>
        <v>13.3</v>
      </c>
      <c r="CZ8" s="117">
        <f t="shared" si="103"/>
        <v>6.52</v>
      </c>
      <c r="DA8" s="299"/>
      <c r="DB8" s="295" t="s">
        <v>553</v>
      </c>
      <c r="DC8" s="295" t="s">
        <v>869</v>
      </c>
      <c r="DD8" s="295">
        <v>23</v>
      </c>
      <c r="DE8" s="295" t="s">
        <v>870</v>
      </c>
      <c r="DF8" s="295" t="s">
        <v>775</v>
      </c>
      <c r="DG8" s="295" t="s">
        <v>643</v>
      </c>
      <c r="DH8" s="295" t="s">
        <v>871</v>
      </c>
      <c r="DI8" s="295" t="s">
        <v>872</v>
      </c>
      <c r="DJ8" s="296">
        <v>46752</v>
      </c>
      <c r="DK8" s="295">
        <v>2802</v>
      </c>
      <c r="DL8" s="295" t="s">
        <v>873</v>
      </c>
      <c r="DM8" s="295">
        <v>0</v>
      </c>
      <c r="DN8" s="295">
        <v>0</v>
      </c>
      <c r="DO8" s="295">
        <v>2</v>
      </c>
      <c r="DP8" s="295">
        <v>4</v>
      </c>
      <c r="DQ8" s="295">
        <v>3</v>
      </c>
      <c r="DR8" s="295">
        <v>0</v>
      </c>
      <c r="DS8" s="295">
        <v>11</v>
      </c>
      <c r="DT8" s="295">
        <v>13.3</v>
      </c>
      <c r="DU8" s="295" t="s">
        <v>874</v>
      </c>
      <c r="DV8" s="295">
        <v>6</v>
      </c>
      <c r="DW8" s="295">
        <v>9</v>
      </c>
      <c r="DX8" s="295">
        <v>3</v>
      </c>
      <c r="DY8" s="295">
        <v>0</v>
      </c>
      <c r="DZ8" s="295">
        <v>251</v>
      </c>
      <c r="EA8" s="295">
        <v>222</v>
      </c>
      <c r="EB8" s="295">
        <v>24</v>
      </c>
      <c r="EC8" s="295">
        <v>21</v>
      </c>
      <c r="ED8" s="295">
        <v>30</v>
      </c>
      <c r="EE8" s="295">
        <v>11</v>
      </c>
      <c r="EF8" s="295">
        <v>24</v>
      </c>
      <c r="EG8" s="295">
        <v>9</v>
      </c>
      <c r="EH8" s="295">
        <v>8</v>
      </c>
      <c r="EI8" s="295">
        <v>2</v>
      </c>
      <c r="EJ8" s="295">
        <v>0</v>
      </c>
      <c r="EK8" s="295">
        <v>1</v>
      </c>
      <c r="EL8" s="295">
        <v>11</v>
      </c>
      <c r="EM8" s="295">
        <v>0</v>
      </c>
      <c r="EN8" s="295">
        <v>2</v>
      </c>
      <c r="EO8" s="295">
        <v>12</v>
      </c>
      <c r="EP8" s="295">
        <v>12.6</v>
      </c>
      <c r="EQ8" s="295">
        <v>0</v>
      </c>
      <c r="ER8" s="295">
        <v>0</v>
      </c>
      <c r="ES8" s="295">
        <v>0</v>
      </c>
      <c r="ET8" s="295" t="s">
        <v>875</v>
      </c>
      <c r="EU8" s="300">
        <v>6.52</v>
      </c>
    </row>
    <row r="9" spans="1:151" ht="24.95" customHeight="1" thickBot="1" x14ac:dyDescent="0.3">
      <c r="A9" s="29" t="str">
        <f t="shared" si="0"/>
        <v>8º</v>
      </c>
      <c r="B9" s="69" t="str">
        <f t="shared" si="1"/>
        <v>Sergio Vásquez</v>
      </c>
      <c r="C9" s="86" t="str">
        <f t="shared" si="2"/>
        <v>ECU</v>
      </c>
      <c r="D9" s="99" t="str">
        <f t="shared" si="3"/>
        <v>Pé Direito</v>
      </c>
      <c r="E9" s="28" t="str">
        <f t="shared" si="4"/>
        <v>Orense</v>
      </c>
      <c r="F9" s="168">
        <f t="shared" si="5"/>
        <v>1.8</v>
      </c>
      <c r="G9" s="36">
        <f t="shared" si="6"/>
        <v>22</v>
      </c>
      <c r="H9" s="330" t="str">
        <f t="shared" si="7"/>
        <v>6,25m € p/m</v>
      </c>
      <c r="I9" s="35">
        <f t="shared" si="8"/>
        <v>47452</v>
      </c>
      <c r="J9" s="202" t="str">
        <f t="shared" si="9"/>
        <v>325m € - 3,2M €</v>
      </c>
      <c r="K9" s="96">
        <f t="shared" si="10"/>
        <v>31.868888888888886</v>
      </c>
      <c r="L9" s="146">
        <f t="shared" si="11"/>
        <v>34.511111111111113</v>
      </c>
      <c r="M9" s="146">
        <f t="shared" si="12"/>
        <v>35</v>
      </c>
      <c r="N9" s="146">
        <f t="shared" si="13"/>
        <v>88.742857142857147</v>
      </c>
      <c r="O9" s="187">
        <f t="shared" si="14"/>
        <v>1</v>
      </c>
      <c r="P9" s="2">
        <f t="shared" si="15"/>
        <v>0</v>
      </c>
      <c r="Q9" s="2">
        <f t="shared" si="16"/>
        <v>5</v>
      </c>
      <c r="R9" s="2">
        <f t="shared" si="17"/>
        <v>5</v>
      </c>
      <c r="S9" s="6">
        <f t="shared" si="18"/>
        <v>0</v>
      </c>
      <c r="T9" s="21">
        <f t="shared" si="19"/>
        <v>0</v>
      </c>
      <c r="U9" s="56">
        <f t="shared" si="20"/>
        <v>0</v>
      </c>
      <c r="V9" s="56">
        <f t="shared" si="21"/>
        <v>0</v>
      </c>
      <c r="W9" s="56">
        <f t="shared" si="22"/>
        <v>0</v>
      </c>
      <c r="X9" s="60">
        <f t="shared" si="23"/>
        <v>9.9999999999999995E-8</v>
      </c>
      <c r="Y9" s="2">
        <f t="shared" si="24"/>
        <v>7</v>
      </c>
      <c r="Z9" s="2">
        <f t="shared" si="25"/>
        <v>0</v>
      </c>
      <c r="AA9" s="2">
        <f t="shared" si="26"/>
        <v>7</v>
      </c>
      <c r="AB9" s="355">
        <f t="shared" si="27"/>
        <v>35</v>
      </c>
      <c r="AC9" s="329">
        <f t="shared" si="28"/>
        <v>1.0141661300708307</v>
      </c>
      <c r="AD9" s="2">
        <f t="shared" si="29"/>
        <v>28</v>
      </c>
      <c r="AE9" s="21">
        <f t="shared" si="30"/>
        <v>0.2</v>
      </c>
      <c r="AF9" s="211">
        <f t="shared" si="31"/>
        <v>209</v>
      </c>
      <c r="AG9" s="199">
        <f t="shared" si="32"/>
        <v>6.0560206052801027</v>
      </c>
      <c r="AH9" s="211">
        <f t="shared" si="33"/>
        <v>46</v>
      </c>
      <c r="AI9" s="199">
        <f t="shared" si="34"/>
        <v>1.3329040566645203</v>
      </c>
      <c r="AJ9" s="21">
        <f t="shared" si="35"/>
        <v>0.22009569377990432</v>
      </c>
      <c r="AK9" s="6">
        <f t="shared" si="36"/>
        <v>189</v>
      </c>
      <c r="AL9" s="5">
        <f t="shared" si="37"/>
        <v>5.4764971023824849</v>
      </c>
      <c r="AM9" s="6">
        <f t="shared" si="38"/>
        <v>95</v>
      </c>
      <c r="AN9" s="5">
        <f t="shared" si="39"/>
        <v>2.7527366387636829</v>
      </c>
      <c r="AO9" s="21">
        <f t="shared" si="40"/>
        <v>0.50264550264550267</v>
      </c>
      <c r="AP9" s="2">
        <f t="shared" si="41"/>
        <v>28</v>
      </c>
      <c r="AQ9" s="21">
        <f t="shared" si="42"/>
        <v>0.8</v>
      </c>
      <c r="AR9" s="6">
        <f t="shared" si="43"/>
        <v>1842</v>
      </c>
      <c r="AS9" s="6">
        <f t="shared" si="44"/>
        <v>1695</v>
      </c>
      <c r="AT9" s="5">
        <f t="shared" si="45"/>
        <v>49.11461687057308</v>
      </c>
      <c r="AU9" s="5">
        <f t="shared" si="46"/>
        <v>44.855119124275596</v>
      </c>
      <c r="AV9" s="6">
        <f t="shared" si="47"/>
        <v>147</v>
      </c>
      <c r="AW9" s="5">
        <f t="shared" si="48"/>
        <v>4.2594977462974883</v>
      </c>
      <c r="AX9" s="20">
        <f t="shared" si="49"/>
        <v>0.92019543973941365</v>
      </c>
      <c r="AY9" s="331">
        <f t="shared" si="50"/>
        <v>1611</v>
      </c>
      <c r="AZ9" s="5">
        <f t="shared" si="51"/>
        <v>46.680618158403085</v>
      </c>
      <c r="BA9" s="6">
        <f t="shared" si="52"/>
        <v>231</v>
      </c>
      <c r="BB9" s="5">
        <f t="shared" si="53"/>
        <v>6.6934964584674823</v>
      </c>
      <c r="BC9" s="21">
        <f t="shared" si="54"/>
        <v>0.14338919925512103</v>
      </c>
      <c r="BD9" s="6">
        <f t="shared" si="55"/>
        <v>89</v>
      </c>
      <c r="BE9" s="5">
        <f t="shared" si="56"/>
        <v>2.5788795878943978</v>
      </c>
      <c r="BF9" s="6">
        <f t="shared" si="57"/>
        <v>46</v>
      </c>
      <c r="BG9" s="5">
        <f t="shared" si="58"/>
        <v>1.3329040566645203</v>
      </c>
      <c r="BH9" s="6">
        <f t="shared" si="59"/>
        <v>8</v>
      </c>
      <c r="BI9" s="5">
        <f t="shared" si="60"/>
        <v>0.231809401159047</v>
      </c>
      <c r="BJ9" s="21">
        <f t="shared" si="61"/>
        <v>0.5168539325842697</v>
      </c>
      <c r="BK9" s="6">
        <f t="shared" si="62"/>
        <v>3</v>
      </c>
      <c r="BL9" s="5">
        <f t="shared" si="63"/>
        <v>8.692852543464262E-2</v>
      </c>
      <c r="BM9" s="6">
        <f t="shared" si="64"/>
        <v>100</v>
      </c>
      <c r="BN9" s="5">
        <f t="shared" si="65"/>
        <v>2.8976175144880876</v>
      </c>
      <c r="BO9" s="6">
        <f t="shared" si="66"/>
        <v>46</v>
      </c>
      <c r="BP9" s="5">
        <f t="shared" si="67"/>
        <v>1.3329040566645203</v>
      </c>
      <c r="BQ9" s="21">
        <f t="shared" si="68"/>
        <v>0.46</v>
      </c>
      <c r="BR9" s="6">
        <f t="shared" si="69"/>
        <v>54</v>
      </c>
      <c r="BS9" s="5">
        <f t="shared" si="70"/>
        <v>1.5647134578235673</v>
      </c>
      <c r="BT9" s="6">
        <f t="shared" si="71"/>
        <v>10.353333333333333</v>
      </c>
      <c r="BU9" s="5">
        <f t="shared" si="72"/>
        <v>0.3</v>
      </c>
      <c r="BV9" s="21">
        <f t="shared" si="73"/>
        <v>0.46</v>
      </c>
      <c r="BW9" s="2">
        <f t="shared" si="74"/>
        <v>30</v>
      </c>
      <c r="BX9" s="5">
        <f t="shared" si="75"/>
        <v>0.86928525434642623</v>
      </c>
      <c r="BY9" s="6">
        <f t="shared" si="76"/>
        <v>116</v>
      </c>
      <c r="BZ9" s="5">
        <f t="shared" si="77"/>
        <v>3.3612363168061816</v>
      </c>
      <c r="CA9" s="5">
        <f t="shared" si="78"/>
        <v>1.1880231809401158</v>
      </c>
      <c r="CB9" s="6">
        <f t="shared" si="79"/>
        <v>268</v>
      </c>
      <c r="CC9" s="332">
        <f t="shared" si="80"/>
        <v>0.17164179104477612</v>
      </c>
      <c r="CD9" s="6">
        <f t="shared" si="81"/>
        <v>143</v>
      </c>
      <c r="CE9" s="5">
        <f t="shared" si="82"/>
        <v>4.1435930457179646</v>
      </c>
      <c r="CF9" s="6">
        <f t="shared" si="83"/>
        <v>93.5</v>
      </c>
      <c r="CG9" s="5">
        <f t="shared" si="84"/>
        <v>2.709272376046362</v>
      </c>
      <c r="CH9" s="62">
        <f t="shared" si="85"/>
        <v>13</v>
      </c>
      <c r="CI9" s="61">
        <f t="shared" si="86"/>
        <v>242.5</v>
      </c>
      <c r="CJ9" s="62">
        <f t="shared" si="87"/>
        <v>7.0267224726336117</v>
      </c>
      <c r="CK9" s="61">
        <f t="shared" si="88"/>
        <v>197.17666666666668</v>
      </c>
      <c r="CL9" s="62">
        <f t="shared" si="89"/>
        <v>5.713425627817128</v>
      </c>
      <c r="CM9" s="334">
        <f t="shared" si="90"/>
        <v>43.75</v>
      </c>
      <c r="CN9" s="335">
        <f t="shared" si="91"/>
        <v>1.2677076625885382</v>
      </c>
      <c r="CO9" s="368">
        <f t="shared" si="92"/>
        <v>0.81309965635738835</v>
      </c>
      <c r="CP9" s="194">
        <f t="shared" si="93"/>
        <v>2.71</v>
      </c>
      <c r="CQ9" s="194">
        <f t="shared" si="94"/>
        <v>9.0333333333333335E-2</v>
      </c>
      <c r="CR9" s="6">
        <f t="shared" si="95"/>
        <v>36</v>
      </c>
      <c r="CS9" s="62">
        <f t="shared" si="96"/>
        <v>1.0431423052157114</v>
      </c>
      <c r="CT9" s="5">
        <f t="shared" si="97"/>
        <v>393.1</v>
      </c>
      <c r="CU9" s="5">
        <f t="shared" si="98"/>
        <v>11.390534449452673</v>
      </c>
      <c r="CV9" s="337">
        <f t="shared" si="99"/>
        <v>7.5936896329684487</v>
      </c>
      <c r="CW9" s="183">
        <f t="shared" si="100"/>
        <v>221</v>
      </c>
      <c r="CX9" s="117">
        <f t="shared" si="101"/>
        <v>6.403734707018673</v>
      </c>
      <c r="CY9" s="117">
        <f t="shared" si="102"/>
        <v>6.5</v>
      </c>
      <c r="CZ9" s="117">
        <f t="shared" si="103"/>
        <v>6.91</v>
      </c>
      <c r="DA9" s="301"/>
      <c r="DB9" s="297" t="s">
        <v>863</v>
      </c>
      <c r="DC9" s="297" t="s">
        <v>864</v>
      </c>
      <c r="DD9" s="297">
        <v>22</v>
      </c>
      <c r="DE9" s="297" t="s">
        <v>865</v>
      </c>
      <c r="DF9" s="297" t="s">
        <v>589</v>
      </c>
      <c r="DG9" s="297" t="s">
        <v>643</v>
      </c>
      <c r="DH9" s="297" t="s">
        <v>866</v>
      </c>
      <c r="DI9" s="297" t="s">
        <v>680</v>
      </c>
      <c r="DJ9" s="298">
        <v>47452</v>
      </c>
      <c r="DK9" s="297">
        <v>3106</v>
      </c>
      <c r="DL9" s="297">
        <v>35</v>
      </c>
      <c r="DM9" s="297">
        <v>0</v>
      </c>
      <c r="DN9" s="297">
        <v>0</v>
      </c>
      <c r="DO9" s="297">
        <v>0</v>
      </c>
      <c r="DP9" s="297">
        <v>5</v>
      </c>
      <c r="DQ9" s="297">
        <v>7</v>
      </c>
      <c r="DR9" s="297">
        <v>0</v>
      </c>
      <c r="DS9" s="297">
        <v>6</v>
      </c>
      <c r="DT9" s="297">
        <v>6.5</v>
      </c>
      <c r="DU9" s="297" t="s">
        <v>867</v>
      </c>
      <c r="DV9" s="297">
        <v>35</v>
      </c>
      <c r="DW9" s="297">
        <v>100</v>
      </c>
      <c r="DX9" s="297">
        <v>46</v>
      </c>
      <c r="DY9" s="297">
        <v>0.3</v>
      </c>
      <c r="DZ9" s="297">
        <v>1842</v>
      </c>
      <c r="EA9" s="297">
        <v>1695</v>
      </c>
      <c r="EB9" s="297">
        <v>30</v>
      </c>
      <c r="EC9" s="297">
        <v>231</v>
      </c>
      <c r="ED9" s="297">
        <v>23</v>
      </c>
      <c r="EE9" s="297">
        <v>3</v>
      </c>
      <c r="EF9" s="297">
        <v>209</v>
      </c>
      <c r="EG9" s="297">
        <v>46</v>
      </c>
      <c r="EH9" s="297">
        <v>54</v>
      </c>
      <c r="EI9" s="297">
        <v>46</v>
      </c>
      <c r="EJ9" s="297">
        <v>3</v>
      </c>
      <c r="EK9" s="297">
        <v>17</v>
      </c>
      <c r="EL9" s="297">
        <v>84</v>
      </c>
      <c r="EM9" s="297">
        <v>12</v>
      </c>
      <c r="EN9" s="297">
        <v>30</v>
      </c>
      <c r="EO9" s="297">
        <v>17</v>
      </c>
      <c r="EP9" s="297">
        <v>13</v>
      </c>
      <c r="EQ9" s="297">
        <v>0</v>
      </c>
      <c r="ER9" s="297">
        <v>0</v>
      </c>
      <c r="ES9" s="297">
        <v>0</v>
      </c>
      <c r="ET9" s="297" t="s">
        <v>868</v>
      </c>
      <c r="EU9" s="302">
        <v>6.91</v>
      </c>
    </row>
    <row r="10" spans="1:151" ht="24.95" customHeight="1" thickBot="1" x14ac:dyDescent="0.3">
      <c r="A10" s="29" t="str">
        <f t="shared" si="0"/>
        <v>9º</v>
      </c>
      <c r="B10" s="69" t="str">
        <f t="shared" si="1"/>
        <v>Vicente Pizarro</v>
      </c>
      <c r="C10" s="86" t="str">
        <f t="shared" si="2"/>
        <v>CHI</v>
      </c>
      <c r="D10" s="99" t="str">
        <f t="shared" si="3"/>
        <v>Pé Esquerdo</v>
      </c>
      <c r="E10" s="28" t="str">
        <f t="shared" si="4"/>
        <v>Rosario Central</v>
      </c>
      <c r="F10" s="168">
        <f t="shared" si="5"/>
        <v>1.73</v>
      </c>
      <c r="G10" s="36">
        <f t="shared" si="6"/>
        <v>23</v>
      </c>
      <c r="H10" s="330" t="str">
        <f t="shared" si="7"/>
        <v>6m € p/m</v>
      </c>
      <c r="I10" s="35">
        <f t="shared" si="8"/>
        <v>47483</v>
      </c>
      <c r="J10" s="202" t="str">
        <f t="shared" si="9"/>
        <v>500m € - 5,2M €</v>
      </c>
      <c r="K10" s="96">
        <f t="shared" si="10"/>
        <v>31.868888888888886</v>
      </c>
      <c r="L10" s="146">
        <f t="shared" si="11"/>
        <v>32.944444444444443</v>
      </c>
      <c r="M10" s="146">
        <f t="shared" si="12"/>
        <v>39</v>
      </c>
      <c r="N10" s="146">
        <f t="shared" si="13"/>
        <v>76.025641025641022</v>
      </c>
      <c r="O10" s="187">
        <f t="shared" si="14"/>
        <v>0.92</v>
      </c>
      <c r="P10" s="2">
        <f t="shared" si="15"/>
        <v>1</v>
      </c>
      <c r="Q10" s="2">
        <f t="shared" si="16"/>
        <v>5</v>
      </c>
      <c r="R10" s="2">
        <f t="shared" si="17"/>
        <v>6</v>
      </c>
      <c r="S10" s="6">
        <f t="shared" si="18"/>
        <v>1</v>
      </c>
      <c r="T10" s="21">
        <f t="shared" si="19"/>
        <v>3.0354131534569985E-2</v>
      </c>
      <c r="U10" s="56">
        <f t="shared" si="20"/>
        <v>0</v>
      </c>
      <c r="V10" s="56">
        <f t="shared" si="21"/>
        <v>0</v>
      </c>
      <c r="W10" s="56">
        <f t="shared" si="22"/>
        <v>0</v>
      </c>
      <c r="X10" s="60">
        <f t="shared" si="23"/>
        <v>9.9999999999999995E-8</v>
      </c>
      <c r="Y10" s="2">
        <f t="shared" si="24"/>
        <v>1</v>
      </c>
      <c r="Z10" s="2">
        <f t="shared" si="25"/>
        <v>0</v>
      </c>
      <c r="AA10" s="2">
        <f t="shared" si="26"/>
        <v>1</v>
      </c>
      <c r="AB10" s="355">
        <f t="shared" si="27"/>
        <v>5</v>
      </c>
      <c r="AC10" s="329">
        <f t="shared" si="28"/>
        <v>0.15177065767284992</v>
      </c>
      <c r="AD10" s="2">
        <f t="shared" si="29"/>
        <v>4</v>
      </c>
      <c r="AE10" s="21">
        <f t="shared" si="30"/>
        <v>0.2</v>
      </c>
      <c r="AF10" s="211">
        <f t="shared" si="31"/>
        <v>150</v>
      </c>
      <c r="AG10" s="199">
        <f t="shared" si="32"/>
        <v>4.5531197301854975</v>
      </c>
      <c r="AH10" s="211">
        <f t="shared" si="33"/>
        <v>47</v>
      </c>
      <c r="AI10" s="199">
        <f t="shared" si="34"/>
        <v>1.4266441821247893</v>
      </c>
      <c r="AJ10" s="21">
        <f t="shared" si="35"/>
        <v>0.31333333333333335</v>
      </c>
      <c r="AK10" s="6">
        <f t="shared" si="36"/>
        <v>87</v>
      </c>
      <c r="AL10" s="5">
        <f t="shared" si="37"/>
        <v>2.6408094435075888</v>
      </c>
      <c r="AM10" s="6">
        <f t="shared" si="38"/>
        <v>46</v>
      </c>
      <c r="AN10" s="5">
        <f t="shared" si="39"/>
        <v>1.3962900505902194</v>
      </c>
      <c r="AO10" s="21">
        <f t="shared" si="40"/>
        <v>0.52873563218390807</v>
      </c>
      <c r="AP10" s="2">
        <f t="shared" si="41"/>
        <v>4</v>
      </c>
      <c r="AQ10" s="21">
        <f t="shared" si="42"/>
        <v>0.8</v>
      </c>
      <c r="AR10" s="6">
        <f t="shared" si="43"/>
        <v>1386</v>
      </c>
      <c r="AS10" s="6">
        <f t="shared" si="44"/>
        <v>1283</v>
      </c>
      <c r="AT10" s="5">
        <f t="shared" si="45"/>
        <v>38.94435075885329</v>
      </c>
      <c r="AU10" s="5">
        <f t="shared" si="46"/>
        <v>35.817875210792579</v>
      </c>
      <c r="AV10" s="6">
        <f t="shared" si="47"/>
        <v>103</v>
      </c>
      <c r="AW10" s="5">
        <f t="shared" si="48"/>
        <v>3.1264755480607085</v>
      </c>
      <c r="AX10" s="20">
        <f t="shared" si="49"/>
        <v>0.92568542568542567</v>
      </c>
      <c r="AY10" s="331">
        <f t="shared" si="50"/>
        <v>1238</v>
      </c>
      <c r="AZ10" s="5">
        <f t="shared" si="51"/>
        <v>37.578414839797638</v>
      </c>
      <c r="BA10" s="6">
        <f t="shared" si="52"/>
        <v>148</v>
      </c>
      <c r="BB10" s="5">
        <f t="shared" si="53"/>
        <v>4.4924114671163577</v>
      </c>
      <c r="BC10" s="21">
        <f t="shared" si="54"/>
        <v>0.11954765751211632</v>
      </c>
      <c r="BD10" s="6">
        <f t="shared" si="55"/>
        <v>57</v>
      </c>
      <c r="BE10" s="5">
        <f t="shared" si="56"/>
        <v>1.7301854974704891</v>
      </c>
      <c r="BF10" s="6">
        <f t="shared" si="57"/>
        <v>29</v>
      </c>
      <c r="BG10" s="5">
        <f t="shared" si="58"/>
        <v>0.8802698145025295</v>
      </c>
      <c r="BH10" s="6">
        <f t="shared" si="59"/>
        <v>23</v>
      </c>
      <c r="BI10" s="5">
        <f t="shared" si="60"/>
        <v>0.69814502529510969</v>
      </c>
      <c r="BJ10" s="21">
        <f t="shared" si="61"/>
        <v>0.50877192982456143</v>
      </c>
      <c r="BK10" s="6">
        <f t="shared" si="62"/>
        <v>7</v>
      </c>
      <c r="BL10" s="5">
        <f t="shared" si="63"/>
        <v>0.2124789207419899</v>
      </c>
      <c r="BM10" s="6">
        <f t="shared" si="64"/>
        <v>30</v>
      </c>
      <c r="BN10" s="5">
        <f t="shared" si="65"/>
        <v>0.91062394603709951</v>
      </c>
      <c r="BO10" s="6">
        <f t="shared" si="66"/>
        <v>10</v>
      </c>
      <c r="BP10" s="5">
        <f t="shared" si="67"/>
        <v>0.30354131534569984</v>
      </c>
      <c r="BQ10" s="21">
        <f t="shared" si="68"/>
        <v>0.33333333333333331</v>
      </c>
      <c r="BR10" s="6">
        <f t="shared" si="69"/>
        <v>20</v>
      </c>
      <c r="BS10" s="5">
        <f t="shared" si="70"/>
        <v>0.60708263069139967</v>
      </c>
      <c r="BT10" s="6">
        <f t="shared" si="71"/>
        <v>0</v>
      </c>
      <c r="BU10" s="5">
        <f t="shared" si="72"/>
        <v>0</v>
      </c>
      <c r="BV10" s="21">
        <f t="shared" si="73"/>
        <v>0.33333333333333331</v>
      </c>
      <c r="BW10" s="2">
        <f t="shared" si="74"/>
        <v>29</v>
      </c>
      <c r="BX10" s="5">
        <f t="shared" si="75"/>
        <v>0.8802698145025295</v>
      </c>
      <c r="BY10" s="6">
        <f t="shared" si="76"/>
        <v>101</v>
      </c>
      <c r="BZ10" s="5">
        <f t="shared" si="77"/>
        <v>3.0657672849915683</v>
      </c>
      <c r="CA10" s="5">
        <f t="shared" si="78"/>
        <v>1.2748735244519394</v>
      </c>
      <c r="CB10" s="6">
        <f t="shared" si="79"/>
        <v>268</v>
      </c>
      <c r="CC10" s="332">
        <f t="shared" si="80"/>
        <v>0.10820895522388059</v>
      </c>
      <c r="CD10" s="6">
        <f t="shared" si="81"/>
        <v>114</v>
      </c>
      <c r="CE10" s="5">
        <f t="shared" si="82"/>
        <v>3.4603709949409782</v>
      </c>
      <c r="CF10" s="6">
        <f t="shared" si="83"/>
        <v>79.5</v>
      </c>
      <c r="CG10" s="5">
        <f t="shared" si="84"/>
        <v>2.4131534569983137</v>
      </c>
      <c r="CH10" s="62">
        <f t="shared" si="85"/>
        <v>10.6</v>
      </c>
      <c r="CI10" s="61">
        <f t="shared" si="86"/>
        <v>175.5</v>
      </c>
      <c r="CJ10" s="62">
        <f t="shared" si="87"/>
        <v>5.3271500843170321</v>
      </c>
      <c r="CK10" s="61">
        <f t="shared" si="88"/>
        <v>150</v>
      </c>
      <c r="CL10" s="62">
        <f t="shared" si="89"/>
        <v>4.5531197301854975</v>
      </c>
      <c r="CM10" s="334">
        <f t="shared" si="90"/>
        <v>9.25</v>
      </c>
      <c r="CN10" s="335">
        <f t="shared" si="91"/>
        <v>0.28077571669477236</v>
      </c>
      <c r="CO10" s="368">
        <f t="shared" si="92"/>
        <v>0.85470085470085466</v>
      </c>
      <c r="CP10" s="194">
        <f t="shared" si="93"/>
        <v>3.74</v>
      </c>
      <c r="CQ10" s="194">
        <f t="shared" si="94"/>
        <v>0.12896551724137931</v>
      </c>
      <c r="CR10" s="6">
        <f t="shared" si="95"/>
        <v>37</v>
      </c>
      <c r="CS10" s="62">
        <f t="shared" si="96"/>
        <v>1.1231028667790894</v>
      </c>
      <c r="CT10" s="5">
        <f t="shared" si="97"/>
        <v>302.39999999999998</v>
      </c>
      <c r="CU10" s="5">
        <f t="shared" si="98"/>
        <v>9.1790893760539625</v>
      </c>
      <c r="CV10" s="337">
        <f t="shared" si="99"/>
        <v>6.1193929173693089</v>
      </c>
      <c r="CW10" s="183">
        <f t="shared" si="100"/>
        <v>140</v>
      </c>
      <c r="CX10" s="117">
        <f t="shared" si="101"/>
        <v>4.2495784148397977</v>
      </c>
      <c r="CY10" s="117">
        <f t="shared" si="102"/>
        <v>6.8</v>
      </c>
      <c r="CZ10" s="117">
        <f t="shared" si="103"/>
        <v>6.85</v>
      </c>
      <c r="DA10" s="301"/>
      <c r="DB10" s="297" t="s">
        <v>482</v>
      </c>
      <c r="DC10" s="297" t="s">
        <v>846</v>
      </c>
      <c r="DD10" s="297">
        <v>23</v>
      </c>
      <c r="DE10" s="297" t="s">
        <v>847</v>
      </c>
      <c r="DF10" s="297" t="s">
        <v>773</v>
      </c>
      <c r="DG10" s="297" t="s">
        <v>651</v>
      </c>
      <c r="DH10" s="297" t="s">
        <v>848</v>
      </c>
      <c r="DI10" s="297" t="s">
        <v>693</v>
      </c>
      <c r="DJ10" s="298">
        <v>47483</v>
      </c>
      <c r="DK10" s="297">
        <v>2965</v>
      </c>
      <c r="DL10" s="297" t="s">
        <v>849</v>
      </c>
      <c r="DM10" s="297">
        <v>1</v>
      </c>
      <c r="DN10" s="297">
        <v>1</v>
      </c>
      <c r="DO10" s="297">
        <v>1</v>
      </c>
      <c r="DP10" s="297">
        <v>5</v>
      </c>
      <c r="DQ10" s="297">
        <v>1</v>
      </c>
      <c r="DR10" s="297">
        <v>0</v>
      </c>
      <c r="DS10" s="297">
        <v>8</v>
      </c>
      <c r="DT10" s="297">
        <v>6.8</v>
      </c>
      <c r="DU10" s="297" t="s">
        <v>782</v>
      </c>
      <c r="DV10" s="297">
        <v>5</v>
      </c>
      <c r="DW10" s="297">
        <v>30</v>
      </c>
      <c r="DX10" s="297">
        <v>10</v>
      </c>
      <c r="DY10" s="297">
        <v>0</v>
      </c>
      <c r="DZ10" s="297">
        <v>1386</v>
      </c>
      <c r="EA10" s="297">
        <v>1283</v>
      </c>
      <c r="EB10" s="297">
        <v>29</v>
      </c>
      <c r="EC10" s="297">
        <v>148</v>
      </c>
      <c r="ED10" s="297">
        <v>21</v>
      </c>
      <c r="EE10" s="297">
        <v>4</v>
      </c>
      <c r="EF10" s="297">
        <v>150</v>
      </c>
      <c r="EG10" s="297">
        <v>47</v>
      </c>
      <c r="EH10" s="297">
        <v>52</v>
      </c>
      <c r="EI10" s="297">
        <v>29</v>
      </c>
      <c r="EJ10" s="297">
        <v>7</v>
      </c>
      <c r="EK10" s="297">
        <v>20</v>
      </c>
      <c r="EL10" s="297">
        <v>66</v>
      </c>
      <c r="EM10" s="297">
        <v>8</v>
      </c>
      <c r="EN10" s="297">
        <v>20</v>
      </c>
      <c r="EO10" s="297">
        <v>15</v>
      </c>
      <c r="EP10" s="297">
        <v>10.6</v>
      </c>
      <c r="EQ10" s="297">
        <v>0</v>
      </c>
      <c r="ER10" s="297">
        <v>0</v>
      </c>
      <c r="ES10" s="297">
        <v>0</v>
      </c>
      <c r="ET10" s="297" t="s">
        <v>850</v>
      </c>
      <c r="EU10" s="302">
        <v>6.85</v>
      </c>
    </row>
    <row r="11" spans="1:151" ht="24.95" customHeight="1" thickBot="1" x14ac:dyDescent="0.3">
      <c r="A11" s="29" t="str">
        <f t="shared" si="0"/>
        <v>10º</v>
      </c>
      <c r="B11" s="69" t="str">
        <f t="shared" si="1"/>
        <v>Zé Lucas</v>
      </c>
      <c r="C11" s="86" t="str">
        <f t="shared" si="2"/>
        <v>BRA</v>
      </c>
      <c r="D11" s="99" t="str">
        <f t="shared" si="3"/>
        <v>Pé Direito</v>
      </c>
      <c r="E11" s="28" t="str">
        <f t="shared" si="4"/>
        <v>Sport Recife</v>
      </c>
      <c r="F11" s="168">
        <f t="shared" si="5"/>
        <v>1.75</v>
      </c>
      <c r="G11" s="36">
        <f t="shared" si="6"/>
        <v>18</v>
      </c>
      <c r="H11" s="330" t="str">
        <f t="shared" si="7"/>
        <v>1,6m € p/m</v>
      </c>
      <c r="I11" s="35">
        <f t="shared" si="8"/>
        <v>47118</v>
      </c>
      <c r="J11" s="202" t="str">
        <f t="shared" si="9"/>
        <v>1,6M €</v>
      </c>
      <c r="K11" s="96">
        <f t="shared" si="10"/>
        <v>31.868888888888886</v>
      </c>
      <c r="L11" s="146">
        <f t="shared" si="11"/>
        <v>30.555555555555557</v>
      </c>
      <c r="M11" s="146">
        <f t="shared" si="12"/>
        <v>41</v>
      </c>
      <c r="N11" s="146">
        <f t="shared" si="13"/>
        <v>67.073170731707322</v>
      </c>
      <c r="O11" s="187">
        <f t="shared" si="14"/>
        <v>0.83</v>
      </c>
      <c r="P11" s="2">
        <f t="shared" si="15"/>
        <v>3</v>
      </c>
      <c r="Q11" s="2">
        <f t="shared" si="16"/>
        <v>2</v>
      </c>
      <c r="R11" s="2">
        <f t="shared" si="17"/>
        <v>5</v>
      </c>
      <c r="S11" s="6">
        <f t="shared" si="18"/>
        <v>0</v>
      </c>
      <c r="T11" s="21">
        <f t="shared" si="19"/>
        <v>0</v>
      </c>
      <c r="U11" s="56">
        <f t="shared" si="20"/>
        <v>0</v>
      </c>
      <c r="V11" s="56">
        <f t="shared" si="21"/>
        <v>0</v>
      </c>
      <c r="W11" s="56">
        <f t="shared" si="22"/>
        <v>0</v>
      </c>
      <c r="X11" s="60">
        <f t="shared" si="23"/>
        <v>9.9999999999999995E-8</v>
      </c>
      <c r="Y11" s="2">
        <f t="shared" si="24"/>
        <v>3</v>
      </c>
      <c r="Z11" s="2">
        <f t="shared" si="25"/>
        <v>0</v>
      </c>
      <c r="AA11" s="2">
        <f t="shared" si="26"/>
        <v>3</v>
      </c>
      <c r="AB11" s="355">
        <f t="shared" si="27"/>
        <v>8</v>
      </c>
      <c r="AC11" s="329">
        <f t="shared" si="28"/>
        <v>0.26181818181818178</v>
      </c>
      <c r="AD11" s="2">
        <f t="shared" si="29"/>
        <v>5</v>
      </c>
      <c r="AE11" s="21">
        <f t="shared" si="30"/>
        <v>0.375</v>
      </c>
      <c r="AF11" s="211">
        <f t="shared" si="31"/>
        <v>220</v>
      </c>
      <c r="AG11" s="199">
        <f t="shared" si="32"/>
        <v>7.1999999999999993</v>
      </c>
      <c r="AH11" s="211">
        <f t="shared" si="33"/>
        <v>47</v>
      </c>
      <c r="AI11" s="199">
        <f t="shared" si="34"/>
        <v>1.5381818181818181</v>
      </c>
      <c r="AJ11" s="21">
        <f t="shared" si="35"/>
        <v>0.21363636363636362</v>
      </c>
      <c r="AK11" s="6">
        <f t="shared" si="36"/>
        <v>86</v>
      </c>
      <c r="AL11" s="5">
        <f t="shared" si="37"/>
        <v>2.8145454545454545</v>
      </c>
      <c r="AM11" s="6">
        <f t="shared" si="38"/>
        <v>44</v>
      </c>
      <c r="AN11" s="5">
        <f t="shared" si="39"/>
        <v>1.44</v>
      </c>
      <c r="AO11" s="21">
        <f t="shared" si="40"/>
        <v>0.51162790697674421</v>
      </c>
      <c r="AP11" s="2">
        <f t="shared" si="41"/>
        <v>5</v>
      </c>
      <c r="AQ11" s="21">
        <f t="shared" si="42"/>
        <v>0.625</v>
      </c>
      <c r="AR11" s="6">
        <f t="shared" si="43"/>
        <v>1937</v>
      </c>
      <c r="AS11" s="6">
        <f t="shared" si="44"/>
        <v>1773</v>
      </c>
      <c r="AT11" s="5">
        <f t="shared" si="45"/>
        <v>58.025454545454544</v>
      </c>
      <c r="AU11" s="5">
        <f t="shared" si="46"/>
        <v>52.658181818181816</v>
      </c>
      <c r="AV11" s="6">
        <f t="shared" si="47"/>
        <v>164</v>
      </c>
      <c r="AW11" s="5">
        <f t="shared" si="48"/>
        <v>5.3672727272727272</v>
      </c>
      <c r="AX11" s="20">
        <f t="shared" si="49"/>
        <v>0.91533298915849248</v>
      </c>
      <c r="AY11" s="331">
        <f t="shared" si="50"/>
        <v>1733</v>
      </c>
      <c r="AZ11" s="5">
        <f t="shared" si="51"/>
        <v>56.716363636363631</v>
      </c>
      <c r="BA11" s="6">
        <f t="shared" si="52"/>
        <v>204</v>
      </c>
      <c r="BB11" s="5">
        <f t="shared" si="53"/>
        <v>6.6763636363636358</v>
      </c>
      <c r="BC11" s="21">
        <f t="shared" si="54"/>
        <v>0.11771494518176573</v>
      </c>
      <c r="BD11" s="6">
        <f t="shared" si="55"/>
        <v>42</v>
      </c>
      <c r="BE11" s="5">
        <f t="shared" si="56"/>
        <v>1.3745454545454545</v>
      </c>
      <c r="BF11" s="6">
        <f t="shared" si="57"/>
        <v>24</v>
      </c>
      <c r="BG11" s="5">
        <f t="shared" si="58"/>
        <v>0.78545454545454541</v>
      </c>
      <c r="BH11" s="6">
        <f t="shared" si="59"/>
        <v>10</v>
      </c>
      <c r="BI11" s="5">
        <f t="shared" si="60"/>
        <v>0.32727272727272727</v>
      </c>
      <c r="BJ11" s="21">
        <f t="shared" si="61"/>
        <v>0.5714285714285714</v>
      </c>
      <c r="BK11" s="6">
        <f t="shared" si="62"/>
        <v>3</v>
      </c>
      <c r="BL11" s="5">
        <f t="shared" si="63"/>
        <v>9.8181818181818176E-2</v>
      </c>
      <c r="BM11" s="6">
        <f t="shared" si="64"/>
        <v>44</v>
      </c>
      <c r="BN11" s="5">
        <f t="shared" si="65"/>
        <v>1.44</v>
      </c>
      <c r="BO11" s="6">
        <f t="shared" si="66"/>
        <v>17</v>
      </c>
      <c r="BP11" s="5">
        <f t="shared" si="67"/>
        <v>0.55636363636363628</v>
      </c>
      <c r="BQ11" s="21">
        <f t="shared" si="68"/>
        <v>0.38636363636363635</v>
      </c>
      <c r="BR11" s="6">
        <f t="shared" si="69"/>
        <v>27</v>
      </c>
      <c r="BS11" s="5">
        <f t="shared" si="70"/>
        <v>0.88363636363636355</v>
      </c>
      <c r="BT11" s="6">
        <f t="shared" si="71"/>
        <v>3.0555555555555558</v>
      </c>
      <c r="BU11" s="5">
        <f t="shared" si="72"/>
        <v>0.1</v>
      </c>
      <c r="BV11" s="21">
        <f t="shared" si="73"/>
        <v>0.38636363636363635</v>
      </c>
      <c r="BW11" s="2">
        <f t="shared" si="74"/>
        <v>27</v>
      </c>
      <c r="BX11" s="5">
        <f t="shared" si="75"/>
        <v>0.88363636363636355</v>
      </c>
      <c r="BY11" s="6">
        <f t="shared" si="76"/>
        <v>124</v>
      </c>
      <c r="BZ11" s="5">
        <f t="shared" si="77"/>
        <v>4.0581818181818177</v>
      </c>
      <c r="CA11" s="5">
        <f t="shared" si="78"/>
        <v>1.2109090909090909</v>
      </c>
      <c r="CB11" s="6">
        <f t="shared" si="79"/>
        <v>268</v>
      </c>
      <c r="CC11" s="332">
        <f t="shared" si="80"/>
        <v>8.9552238805970144E-2</v>
      </c>
      <c r="CD11" s="6">
        <f t="shared" si="81"/>
        <v>144</v>
      </c>
      <c r="CE11" s="5">
        <f t="shared" si="82"/>
        <v>4.7127272727272729</v>
      </c>
      <c r="CF11" s="6">
        <f t="shared" si="83"/>
        <v>72.5</v>
      </c>
      <c r="CG11" s="5">
        <f t="shared" si="84"/>
        <v>2.3727272727272726</v>
      </c>
      <c r="CH11" s="62">
        <f t="shared" si="85"/>
        <v>10.9</v>
      </c>
      <c r="CI11" s="61">
        <f t="shared" si="86"/>
        <v>190.5</v>
      </c>
      <c r="CJ11" s="62">
        <f t="shared" si="87"/>
        <v>6.2345454545454544</v>
      </c>
      <c r="CK11" s="61">
        <f t="shared" si="88"/>
        <v>172.52777777777777</v>
      </c>
      <c r="CL11" s="62">
        <f t="shared" si="89"/>
        <v>5.6463636363636356</v>
      </c>
      <c r="CM11" s="334">
        <f t="shared" si="90"/>
        <v>11.75</v>
      </c>
      <c r="CN11" s="335">
        <f t="shared" si="91"/>
        <v>0.38454545454545452</v>
      </c>
      <c r="CO11" s="368">
        <f t="shared" si="92"/>
        <v>0.90565762613006706</v>
      </c>
      <c r="CP11" s="194">
        <f t="shared" si="93"/>
        <v>6.09</v>
      </c>
      <c r="CQ11" s="194">
        <f t="shared" si="94"/>
        <v>0.22555555555555554</v>
      </c>
      <c r="CR11" s="6">
        <f t="shared" si="95"/>
        <v>35</v>
      </c>
      <c r="CS11" s="62">
        <f t="shared" si="96"/>
        <v>1.1454545454545455</v>
      </c>
      <c r="CT11" s="5">
        <f t="shared" si="97"/>
        <v>360.8</v>
      </c>
      <c r="CU11" s="5">
        <f t="shared" si="98"/>
        <v>11.808</v>
      </c>
      <c r="CV11" s="337">
        <f t="shared" si="99"/>
        <v>7.871999999999999</v>
      </c>
      <c r="CW11" s="183">
        <f t="shared" si="100"/>
        <v>216</v>
      </c>
      <c r="CX11" s="117">
        <f t="shared" si="101"/>
        <v>7.0690909090909084</v>
      </c>
      <c r="CY11" s="117">
        <f t="shared" si="102"/>
        <v>6.4</v>
      </c>
      <c r="CZ11" s="117">
        <f t="shared" si="103"/>
        <v>6.85</v>
      </c>
      <c r="DA11" s="301"/>
      <c r="DB11" s="297" t="s">
        <v>13</v>
      </c>
      <c r="DC11" s="297" t="s">
        <v>895</v>
      </c>
      <c r="DD11" s="297">
        <v>18</v>
      </c>
      <c r="DE11" s="297" t="s">
        <v>896</v>
      </c>
      <c r="DF11" s="297" t="s">
        <v>588</v>
      </c>
      <c r="DG11" s="297" t="s">
        <v>643</v>
      </c>
      <c r="DH11" s="297" t="s">
        <v>897</v>
      </c>
      <c r="DI11" s="297" t="s">
        <v>883</v>
      </c>
      <c r="DJ11" s="298">
        <v>47118</v>
      </c>
      <c r="DK11" s="297">
        <v>2750</v>
      </c>
      <c r="DL11" s="297" t="s">
        <v>898</v>
      </c>
      <c r="DM11" s="297">
        <v>0</v>
      </c>
      <c r="DN11" s="297">
        <v>0</v>
      </c>
      <c r="DO11" s="297">
        <v>3</v>
      </c>
      <c r="DP11" s="297">
        <v>2</v>
      </c>
      <c r="DQ11" s="297">
        <v>3</v>
      </c>
      <c r="DR11" s="297">
        <v>0</v>
      </c>
      <c r="DS11" s="297">
        <v>8</v>
      </c>
      <c r="DT11" s="297">
        <v>6.4</v>
      </c>
      <c r="DU11" s="297" t="s">
        <v>899</v>
      </c>
      <c r="DV11" s="297">
        <v>8</v>
      </c>
      <c r="DW11" s="297">
        <v>44</v>
      </c>
      <c r="DX11" s="297">
        <v>17</v>
      </c>
      <c r="DY11" s="297">
        <v>0.1</v>
      </c>
      <c r="DZ11" s="297">
        <v>1937</v>
      </c>
      <c r="EA11" s="297">
        <v>1773</v>
      </c>
      <c r="EB11" s="297">
        <v>27</v>
      </c>
      <c r="EC11" s="297">
        <v>204</v>
      </c>
      <c r="ED11" s="297">
        <v>37</v>
      </c>
      <c r="EE11" s="297">
        <v>12</v>
      </c>
      <c r="EF11" s="297">
        <v>220</v>
      </c>
      <c r="EG11" s="297">
        <v>47</v>
      </c>
      <c r="EH11" s="297">
        <v>34</v>
      </c>
      <c r="EI11" s="297">
        <v>24</v>
      </c>
      <c r="EJ11" s="297">
        <v>3</v>
      </c>
      <c r="EK11" s="297">
        <v>22</v>
      </c>
      <c r="EL11" s="297">
        <v>89</v>
      </c>
      <c r="EM11" s="297">
        <v>10</v>
      </c>
      <c r="EN11" s="297">
        <v>23</v>
      </c>
      <c r="EO11" s="297">
        <v>12</v>
      </c>
      <c r="EP11" s="297">
        <v>10.9</v>
      </c>
      <c r="EQ11" s="297">
        <v>0</v>
      </c>
      <c r="ER11" s="297">
        <v>0</v>
      </c>
      <c r="ES11" s="297">
        <v>0</v>
      </c>
      <c r="ET11" s="297" t="s">
        <v>900</v>
      </c>
      <c r="EU11" s="302">
        <v>6.85</v>
      </c>
    </row>
    <row r="12" spans="1:151" ht="24.95" customHeight="1" x14ac:dyDescent="0.25"/>
    <row r="13" spans="1:151" ht="24.95" customHeight="1" x14ac:dyDescent="0.25"/>
    <row r="14" spans="1:151" ht="24.95" customHeight="1" x14ac:dyDescent="0.25"/>
    <row r="15" spans="1:151" ht="24.95" customHeight="1" x14ac:dyDescent="0.25"/>
    <row r="16" spans="1:151" ht="24.95" customHeight="1" x14ac:dyDescent="0.25"/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  <row r="26" ht="24.95" customHeight="1" x14ac:dyDescent="0.25"/>
    <row r="27" ht="24.95" customHeight="1" x14ac:dyDescent="0.25"/>
    <row r="28" ht="24.95" customHeight="1" x14ac:dyDescent="0.25"/>
    <row r="29" ht="24.95" customHeight="1" x14ac:dyDescent="0.25"/>
    <row r="30" ht="24.95" customHeight="1" x14ac:dyDescent="0.25"/>
    <row r="31" ht="24.95" customHeight="1" x14ac:dyDescent="0.25"/>
    <row r="3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  <row r="363" ht="24.95" customHeight="1" x14ac:dyDescent="0.25"/>
    <row r="364" ht="24.95" customHeight="1" x14ac:dyDescent="0.25"/>
    <row r="365" ht="24.95" customHeight="1" x14ac:dyDescent="0.25"/>
    <row r="366" ht="24.95" customHeight="1" x14ac:dyDescent="0.25"/>
    <row r="367" ht="24.95" customHeight="1" x14ac:dyDescent="0.25"/>
    <row r="368" ht="24.95" customHeight="1" x14ac:dyDescent="0.25"/>
    <row r="369" ht="24.95" customHeight="1" x14ac:dyDescent="0.25"/>
    <row r="370" ht="24.95" customHeight="1" x14ac:dyDescent="0.25"/>
    <row r="371" ht="24.95" customHeight="1" x14ac:dyDescent="0.25"/>
    <row r="372" ht="24.95" customHeight="1" x14ac:dyDescent="0.25"/>
    <row r="373" ht="24.95" customHeight="1" x14ac:dyDescent="0.25"/>
    <row r="374" ht="24.95" customHeight="1" x14ac:dyDescent="0.25"/>
    <row r="375" ht="24.95" customHeight="1" x14ac:dyDescent="0.25"/>
    <row r="376" ht="24.95" customHeight="1" x14ac:dyDescent="0.25"/>
    <row r="377" ht="24.95" customHeight="1" x14ac:dyDescent="0.25"/>
    <row r="378" ht="24.95" customHeight="1" x14ac:dyDescent="0.25"/>
    <row r="379" ht="24.95" customHeight="1" x14ac:dyDescent="0.25"/>
    <row r="380" ht="24.95" customHeight="1" x14ac:dyDescent="0.25"/>
    <row r="381" ht="24.95" customHeight="1" x14ac:dyDescent="0.25"/>
    <row r="382" ht="24.95" customHeight="1" x14ac:dyDescent="0.25"/>
    <row r="383" ht="24.95" customHeight="1" x14ac:dyDescent="0.25"/>
    <row r="384" ht="24.95" customHeight="1" x14ac:dyDescent="0.25"/>
    <row r="385" ht="24.95" customHeight="1" x14ac:dyDescent="0.25"/>
    <row r="386" ht="24.95" customHeight="1" x14ac:dyDescent="0.25"/>
    <row r="387" ht="24.95" customHeight="1" x14ac:dyDescent="0.25"/>
    <row r="388" ht="24.95" customHeight="1" x14ac:dyDescent="0.25"/>
    <row r="389" ht="24.95" customHeight="1" x14ac:dyDescent="0.25"/>
    <row r="390" ht="24.95" customHeight="1" x14ac:dyDescent="0.25"/>
    <row r="391" ht="24.95" customHeight="1" x14ac:dyDescent="0.25"/>
    <row r="392" ht="24.95" customHeight="1" x14ac:dyDescent="0.25"/>
    <row r="393" ht="24.95" customHeight="1" x14ac:dyDescent="0.25"/>
    <row r="394" ht="24.95" customHeight="1" x14ac:dyDescent="0.25"/>
    <row r="395" ht="24.95" customHeight="1" x14ac:dyDescent="0.25"/>
    <row r="396" ht="24.95" customHeight="1" x14ac:dyDescent="0.25"/>
    <row r="397" ht="24.95" customHeight="1" x14ac:dyDescent="0.25"/>
    <row r="398" ht="24.95" customHeight="1" x14ac:dyDescent="0.25"/>
    <row r="399" ht="24.95" customHeight="1" x14ac:dyDescent="0.25"/>
    <row r="400" ht="24.95" customHeight="1" x14ac:dyDescent="0.25"/>
    <row r="401" ht="24.95" customHeight="1" x14ac:dyDescent="0.25"/>
    <row r="402" ht="24.95" customHeight="1" x14ac:dyDescent="0.25"/>
    <row r="403" ht="24.95" customHeight="1" x14ac:dyDescent="0.25"/>
    <row r="404" ht="24.95" customHeight="1" x14ac:dyDescent="0.25"/>
    <row r="405" ht="24.95" customHeight="1" x14ac:dyDescent="0.25"/>
    <row r="406" ht="24.95" customHeight="1" x14ac:dyDescent="0.25"/>
    <row r="407" ht="24.95" customHeight="1" x14ac:dyDescent="0.25"/>
    <row r="408" ht="24.95" customHeight="1" x14ac:dyDescent="0.25"/>
    <row r="409" ht="24.95" customHeight="1" x14ac:dyDescent="0.25"/>
    <row r="410" ht="24.95" customHeight="1" x14ac:dyDescent="0.25"/>
    <row r="411" ht="24.95" customHeight="1" x14ac:dyDescent="0.25"/>
    <row r="412" ht="24.95" customHeight="1" x14ac:dyDescent="0.25"/>
    <row r="413" ht="24.95" customHeight="1" x14ac:dyDescent="0.25"/>
    <row r="414" ht="24.95" customHeight="1" x14ac:dyDescent="0.25"/>
    <row r="415" ht="24.95" customHeight="1" x14ac:dyDescent="0.25"/>
    <row r="416" ht="24.95" customHeight="1" x14ac:dyDescent="0.25"/>
    <row r="417" ht="24.95" customHeight="1" x14ac:dyDescent="0.25"/>
    <row r="418" ht="24.95" customHeight="1" x14ac:dyDescent="0.25"/>
    <row r="419" ht="24.95" customHeight="1" x14ac:dyDescent="0.25"/>
    <row r="420" ht="24.95" customHeight="1" x14ac:dyDescent="0.25"/>
    <row r="421" ht="24.95" customHeight="1" x14ac:dyDescent="0.25"/>
    <row r="422" ht="24.95" customHeight="1" x14ac:dyDescent="0.25"/>
    <row r="423" ht="24.95" customHeight="1" x14ac:dyDescent="0.25"/>
    <row r="424" ht="24.95" customHeight="1" x14ac:dyDescent="0.25"/>
    <row r="425" ht="24.95" customHeight="1" x14ac:dyDescent="0.25"/>
    <row r="426" ht="24.95" customHeight="1" x14ac:dyDescent="0.25"/>
    <row r="427" ht="24.95" customHeight="1" x14ac:dyDescent="0.25"/>
    <row r="428" ht="24.95" customHeight="1" x14ac:dyDescent="0.25"/>
    <row r="429" ht="24.95" customHeight="1" x14ac:dyDescent="0.25"/>
    <row r="430" ht="24.95" customHeight="1" x14ac:dyDescent="0.25"/>
    <row r="431" ht="24.95" customHeight="1" x14ac:dyDescent="0.25"/>
    <row r="432" ht="24.95" customHeight="1" x14ac:dyDescent="0.25"/>
    <row r="433" ht="24.95" customHeight="1" x14ac:dyDescent="0.25"/>
    <row r="434" ht="24.95" customHeight="1" x14ac:dyDescent="0.25"/>
    <row r="435" ht="24.95" customHeight="1" x14ac:dyDescent="0.25"/>
    <row r="436" ht="24.95" customHeight="1" x14ac:dyDescent="0.25"/>
    <row r="437" ht="24.95" customHeight="1" x14ac:dyDescent="0.25"/>
    <row r="438" ht="24.95" customHeight="1" x14ac:dyDescent="0.25"/>
    <row r="439" ht="24.95" customHeight="1" x14ac:dyDescent="0.25"/>
    <row r="440" ht="24.95" customHeight="1" x14ac:dyDescent="0.25"/>
    <row r="441" ht="24.95" customHeight="1" x14ac:dyDescent="0.25"/>
    <row r="442" ht="24.95" customHeight="1" x14ac:dyDescent="0.25"/>
    <row r="443" ht="24.95" customHeight="1" x14ac:dyDescent="0.25"/>
    <row r="444" ht="24.95" customHeight="1" x14ac:dyDescent="0.25"/>
    <row r="445" ht="24.95" customHeight="1" x14ac:dyDescent="0.25"/>
    <row r="446" ht="24.95" customHeight="1" x14ac:dyDescent="0.25"/>
    <row r="447" ht="24.95" customHeight="1" x14ac:dyDescent="0.25"/>
    <row r="448" ht="24.95" customHeight="1" x14ac:dyDescent="0.25"/>
    <row r="449" ht="24.95" customHeight="1" x14ac:dyDescent="0.25"/>
    <row r="450" ht="24.95" customHeight="1" x14ac:dyDescent="0.25"/>
    <row r="451" ht="24.95" customHeight="1" x14ac:dyDescent="0.25"/>
    <row r="452" ht="24.95" customHeight="1" x14ac:dyDescent="0.25"/>
    <row r="453" ht="24.95" customHeight="1" x14ac:dyDescent="0.25"/>
    <row r="454" ht="24.95" customHeight="1" x14ac:dyDescent="0.25"/>
    <row r="455" ht="24.95" customHeight="1" x14ac:dyDescent="0.25"/>
    <row r="456" ht="24.95" customHeight="1" x14ac:dyDescent="0.25"/>
    <row r="457" ht="24.95" customHeight="1" x14ac:dyDescent="0.25"/>
    <row r="458" ht="24.95" customHeight="1" x14ac:dyDescent="0.25"/>
    <row r="459" ht="24.95" customHeight="1" x14ac:dyDescent="0.25"/>
    <row r="460" ht="24.95" customHeight="1" x14ac:dyDescent="0.25"/>
    <row r="461" ht="24.95" customHeight="1" x14ac:dyDescent="0.25"/>
    <row r="462" ht="24.95" customHeight="1" x14ac:dyDescent="0.25"/>
    <row r="463" ht="24.95" customHeight="1" x14ac:dyDescent="0.25"/>
    <row r="464" ht="24.95" customHeight="1" x14ac:dyDescent="0.25"/>
    <row r="465" ht="24.95" customHeight="1" x14ac:dyDescent="0.25"/>
    <row r="466" ht="24.95" customHeight="1" x14ac:dyDescent="0.25"/>
    <row r="467" ht="24.95" customHeight="1" x14ac:dyDescent="0.25"/>
    <row r="468" ht="24.95" customHeight="1" x14ac:dyDescent="0.25"/>
    <row r="469" ht="24.95" customHeight="1" x14ac:dyDescent="0.25"/>
    <row r="470" ht="24.95" customHeight="1" x14ac:dyDescent="0.25"/>
    <row r="471" ht="24.95" customHeight="1" x14ac:dyDescent="0.25"/>
    <row r="472" ht="24.95" customHeight="1" x14ac:dyDescent="0.25"/>
    <row r="473" ht="24.95" customHeight="1" x14ac:dyDescent="0.25"/>
    <row r="474" ht="24.95" customHeight="1" x14ac:dyDescent="0.25"/>
    <row r="475" ht="24.95" customHeight="1" x14ac:dyDescent="0.25"/>
    <row r="476" ht="24.95" customHeight="1" x14ac:dyDescent="0.25"/>
    <row r="477" ht="24.95" customHeight="1" x14ac:dyDescent="0.25"/>
    <row r="478" ht="24.95" customHeight="1" x14ac:dyDescent="0.25"/>
    <row r="479" ht="24.95" customHeight="1" x14ac:dyDescent="0.25"/>
    <row r="480" ht="24.95" customHeight="1" x14ac:dyDescent="0.25"/>
    <row r="481" ht="24.95" customHeight="1" x14ac:dyDescent="0.25"/>
    <row r="482" ht="24.95" customHeight="1" x14ac:dyDescent="0.25"/>
    <row r="483" ht="24.95" customHeight="1" x14ac:dyDescent="0.25"/>
    <row r="484" ht="24.95" customHeight="1" x14ac:dyDescent="0.25"/>
    <row r="485" ht="24.95" customHeight="1" x14ac:dyDescent="0.25"/>
    <row r="486" ht="24.95" customHeight="1" x14ac:dyDescent="0.25"/>
    <row r="487" ht="24.95" customHeight="1" x14ac:dyDescent="0.25"/>
    <row r="488" ht="24.95" customHeight="1" x14ac:dyDescent="0.25"/>
    <row r="489" ht="24.95" customHeight="1" x14ac:dyDescent="0.25"/>
    <row r="490" ht="24.95" customHeight="1" x14ac:dyDescent="0.25"/>
    <row r="491" ht="24.95" customHeight="1" x14ac:dyDescent="0.25"/>
    <row r="492" ht="24.95" customHeight="1" x14ac:dyDescent="0.25"/>
    <row r="493" ht="24.95" customHeight="1" x14ac:dyDescent="0.25"/>
    <row r="494" ht="24.95" customHeight="1" x14ac:dyDescent="0.25"/>
    <row r="495" ht="24.95" customHeight="1" x14ac:dyDescent="0.25"/>
    <row r="496" ht="24.95" customHeight="1" x14ac:dyDescent="0.25"/>
    <row r="497" ht="24.95" customHeight="1" x14ac:dyDescent="0.25"/>
    <row r="498" ht="24.95" customHeight="1" x14ac:dyDescent="0.25"/>
    <row r="499" ht="24.95" customHeight="1" x14ac:dyDescent="0.25"/>
    <row r="500" ht="24.95" customHeight="1" x14ac:dyDescent="0.25"/>
    <row r="501" ht="24.95" customHeight="1" x14ac:dyDescent="0.25"/>
    <row r="502" ht="24.95" customHeight="1" x14ac:dyDescent="0.25"/>
    <row r="503" ht="24.95" customHeight="1" x14ac:dyDescent="0.25"/>
    <row r="504" ht="24.95" customHeight="1" x14ac:dyDescent="0.25"/>
    <row r="505" ht="24.95" customHeight="1" x14ac:dyDescent="0.25"/>
    <row r="506" ht="24.95" customHeight="1" x14ac:dyDescent="0.25"/>
    <row r="507" ht="24.95" customHeight="1" x14ac:dyDescent="0.25"/>
    <row r="508" ht="24.95" customHeight="1" x14ac:dyDescent="0.25"/>
    <row r="509" ht="24.95" customHeight="1" x14ac:dyDescent="0.25"/>
    <row r="510" ht="24.95" customHeight="1" x14ac:dyDescent="0.25"/>
    <row r="511" ht="24.95" customHeight="1" x14ac:dyDescent="0.25"/>
    <row r="512" ht="24.95" customHeight="1" x14ac:dyDescent="0.25"/>
    <row r="513" ht="24.95" customHeight="1" x14ac:dyDescent="0.25"/>
    <row r="514" ht="24.95" customHeight="1" x14ac:dyDescent="0.25"/>
    <row r="515" ht="24.95" customHeight="1" x14ac:dyDescent="0.25"/>
    <row r="516" ht="24.95" customHeight="1" x14ac:dyDescent="0.25"/>
    <row r="517" ht="24.95" customHeight="1" x14ac:dyDescent="0.25"/>
    <row r="518" ht="24.95" customHeight="1" x14ac:dyDescent="0.25"/>
    <row r="519" ht="24.95" customHeight="1" x14ac:dyDescent="0.25"/>
    <row r="520" ht="24.95" customHeight="1" x14ac:dyDescent="0.25"/>
    <row r="521" ht="24.95" customHeight="1" x14ac:dyDescent="0.25"/>
    <row r="522" ht="24.95" customHeight="1" x14ac:dyDescent="0.25"/>
    <row r="523" ht="24.95" customHeight="1" x14ac:dyDescent="0.25"/>
    <row r="524" ht="24.95" customHeight="1" x14ac:dyDescent="0.25"/>
    <row r="525" ht="24.95" customHeight="1" x14ac:dyDescent="0.25"/>
    <row r="526" ht="24.95" customHeight="1" x14ac:dyDescent="0.25"/>
    <row r="527" ht="24.95" customHeight="1" x14ac:dyDescent="0.25"/>
    <row r="528" ht="24.95" customHeight="1" x14ac:dyDescent="0.25"/>
    <row r="529" ht="24.95" customHeight="1" x14ac:dyDescent="0.25"/>
    <row r="530" ht="24.95" customHeight="1" x14ac:dyDescent="0.25"/>
    <row r="531" ht="24.95" customHeight="1" x14ac:dyDescent="0.25"/>
    <row r="532" ht="24.95" customHeight="1" x14ac:dyDescent="0.25"/>
    <row r="533" ht="24.95" customHeight="1" x14ac:dyDescent="0.25"/>
    <row r="534" ht="24.95" customHeight="1" x14ac:dyDescent="0.25"/>
    <row r="535" ht="24.95" customHeight="1" x14ac:dyDescent="0.25"/>
    <row r="536" ht="24.95" customHeight="1" x14ac:dyDescent="0.25"/>
    <row r="537" ht="24.95" customHeight="1" x14ac:dyDescent="0.25"/>
    <row r="538" ht="24.95" customHeight="1" x14ac:dyDescent="0.25"/>
    <row r="539" ht="24.95" customHeight="1" x14ac:dyDescent="0.25"/>
    <row r="540" ht="24.95" customHeight="1" x14ac:dyDescent="0.25"/>
    <row r="541" ht="24.95" customHeight="1" x14ac:dyDescent="0.25"/>
    <row r="542" ht="24.95" customHeight="1" x14ac:dyDescent="0.25"/>
    <row r="543" ht="24.95" customHeight="1" x14ac:dyDescent="0.25"/>
    <row r="544" ht="24.95" customHeight="1" x14ac:dyDescent="0.25"/>
    <row r="545" ht="24.95" customHeight="1" x14ac:dyDescent="0.25"/>
    <row r="546" ht="24.95" customHeight="1" x14ac:dyDescent="0.25"/>
    <row r="547" ht="24.95" customHeight="1" x14ac:dyDescent="0.25"/>
    <row r="548" ht="24.95" customHeight="1" x14ac:dyDescent="0.25"/>
    <row r="549" ht="24.95" customHeight="1" x14ac:dyDescent="0.25"/>
    <row r="550" ht="24.95" customHeight="1" x14ac:dyDescent="0.25"/>
    <row r="551" ht="24.95" customHeight="1" x14ac:dyDescent="0.25"/>
    <row r="552" ht="24.95" customHeight="1" x14ac:dyDescent="0.25"/>
    <row r="553" ht="24.95" customHeight="1" x14ac:dyDescent="0.25"/>
    <row r="554" ht="24.95" customHeight="1" x14ac:dyDescent="0.25"/>
    <row r="555" ht="24.95" customHeight="1" x14ac:dyDescent="0.25"/>
    <row r="556" ht="24.95" customHeight="1" x14ac:dyDescent="0.25"/>
    <row r="557" ht="24.95" customHeight="1" x14ac:dyDescent="0.25"/>
    <row r="558" ht="24.95" customHeight="1" x14ac:dyDescent="0.25"/>
    <row r="559" ht="24.95" customHeight="1" x14ac:dyDescent="0.25"/>
    <row r="560" ht="24.95" customHeight="1" x14ac:dyDescent="0.25"/>
    <row r="561" ht="24.95" customHeight="1" x14ac:dyDescent="0.25"/>
    <row r="562" ht="24.95" customHeight="1" x14ac:dyDescent="0.25"/>
    <row r="563" ht="24.95" customHeight="1" x14ac:dyDescent="0.25"/>
    <row r="564" ht="24.95" customHeight="1" x14ac:dyDescent="0.25"/>
    <row r="565" ht="24.95" customHeight="1" x14ac:dyDescent="0.25"/>
    <row r="566" ht="24.95" customHeight="1" x14ac:dyDescent="0.25"/>
    <row r="567" ht="24.95" customHeight="1" x14ac:dyDescent="0.25"/>
    <row r="568" ht="24.95" customHeight="1" x14ac:dyDescent="0.25"/>
    <row r="569" ht="24.95" customHeight="1" x14ac:dyDescent="0.25"/>
    <row r="570" ht="24.95" customHeight="1" x14ac:dyDescent="0.25"/>
    <row r="571" ht="24.95" customHeight="1" x14ac:dyDescent="0.25"/>
    <row r="572" ht="24.95" customHeight="1" x14ac:dyDescent="0.25"/>
    <row r="573" ht="24.95" customHeight="1" x14ac:dyDescent="0.25"/>
    <row r="574" ht="24.95" customHeight="1" x14ac:dyDescent="0.25"/>
    <row r="575" ht="24.95" customHeight="1" x14ac:dyDescent="0.25"/>
    <row r="576" ht="24.95" customHeight="1" x14ac:dyDescent="0.25"/>
    <row r="577" ht="24.95" customHeight="1" x14ac:dyDescent="0.25"/>
    <row r="578" ht="24.95" customHeight="1" x14ac:dyDescent="0.25"/>
    <row r="579" ht="24.95" customHeight="1" x14ac:dyDescent="0.25"/>
    <row r="580" ht="24.95" customHeight="1" x14ac:dyDescent="0.25"/>
    <row r="581" ht="24.95" customHeight="1" x14ac:dyDescent="0.25"/>
    <row r="582" ht="24.95" customHeight="1" x14ac:dyDescent="0.25"/>
    <row r="583" ht="24.95" customHeight="1" x14ac:dyDescent="0.25"/>
    <row r="584" ht="24.95" customHeight="1" x14ac:dyDescent="0.25"/>
    <row r="585" ht="24.95" customHeight="1" x14ac:dyDescent="0.25"/>
    <row r="586" ht="24.95" customHeight="1" x14ac:dyDescent="0.25"/>
    <row r="587" ht="24.95" customHeight="1" x14ac:dyDescent="0.25"/>
    <row r="588" ht="24.95" customHeight="1" x14ac:dyDescent="0.25"/>
    <row r="589" ht="24.95" customHeight="1" x14ac:dyDescent="0.25"/>
    <row r="590" ht="24.95" customHeight="1" x14ac:dyDescent="0.25"/>
    <row r="591" ht="24.95" customHeight="1" x14ac:dyDescent="0.25"/>
    <row r="592" ht="24.95" customHeight="1" x14ac:dyDescent="0.25"/>
    <row r="593" ht="24.95" customHeight="1" x14ac:dyDescent="0.25"/>
    <row r="594" ht="24.95" customHeight="1" x14ac:dyDescent="0.25"/>
    <row r="595" ht="24.95" customHeight="1" x14ac:dyDescent="0.25"/>
    <row r="596" ht="24.95" customHeight="1" x14ac:dyDescent="0.25"/>
    <row r="597" ht="24.95" customHeight="1" x14ac:dyDescent="0.25"/>
    <row r="598" ht="24.95" customHeight="1" x14ac:dyDescent="0.25"/>
    <row r="599" ht="24.95" customHeight="1" x14ac:dyDescent="0.25"/>
    <row r="600" ht="24.95" customHeight="1" x14ac:dyDescent="0.25"/>
    <row r="601" ht="24.95" customHeight="1" x14ac:dyDescent="0.25"/>
    <row r="602" ht="24.95" customHeight="1" x14ac:dyDescent="0.25"/>
    <row r="603" ht="24.95" customHeight="1" x14ac:dyDescent="0.25"/>
    <row r="604" ht="24.95" customHeight="1" x14ac:dyDescent="0.25"/>
    <row r="605" ht="24.95" customHeight="1" x14ac:dyDescent="0.25"/>
    <row r="606" ht="24.95" customHeight="1" x14ac:dyDescent="0.25"/>
    <row r="607" ht="24.95" customHeight="1" x14ac:dyDescent="0.25"/>
    <row r="608" ht="24.95" customHeight="1" x14ac:dyDescent="0.25"/>
    <row r="609" ht="24.95" customHeight="1" x14ac:dyDescent="0.25"/>
    <row r="610" ht="24.95" customHeight="1" x14ac:dyDescent="0.25"/>
    <row r="611" ht="24.95" customHeight="1" x14ac:dyDescent="0.25"/>
    <row r="612" ht="24.95" customHeight="1" x14ac:dyDescent="0.25"/>
    <row r="613" ht="24.95" customHeight="1" x14ac:dyDescent="0.25"/>
    <row r="614" ht="24.95" customHeight="1" x14ac:dyDescent="0.25"/>
    <row r="615" ht="24.95" customHeight="1" x14ac:dyDescent="0.25"/>
    <row r="616" ht="24.95" customHeight="1" x14ac:dyDescent="0.25"/>
    <row r="617" ht="24.95" customHeight="1" x14ac:dyDescent="0.25"/>
    <row r="618" ht="24.95" customHeight="1" x14ac:dyDescent="0.25"/>
    <row r="619" ht="24.95" customHeight="1" x14ac:dyDescent="0.25"/>
    <row r="620" ht="24.95" customHeight="1" x14ac:dyDescent="0.25"/>
    <row r="621" ht="24.95" customHeight="1" x14ac:dyDescent="0.25"/>
    <row r="622" ht="24.95" customHeight="1" x14ac:dyDescent="0.25"/>
    <row r="623" ht="24.95" customHeight="1" x14ac:dyDescent="0.25"/>
    <row r="624" ht="24.95" customHeight="1" x14ac:dyDescent="0.25"/>
    <row r="625" ht="24.95" customHeight="1" x14ac:dyDescent="0.25"/>
    <row r="626" ht="24.95" customHeight="1" x14ac:dyDescent="0.25"/>
    <row r="627" ht="24.95" customHeight="1" x14ac:dyDescent="0.25"/>
    <row r="628" ht="24.95" customHeight="1" x14ac:dyDescent="0.25"/>
    <row r="629" ht="24.95" customHeight="1" x14ac:dyDescent="0.25"/>
    <row r="630" ht="24.95" customHeight="1" x14ac:dyDescent="0.25"/>
    <row r="631" ht="24.95" customHeight="1" x14ac:dyDescent="0.25"/>
    <row r="632" ht="24.95" customHeight="1" x14ac:dyDescent="0.25"/>
    <row r="633" ht="24.95" customHeight="1" x14ac:dyDescent="0.25"/>
    <row r="634" ht="24.95" customHeight="1" x14ac:dyDescent="0.25"/>
    <row r="635" ht="24.95" customHeight="1" x14ac:dyDescent="0.25"/>
    <row r="636" ht="24.95" customHeight="1" x14ac:dyDescent="0.25"/>
    <row r="637" ht="24.95" customHeight="1" x14ac:dyDescent="0.25"/>
    <row r="638" ht="24.95" customHeight="1" x14ac:dyDescent="0.25"/>
    <row r="639" ht="24.95" customHeight="1" x14ac:dyDescent="0.25"/>
    <row r="640" ht="24.95" customHeight="1" x14ac:dyDescent="0.25"/>
    <row r="641" ht="24.95" customHeight="1" x14ac:dyDescent="0.25"/>
    <row r="642" ht="24.95" customHeight="1" x14ac:dyDescent="0.25"/>
    <row r="643" ht="24.95" customHeight="1" x14ac:dyDescent="0.25"/>
    <row r="644" ht="24.95" customHeight="1" x14ac:dyDescent="0.25"/>
    <row r="645" ht="24.95" customHeight="1" x14ac:dyDescent="0.25"/>
    <row r="646" ht="24.95" customHeight="1" x14ac:dyDescent="0.25"/>
    <row r="647" ht="24.95" customHeight="1" x14ac:dyDescent="0.25"/>
    <row r="648" ht="24.95" customHeight="1" x14ac:dyDescent="0.25"/>
    <row r="649" ht="24.95" customHeight="1" x14ac:dyDescent="0.25"/>
    <row r="650" ht="24.95" customHeight="1" x14ac:dyDescent="0.25"/>
    <row r="651" ht="24.95" customHeight="1" x14ac:dyDescent="0.25"/>
    <row r="652" ht="24.95" customHeight="1" x14ac:dyDescent="0.25"/>
    <row r="653" ht="24.95" customHeight="1" x14ac:dyDescent="0.25"/>
    <row r="654" ht="24.95" customHeight="1" x14ac:dyDescent="0.25"/>
    <row r="655" ht="24.95" customHeight="1" x14ac:dyDescent="0.25"/>
    <row r="656" ht="24.95" customHeight="1" x14ac:dyDescent="0.25"/>
    <row r="657" ht="24.95" customHeight="1" x14ac:dyDescent="0.25"/>
    <row r="658" ht="24.95" customHeight="1" x14ac:dyDescent="0.25"/>
    <row r="659" ht="24.95" customHeight="1" x14ac:dyDescent="0.25"/>
    <row r="660" ht="24.95" customHeight="1" x14ac:dyDescent="0.25"/>
    <row r="661" ht="24.95" customHeight="1" x14ac:dyDescent="0.25"/>
    <row r="662" ht="24.95" customHeight="1" x14ac:dyDescent="0.25"/>
    <row r="663" ht="24.95" customHeight="1" x14ac:dyDescent="0.25"/>
    <row r="664" ht="24.95" customHeight="1" x14ac:dyDescent="0.25"/>
    <row r="665" ht="24.95" customHeight="1" x14ac:dyDescent="0.25"/>
    <row r="666" ht="24.95" customHeight="1" x14ac:dyDescent="0.25"/>
    <row r="667" ht="24.95" customHeight="1" x14ac:dyDescent="0.25"/>
    <row r="668" ht="24.95" customHeight="1" x14ac:dyDescent="0.25"/>
    <row r="669" ht="24.95" customHeight="1" x14ac:dyDescent="0.25"/>
    <row r="670" ht="24.95" customHeight="1" x14ac:dyDescent="0.25"/>
    <row r="671" ht="24.95" customHeight="1" x14ac:dyDescent="0.25"/>
    <row r="672" ht="24.95" customHeight="1" x14ac:dyDescent="0.25"/>
    <row r="673" ht="24.95" customHeight="1" x14ac:dyDescent="0.25"/>
    <row r="674" ht="24.95" customHeight="1" x14ac:dyDescent="0.25"/>
    <row r="675" ht="24.95" customHeight="1" x14ac:dyDescent="0.25"/>
    <row r="676" ht="24.95" customHeight="1" x14ac:dyDescent="0.25"/>
    <row r="677" ht="24.95" customHeight="1" x14ac:dyDescent="0.25"/>
    <row r="678" ht="24.95" customHeight="1" x14ac:dyDescent="0.25"/>
    <row r="679" ht="24.95" customHeight="1" x14ac:dyDescent="0.25"/>
    <row r="680" ht="24.95" customHeight="1" x14ac:dyDescent="0.25"/>
    <row r="681" ht="24.95" customHeight="1" x14ac:dyDescent="0.25"/>
    <row r="682" ht="24.95" customHeight="1" x14ac:dyDescent="0.25"/>
    <row r="683" ht="24.95" customHeight="1" x14ac:dyDescent="0.25"/>
    <row r="684" ht="24.95" customHeight="1" x14ac:dyDescent="0.25"/>
    <row r="685" ht="24.95" customHeight="1" x14ac:dyDescent="0.25"/>
    <row r="686" ht="24.95" customHeight="1" x14ac:dyDescent="0.25"/>
    <row r="687" ht="24.95" customHeight="1" x14ac:dyDescent="0.25"/>
    <row r="688" ht="24.95" customHeight="1" x14ac:dyDescent="0.25"/>
    <row r="689" ht="24.95" customHeight="1" x14ac:dyDescent="0.25"/>
    <row r="690" ht="24.95" customHeight="1" x14ac:dyDescent="0.25"/>
    <row r="691" ht="24.95" customHeight="1" x14ac:dyDescent="0.25"/>
    <row r="692" ht="24.95" customHeight="1" x14ac:dyDescent="0.25"/>
    <row r="693" ht="24.95" customHeight="1" x14ac:dyDescent="0.25"/>
    <row r="694" ht="24.95" customHeight="1" x14ac:dyDescent="0.25"/>
    <row r="695" ht="24.95" customHeight="1" x14ac:dyDescent="0.25"/>
    <row r="696" ht="24.95" customHeight="1" x14ac:dyDescent="0.25"/>
    <row r="697" ht="24.95" customHeight="1" x14ac:dyDescent="0.25"/>
    <row r="698" ht="24.95" customHeight="1" x14ac:dyDescent="0.25"/>
    <row r="699" ht="24.95" customHeight="1" x14ac:dyDescent="0.25"/>
    <row r="700" ht="24.95" customHeight="1" x14ac:dyDescent="0.25"/>
    <row r="701" ht="24.95" customHeight="1" x14ac:dyDescent="0.25"/>
    <row r="702" ht="24.95" customHeight="1" x14ac:dyDescent="0.25"/>
    <row r="703" ht="24.95" customHeight="1" x14ac:dyDescent="0.25"/>
    <row r="704" ht="24.95" customHeight="1" x14ac:dyDescent="0.25"/>
    <row r="705" ht="24.95" customHeight="1" x14ac:dyDescent="0.25"/>
    <row r="706" ht="24.95" customHeight="1" x14ac:dyDescent="0.25"/>
    <row r="707" ht="24.95" customHeight="1" x14ac:dyDescent="0.25"/>
    <row r="708" ht="24.95" customHeight="1" x14ac:dyDescent="0.25"/>
    <row r="709" ht="24.95" customHeight="1" x14ac:dyDescent="0.25"/>
    <row r="710" ht="24.95" customHeight="1" x14ac:dyDescent="0.25"/>
    <row r="711" ht="24.95" customHeight="1" x14ac:dyDescent="0.25"/>
    <row r="712" ht="24.95" customHeight="1" x14ac:dyDescent="0.25"/>
    <row r="713" ht="24.95" customHeight="1" x14ac:dyDescent="0.25"/>
    <row r="714" ht="24.95" customHeight="1" x14ac:dyDescent="0.25"/>
    <row r="715" ht="24.95" customHeight="1" x14ac:dyDescent="0.25"/>
    <row r="716" ht="24.95" customHeight="1" x14ac:dyDescent="0.25"/>
    <row r="717" ht="24.95" customHeight="1" x14ac:dyDescent="0.25"/>
    <row r="718" ht="24.95" customHeight="1" x14ac:dyDescent="0.25"/>
    <row r="719" ht="24.95" customHeight="1" x14ac:dyDescent="0.25"/>
    <row r="720" ht="24.95" customHeight="1" x14ac:dyDescent="0.25"/>
    <row r="721" ht="24.95" customHeight="1" x14ac:dyDescent="0.25"/>
    <row r="722" ht="24.95" customHeight="1" x14ac:dyDescent="0.25"/>
    <row r="723" ht="24.95" customHeight="1" x14ac:dyDescent="0.25"/>
    <row r="724" ht="24.95" customHeight="1" x14ac:dyDescent="0.25"/>
    <row r="725" ht="24.95" customHeight="1" x14ac:dyDescent="0.25"/>
    <row r="726" ht="24.95" customHeight="1" x14ac:dyDescent="0.25"/>
    <row r="727" ht="24.95" customHeight="1" x14ac:dyDescent="0.25"/>
    <row r="728" ht="24.95" customHeight="1" x14ac:dyDescent="0.25"/>
    <row r="729" ht="24.95" customHeight="1" x14ac:dyDescent="0.25"/>
    <row r="730" ht="24.95" customHeight="1" x14ac:dyDescent="0.25"/>
    <row r="731" ht="24.95" customHeight="1" x14ac:dyDescent="0.25"/>
    <row r="732" ht="24.95" customHeight="1" x14ac:dyDescent="0.25"/>
    <row r="733" ht="24.95" customHeight="1" x14ac:dyDescent="0.25"/>
    <row r="734" ht="24.95" customHeight="1" x14ac:dyDescent="0.25"/>
    <row r="735" ht="24.95" customHeight="1" x14ac:dyDescent="0.25"/>
    <row r="736" ht="24.95" customHeight="1" x14ac:dyDescent="0.25"/>
    <row r="737" ht="24.95" customHeight="1" x14ac:dyDescent="0.25"/>
    <row r="738" ht="24.95" customHeight="1" x14ac:dyDescent="0.25"/>
    <row r="739" ht="24.95" customHeight="1" x14ac:dyDescent="0.25"/>
    <row r="740" ht="24.95" customHeight="1" x14ac:dyDescent="0.25"/>
    <row r="741" ht="24.95" customHeight="1" x14ac:dyDescent="0.25"/>
    <row r="742" ht="24.95" customHeight="1" x14ac:dyDescent="0.25"/>
    <row r="743" ht="24.95" customHeight="1" x14ac:dyDescent="0.25"/>
    <row r="744" ht="24.95" customHeight="1" x14ac:dyDescent="0.25"/>
    <row r="745" ht="24.95" customHeight="1" x14ac:dyDescent="0.25"/>
    <row r="746" ht="24.95" customHeight="1" x14ac:dyDescent="0.25"/>
    <row r="747" ht="24.95" customHeight="1" x14ac:dyDescent="0.25"/>
    <row r="748" ht="24.95" customHeight="1" x14ac:dyDescent="0.25"/>
    <row r="749" ht="24.95" customHeight="1" x14ac:dyDescent="0.25"/>
    <row r="750" ht="24.95" customHeight="1" x14ac:dyDescent="0.25"/>
    <row r="751" ht="24.95" customHeight="1" x14ac:dyDescent="0.25"/>
    <row r="752" ht="24.95" customHeight="1" x14ac:dyDescent="0.25"/>
    <row r="753" ht="24.95" customHeight="1" x14ac:dyDescent="0.25"/>
    <row r="754" ht="24.95" customHeight="1" x14ac:dyDescent="0.25"/>
    <row r="755" ht="24.95" customHeight="1" x14ac:dyDescent="0.25"/>
    <row r="756" ht="24.95" customHeight="1" x14ac:dyDescent="0.25"/>
    <row r="757" ht="24.95" customHeight="1" x14ac:dyDescent="0.25"/>
    <row r="758" ht="24.95" customHeight="1" x14ac:dyDescent="0.25"/>
    <row r="759" ht="24.95" customHeight="1" x14ac:dyDescent="0.25"/>
    <row r="760" ht="24.95" customHeight="1" x14ac:dyDescent="0.25"/>
    <row r="761" ht="24.95" customHeight="1" x14ac:dyDescent="0.25"/>
    <row r="762" ht="24.95" customHeight="1" x14ac:dyDescent="0.25"/>
    <row r="763" ht="24.95" customHeight="1" x14ac:dyDescent="0.25"/>
    <row r="764" ht="24.95" customHeight="1" x14ac:dyDescent="0.25"/>
    <row r="765" ht="24.95" customHeight="1" x14ac:dyDescent="0.25"/>
    <row r="766" ht="24.95" customHeight="1" x14ac:dyDescent="0.25"/>
    <row r="767" ht="24.95" customHeight="1" x14ac:dyDescent="0.25"/>
    <row r="768" ht="24.95" customHeight="1" x14ac:dyDescent="0.25"/>
    <row r="769" ht="24.95" customHeight="1" x14ac:dyDescent="0.25"/>
    <row r="770" ht="24.95" customHeight="1" x14ac:dyDescent="0.25"/>
    <row r="771" ht="24.95" customHeight="1" x14ac:dyDescent="0.25"/>
    <row r="772" ht="24.95" customHeight="1" x14ac:dyDescent="0.25"/>
    <row r="773" ht="24.95" customHeight="1" x14ac:dyDescent="0.25"/>
    <row r="774" ht="24.95" customHeight="1" x14ac:dyDescent="0.25"/>
    <row r="775" ht="24.95" customHeight="1" x14ac:dyDescent="0.25"/>
    <row r="776" ht="24.95" customHeight="1" x14ac:dyDescent="0.25"/>
    <row r="777" ht="24.95" customHeight="1" x14ac:dyDescent="0.25"/>
    <row r="778" ht="24.95" customHeight="1" x14ac:dyDescent="0.25"/>
    <row r="779" ht="24.95" customHeight="1" x14ac:dyDescent="0.25"/>
    <row r="780" ht="24.95" customHeight="1" x14ac:dyDescent="0.25"/>
    <row r="781" ht="24.95" customHeight="1" x14ac:dyDescent="0.25"/>
    <row r="782" ht="24.95" customHeight="1" x14ac:dyDescent="0.25"/>
    <row r="783" ht="24.95" customHeight="1" x14ac:dyDescent="0.25"/>
    <row r="784" ht="24.95" customHeight="1" x14ac:dyDescent="0.25"/>
    <row r="785" ht="24.95" customHeight="1" x14ac:dyDescent="0.25"/>
    <row r="786" ht="24.95" customHeight="1" x14ac:dyDescent="0.25"/>
    <row r="787" ht="24.95" customHeight="1" x14ac:dyDescent="0.25"/>
    <row r="788" ht="24.95" customHeight="1" x14ac:dyDescent="0.25"/>
    <row r="789" ht="24.95" customHeight="1" x14ac:dyDescent="0.25"/>
    <row r="790" ht="24.95" customHeight="1" x14ac:dyDescent="0.25"/>
    <row r="791" ht="24.95" customHeight="1" x14ac:dyDescent="0.25"/>
    <row r="792" ht="24.95" customHeight="1" x14ac:dyDescent="0.25"/>
    <row r="793" ht="24.95" customHeight="1" x14ac:dyDescent="0.25"/>
    <row r="794" ht="24.95" customHeight="1" x14ac:dyDescent="0.25"/>
    <row r="795" ht="24.95" customHeight="1" x14ac:dyDescent="0.25"/>
    <row r="796" ht="24.95" customHeight="1" x14ac:dyDescent="0.25"/>
    <row r="797" ht="24.95" customHeight="1" x14ac:dyDescent="0.25"/>
    <row r="798" ht="24.95" customHeight="1" x14ac:dyDescent="0.25"/>
    <row r="799" ht="24.95" customHeight="1" x14ac:dyDescent="0.25"/>
    <row r="800" ht="24.95" customHeight="1" x14ac:dyDescent="0.25"/>
    <row r="801" ht="24.95" customHeight="1" x14ac:dyDescent="0.25"/>
    <row r="802" ht="24.95" customHeight="1" x14ac:dyDescent="0.25"/>
    <row r="803" ht="24.95" customHeight="1" x14ac:dyDescent="0.25"/>
    <row r="804" ht="24.95" customHeight="1" x14ac:dyDescent="0.25"/>
    <row r="805" ht="24.95" customHeight="1" x14ac:dyDescent="0.25"/>
    <row r="806" ht="24.95" customHeight="1" x14ac:dyDescent="0.25"/>
    <row r="807" ht="24.95" customHeight="1" x14ac:dyDescent="0.25"/>
    <row r="808" ht="24.95" customHeight="1" x14ac:dyDescent="0.25"/>
    <row r="809" ht="24.95" customHeight="1" x14ac:dyDescent="0.25"/>
    <row r="810" ht="24.95" customHeight="1" x14ac:dyDescent="0.25"/>
    <row r="811" ht="24.95" customHeight="1" x14ac:dyDescent="0.25"/>
    <row r="812" ht="24.95" customHeight="1" x14ac:dyDescent="0.25"/>
    <row r="813" ht="24.95" customHeight="1" x14ac:dyDescent="0.25"/>
    <row r="814" ht="24.95" customHeight="1" x14ac:dyDescent="0.25"/>
    <row r="815" ht="24.95" customHeight="1" x14ac:dyDescent="0.25"/>
    <row r="816" ht="24.95" customHeight="1" x14ac:dyDescent="0.25"/>
    <row r="817" ht="24.95" customHeight="1" x14ac:dyDescent="0.25"/>
    <row r="818" ht="24.95" customHeight="1" x14ac:dyDescent="0.25"/>
    <row r="819" ht="24.95" customHeight="1" x14ac:dyDescent="0.25"/>
    <row r="820" ht="24.95" customHeight="1" x14ac:dyDescent="0.25"/>
    <row r="821" ht="24.95" customHeight="1" x14ac:dyDescent="0.25"/>
    <row r="822" ht="24.95" customHeight="1" x14ac:dyDescent="0.25"/>
    <row r="823" ht="24.95" customHeight="1" x14ac:dyDescent="0.25"/>
    <row r="824" ht="24.95" customHeight="1" x14ac:dyDescent="0.25"/>
    <row r="825" ht="24.95" customHeight="1" x14ac:dyDescent="0.25"/>
    <row r="826" ht="24.95" customHeight="1" x14ac:dyDescent="0.25"/>
    <row r="827" ht="24.95" customHeight="1" x14ac:dyDescent="0.25"/>
    <row r="828" ht="24.95" customHeight="1" x14ac:dyDescent="0.25"/>
    <row r="829" ht="24.95" customHeight="1" x14ac:dyDescent="0.25"/>
    <row r="830" ht="24.95" customHeight="1" x14ac:dyDescent="0.25"/>
    <row r="831" ht="24.95" customHeight="1" x14ac:dyDescent="0.25"/>
    <row r="832" ht="24.95" customHeight="1" x14ac:dyDescent="0.25"/>
    <row r="833" ht="24.95" customHeight="1" x14ac:dyDescent="0.25"/>
    <row r="834" ht="24.95" customHeight="1" x14ac:dyDescent="0.25"/>
    <row r="835" ht="24.95" customHeight="1" x14ac:dyDescent="0.25"/>
    <row r="836" ht="24.95" customHeight="1" x14ac:dyDescent="0.25"/>
    <row r="837" ht="24.95" customHeight="1" x14ac:dyDescent="0.25"/>
    <row r="838" ht="24.95" customHeight="1" x14ac:dyDescent="0.25"/>
    <row r="839" ht="24.95" customHeight="1" x14ac:dyDescent="0.25"/>
    <row r="840" ht="24.95" customHeight="1" x14ac:dyDescent="0.25"/>
    <row r="841" ht="24.95" customHeight="1" x14ac:dyDescent="0.25"/>
    <row r="842" ht="24.95" customHeight="1" x14ac:dyDescent="0.25"/>
    <row r="843" ht="24.95" customHeight="1" x14ac:dyDescent="0.25"/>
    <row r="844" ht="24.95" customHeight="1" x14ac:dyDescent="0.25"/>
    <row r="845" ht="24.95" customHeight="1" x14ac:dyDescent="0.25"/>
    <row r="846" ht="24.95" customHeight="1" x14ac:dyDescent="0.25"/>
    <row r="847" ht="24.95" customHeight="1" x14ac:dyDescent="0.25"/>
    <row r="848" ht="24.95" customHeight="1" x14ac:dyDescent="0.25"/>
    <row r="849" ht="24.95" customHeight="1" x14ac:dyDescent="0.25"/>
    <row r="850" ht="24.95" customHeight="1" x14ac:dyDescent="0.25"/>
    <row r="851" ht="24.95" customHeight="1" x14ac:dyDescent="0.25"/>
    <row r="852" ht="24.95" customHeight="1" x14ac:dyDescent="0.25"/>
    <row r="853" ht="24.95" customHeight="1" x14ac:dyDescent="0.25"/>
    <row r="854" ht="24.95" customHeight="1" x14ac:dyDescent="0.25"/>
    <row r="855" ht="24.95" customHeight="1" x14ac:dyDescent="0.25"/>
    <row r="856" ht="24.95" customHeight="1" x14ac:dyDescent="0.25"/>
    <row r="857" ht="24.95" customHeight="1" x14ac:dyDescent="0.25"/>
    <row r="858" ht="24.95" customHeight="1" x14ac:dyDescent="0.25"/>
    <row r="859" ht="24.95" customHeight="1" x14ac:dyDescent="0.25"/>
    <row r="860" ht="24.95" customHeight="1" x14ac:dyDescent="0.25"/>
    <row r="861" ht="24.95" customHeight="1" x14ac:dyDescent="0.25"/>
    <row r="862" ht="24.95" customHeight="1" x14ac:dyDescent="0.25"/>
    <row r="863" ht="24.95" customHeight="1" x14ac:dyDescent="0.25"/>
    <row r="864" ht="24.95" customHeight="1" x14ac:dyDescent="0.25"/>
    <row r="865" ht="24.95" customHeight="1" x14ac:dyDescent="0.25"/>
    <row r="866" ht="24.95" customHeight="1" x14ac:dyDescent="0.25"/>
    <row r="867" ht="24.95" customHeight="1" x14ac:dyDescent="0.25"/>
    <row r="868" ht="24.95" customHeight="1" x14ac:dyDescent="0.25"/>
    <row r="869" ht="24.95" customHeight="1" x14ac:dyDescent="0.25"/>
    <row r="870" ht="24.95" customHeight="1" x14ac:dyDescent="0.25"/>
    <row r="871" ht="24.95" customHeight="1" x14ac:dyDescent="0.25"/>
    <row r="872" ht="24.95" customHeight="1" x14ac:dyDescent="0.25"/>
    <row r="873" ht="24.95" customHeight="1" x14ac:dyDescent="0.25"/>
    <row r="874" ht="24.95" customHeight="1" x14ac:dyDescent="0.25"/>
    <row r="875" ht="24.95" customHeight="1" x14ac:dyDescent="0.25"/>
    <row r="876" ht="24.95" customHeight="1" x14ac:dyDescent="0.25"/>
    <row r="877" ht="24.95" customHeight="1" x14ac:dyDescent="0.25"/>
    <row r="878" ht="24.95" customHeight="1" x14ac:dyDescent="0.25"/>
    <row r="879" ht="24.95" customHeight="1" x14ac:dyDescent="0.25"/>
    <row r="880" ht="24.95" customHeight="1" x14ac:dyDescent="0.25"/>
    <row r="881" ht="24.95" customHeight="1" x14ac:dyDescent="0.25"/>
    <row r="882" ht="24.95" customHeight="1" x14ac:dyDescent="0.25"/>
    <row r="883" ht="24.95" customHeight="1" x14ac:dyDescent="0.25"/>
    <row r="884" ht="24.95" customHeight="1" x14ac:dyDescent="0.25"/>
    <row r="885" ht="24.95" customHeight="1" x14ac:dyDescent="0.25"/>
    <row r="886" ht="24.95" customHeight="1" x14ac:dyDescent="0.25"/>
    <row r="887" ht="24.95" customHeight="1" x14ac:dyDescent="0.25"/>
    <row r="888" ht="24.95" customHeight="1" x14ac:dyDescent="0.25"/>
    <row r="889" ht="24.95" customHeight="1" x14ac:dyDescent="0.25"/>
    <row r="890" ht="24.95" customHeight="1" x14ac:dyDescent="0.25"/>
    <row r="891" ht="24.95" customHeight="1" x14ac:dyDescent="0.25"/>
    <row r="892" ht="24.95" customHeight="1" x14ac:dyDescent="0.25"/>
    <row r="893" ht="24.95" customHeight="1" x14ac:dyDescent="0.25"/>
    <row r="894" ht="24.95" customHeight="1" x14ac:dyDescent="0.25"/>
    <row r="895" ht="24.95" customHeight="1" x14ac:dyDescent="0.25"/>
    <row r="896" ht="24.95" customHeight="1" x14ac:dyDescent="0.25"/>
    <row r="897" ht="24.95" customHeight="1" x14ac:dyDescent="0.25"/>
    <row r="898" ht="24.95" customHeight="1" x14ac:dyDescent="0.25"/>
    <row r="899" ht="24.95" customHeight="1" x14ac:dyDescent="0.25"/>
    <row r="900" ht="24.95" customHeight="1" x14ac:dyDescent="0.25"/>
    <row r="901" ht="24.95" customHeight="1" x14ac:dyDescent="0.25"/>
    <row r="902" ht="24.95" customHeight="1" x14ac:dyDescent="0.25"/>
    <row r="903" ht="24.95" customHeight="1" x14ac:dyDescent="0.25"/>
    <row r="904" ht="24.95" customHeight="1" x14ac:dyDescent="0.25"/>
    <row r="905" ht="24.95" customHeight="1" x14ac:dyDescent="0.25"/>
    <row r="906" ht="24.95" customHeight="1" x14ac:dyDescent="0.25"/>
    <row r="907" ht="24.95" customHeight="1" x14ac:dyDescent="0.25"/>
    <row r="908" ht="24.95" customHeight="1" x14ac:dyDescent="0.25"/>
    <row r="909" ht="24.95" customHeight="1" x14ac:dyDescent="0.25"/>
    <row r="910" ht="24.95" customHeight="1" x14ac:dyDescent="0.25"/>
    <row r="911" ht="24.95" customHeight="1" x14ac:dyDescent="0.25"/>
    <row r="912" ht="24.95" customHeight="1" x14ac:dyDescent="0.25"/>
    <row r="913" ht="24.95" customHeight="1" x14ac:dyDescent="0.25"/>
    <row r="914" ht="24.95" customHeight="1" x14ac:dyDescent="0.25"/>
    <row r="915" ht="24.95" customHeight="1" x14ac:dyDescent="0.25"/>
    <row r="916" ht="24.95" customHeight="1" x14ac:dyDescent="0.25"/>
    <row r="917" ht="24.95" customHeight="1" x14ac:dyDescent="0.25"/>
    <row r="918" ht="24.95" customHeight="1" x14ac:dyDescent="0.25"/>
    <row r="919" ht="24.95" customHeight="1" x14ac:dyDescent="0.25"/>
    <row r="920" ht="24.95" customHeight="1" x14ac:dyDescent="0.25"/>
    <row r="921" ht="24.95" customHeight="1" x14ac:dyDescent="0.25"/>
    <row r="922" ht="24.95" customHeight="1" x14ac:dyDescent="0.25"/>
    <row r="923" ht="24.95" customHeight="1" x14ac:dyDescent="0.25"/>
    <row r="924" ht="24.95" customHeight="1" x14ac:dyDescent="0.25"/>
    <row r="925" ht="24.95" customHeight="1" x14ac:dyDescent="0.25"/>
    <row r="926" ht="24.95" customHeight="1" x14ac:dyDescent="0.25"/>
    <row r="927" ht="24.95" customHeight="1" x14ac:dyDescent="0.25"/>
    <row r="928" ht="24.95" customHeight="1" x14ac:dyDescent="0.25"/>
    <row r="929" ht="24.95" customHeight="1" x14ac:dyDescent="0.25"/>
    <row r="930" ht="24.95" customHeight="1" x14ac:dyDescent="0.25"/>
    <row r="931" ht="24.95" customHeight="1" x14ac:dyDescent="0.25"/>
    <row r="932" ht="24.95" customHeight="1" x14ac:dyDescent="0.25"/>
    <row r="933" ht="24.95" customHeight="1" x14ac:dyDescent="0.25"/>
    <row r="934" ht="24.95" customHeight="1" x14ac:dyDescent="0.25"/>
    <row r="935" ht="24.95" customHeight="1" x14ac:dyDescent="0.25"/>
    <row r="936" ht="24.95" customHeight="1" x14ac:dyDescent="0.25"/>
    <row r="937" ht="24.95" customHeight="1" x14ac:dyDescent="0.25"/>
    <row r="938" ht="24.95" customHeight="1" x14ac:dyDescent="0.25"/>
    <row r="939" ht="24.95" customHeight="1" x14ac:dyDescent="0.25"/>
    <row r="940" ht="24.95" customHeight="1" x14ac:dyDescent="0.25"/>
    <row r="941" ht="24.95" customHeight="1" x14ac:dyDescent="0.25"/>
    <row r="942" ht="24.95" customHeight="1" x14ac:dyDescent="0.25"/>
    <row r="943" ht="24.95" customHeight="1" x14ac:dyDescent="0.25"/>
    <row r="944" ht="24.95" customHeight="1" x14ac:dyDescent="0.25"/>
    <row r="945" ht="24.95" customHeight="1" x14ac:dyDescent="0.25"/>
    <row r="946" ht="24.95" customHeight="1" x14ac:dyDescent="0.25"/>
    <row r="947" ht="24.95" customHeight="1" x14ac:dyDescent="0.25"/>
    <row r="948" ht="24.95" customHeight="1" x14ac:dyDescent="0.25"/>
    <row r="949" ht="24.95" customHeight="1" x14ac:dyDescent="0.25"/>
    <row r="950" ht="24.95" customHeight="1" x14ac:dyDescent="0.25"/>
    <row r="951" ht="24.95" customHeight="1" x14ac:dyDescent="0.25"/>
    <row r="952" ht="24.95" customHeight="1" x14ac:dyDescent="0.25"/>
    <row r="953" ht="24.95" customHeight="1" x14ac:dyDescent="0.25"/>
    <row r="954" ht="24.95" customHeight="1" x14ac:dyDescent="0.25"/>
    <row r="955" ht="24.95" customHeight="1" x14ac:dyDescent="0.25"/>
    <row r="956" ht="24.95" customHeight="1" x14ac:dyDescent="0.25"/>
    <row r="957" ht="24.95" customHeight="1" x14ac:dyDescent="0.25"/>
    <row r="958" ht="24.95" customHeight="1" x14ac:dyDescent="0.25"/>
    <row r="959" ht="24.95" customHeight="1" x14ac:dyDescent="0.25"/>
    <row r="960" ht="24.95" customHeight="1" x14ac:dyDescent="0.25"/>
    <row r="961" ht="24.95" customHeight="1" x14ac:dyDescent="0.25"/>
    <row r="962" ht="24.95" customHeight="1" x14ac:dyDescent="0.25"/>
    <row r="963" ht="24.95" customHeight="1" x14ac:dyDescent="0.25"/>
    <row r="964" ht="24.95" customHeight="1" x14ac:dyDescent="0.25"/>
    <row r="965" ht="24.95" customHeight="1" x14ac:dyDescent="0.25"/>
    <row r="966" ht="24.95" customHeight="1" x14ac:dyDescent="0.25"/>
    <row r="967" ht="24.95" customHeight="1" x14ac:dyDescent="0.25"/>
    <row r="968" ht="24.95" customHeight="1" x14ac:dyDescent="0.25"/>
    <row r="969" ht="24.95" customHeight="1" x14ac:dyDescent="0.25"/>
    <row r="970" ht="24.95" customHeight="1" x14ac:dyDescent="0.25"/>
    <row r="971" ht="24.95" customHeight="1" x14ac:dyDescent="0.25"/>
    <row r="972" ht="24.95" customHeight="1" x14ac:dyDescent="0.25"/>
    <row r="973" ht="24.95" customHeight="1" x14ac:dyDescent="0.25"/>
    <row r="974" ht="24.95" customHeight="1" x14ac:dyDescent="0.25"/>
    <row r="975" ht="24.95" customHeight="1" x14ac:dyDescent="0.25"/>
    <row r="976" ht="24.95" customHeight="1" x14ac:dyDescent="0.25"/>
    <row r="977" ht="24.95" customHeight="1" x14ac:dyDescent="0.25"/>
    <row r="978" ht="24.95" customHeight="1" x14ac:dyDescent="0.25"/>
    <row r="979" ht="24.95" customHeight="1" x14ac:dyDescent="0.25"/>
    <row r="980" ht="24.95" customHeight="1" x14ac:dyDescent="0.25"/>
    <row r="981" ht="24.95" customHeight="1" x14ac:dyDescent="0.25"/>
    <row r="982" ht="24.95" customHeight="1" x14ac:dyDescent="0.25"/>
    <row r="983" ht="24.95" customHeight="1" x14ac:dyDescent="0.25"/>
    <row r="984" ht="24.95" customHeight="1" x14ac:dyDescent="0.25"/>
    <row r="985" ht="24.95" customHeight="1" x14ac:dyDescent="0.25"/>
    <row r="986" ht="24.95" customHeight="1" x14ac:dyDescent="0.25"/>
    <row r="987" ht="24.95" customHeight="1" x14ac:dyDescent="0.25"/>
    <row r="988" ht="24.95" customHeight="1" x14ac:dyDescent="0.25"/>
    <row r="989" ht="24.95" customHeight="1" x14ac:dyDescent="0.25"/>
    <row r="990" ht="24.95" customHeight="1" x14ac:dyDescent="0.25"/>
    <row r="991" ht="24.95" customHeight="1" x14ac:dyDescent="0.25"/>
    <row r="992" ht="24.95" customHeight="1" x14ac:dyDescent="0.25"/>
    <row r="993" ht="24.95" customHeight="1" x14ac:dyDescent="0.25"/>
    <row r="994" ht="24.95" customHeight="1" x14ac:dyDescent="0.25"/>
    <row r="995" ht="24.95" customHeight="1" x14ac:dyDescent="0.25"/>
    <row r="996" ht="24.95" customHeight="1" x14ac:dyDescent="0.25"/>
    <row r="997" ht="24.95" customHeight="1" x14ac:dyDescent="0.25"/>
    <row r="998" ht="24.95" customHeight="1" x14ac:dyDescent="0.25"/>
    <row r="999" ht="24.95" customHeight="1" x14ac:dyDescent="0.25"/>
    <row r="1000" ht="24.95" customHeight="1" x14ac:dyDescent="0.25"/>
    <row r="1001" ht="24.95" customHeight="1" x14ac:dyDescent="0.25"/>
  </sheetData>
  <autoFilter ref="B1:EU724" xr:uid="{00000000-0001-0000-0300-000000000000}">
    <sortState xmlns:xlrd2="http://schemas.microsoft.com/office/spreadsheetml/2017/richdata2" ref="B2:EU724">
      <sortCondition ref="B1:B724"/>
    </sortState>
  </autoFilter>
  <phoneticPr fontId="53" type="noConversion"/>
  <conditionalFormatting sqref="Y1:Y1048576">
    <cfRule type="colorScale" priority="533">
      <colorScale>
        <cfvo type="min"/>
        <cfvo type="percentile" val="50"/>
        <cfvo type="max"/>
        <color theme="7" tint="0.79998168889431442"/>
        <color rgb="FFFFFF00"/>
        <color rgb="FFF8696B"/>
      </colorScale>
    </cfRule>
  </conditionalFormatting>
  <conditionalFormatting sqref="Z1:Z1048576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{2FD6F7F6-415C-4BFD-90CB-0B4733187952}</x14:id>
        </ext>
      </extLst>
    </cfRule>
    <cfRule type="colorScale" priority="279">
      <colorScale>
        <cfvo type="min"/>
        <cfvo type="max"/>
        <color rgb="FFFCFCFF"/>
        <color rgb="FFF8696B"/>
      </colorScale>
    </cfRule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1048576">
    <cfRule type="iconSet" priority="19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1:BJ1048576">
    <cfRule type="colorScale" priority="4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colorScale" priority="4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1:BX1048576">
    <cfRule type="colorScale" priority="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:AT1048576">
    <cfRule type="colorScale" priority="4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1:BW1048576">
    <cfRule type="colorScale" priority="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468">
      <colorScale>
        <cfvo type="num" val="23"/>
        <cfvo type="num" val="28"/>
        <cfvo type="num" val="30"/>
        <color rgb="FF63BE7B"/>
        <color rgb="FFFFEB84"/>
        <color rgb="FFF8696B"/>
      </colorScale>
    </cfRule>
  </conditionalFormatting>
  <conditionalFormatting sqref="AR1:AR1048576">
    <cfRule type="iconSet" priority="19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1:BY1048576">
    <cfRule type="iconSet" priority="24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Z1:BZ1048576">
    <cfRule type="iconSet" priority="24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1:CA1048576">
    <cfRule type="iconSet" priority="24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:CE1048576">
    <cfRule type="colorScale" priority="4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:CD1048576">
    <cfRule type="colorScale" priority="4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1:CE1048576">
    <cfRule type="iconSet" priority="23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:CD1048576">
    <cfRule type="iconSet" priority="23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1:BK1048576">
    <cfRule type="colorScale" priority="4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:AT1048576">
    <cfRule type="iconSet" priority="19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:AS1048576">
    <cfRule type="iconSet" priority="19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24">
      <colorScale>
        <cfvo type="min"/>
        <cfvo type="max"/>
        <color rgb="FFFFEF9C"/>
        <color rgb="FF63BE7B"/>
      </colorScale>
    </cfRule>
  </conditionalFormatting>
  <conditionalFormatting sqref="H1">
    <cfRule type="colorScale" priority="4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1:BL1048576">
    <cfRule type="colorScale" priority="3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1:CB1048576">
    <cfRule type="colorScale" priority="390">
      <colorScale>
        <cfvo type="min"/>
        <cfvo type="max"/>
        <color rgb="FF63BE7B"/>
        <color rgb="FFFFEF9C"/>
      </colorScale>
    </cfRule>
  </conditionalFormatting>
  <conditionalFormatting sqref="CH1:CH1048576">
    <cfRule type="iconSet" priority="25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U1048576">
    <cfRule type="colorScale" priority="3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1048576">
    <cfRule type="colorScale" priority="3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1048576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Z1">
    <cfRule type="colorScale" priority="3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Z1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1">
    <cfRule type="colorScale" priority="3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Z1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1"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Z1">
    <cfRule type="colorScale" priority="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Z1:CZ1048576">
    <cfRule type="iconSet" priority="280">
      <iconSet iconSet="3Arrows">
        <cfvo type="percent" val="0"/>
        <cfvo type="num" val="6.7"/>
        <cfvo type="num" val="7"/>
      </iconSet>
    </cfRule>
    <cfRule type="colorScale" priority="282">
      <colorScale>
        <cfvo type="num" val="6.6"/>
        <cfvo type="num" val="6.65"/>
        <cfvo type="num" val="7"/>
        <color rgb="FFF8696B"/>
        <color rgb="FFFFEB84"/>
        <color rgb="FF63BE7B"/>
      </colorScale>
    </cfRule>
  </conditionalFormatting>
  <conditionalFormatting sqref="CT1:CT1048576">
    <cfRule type="iconSet" priority="25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95">
      <colorScale>
        <cfvo type="min"/>
        <cfvo type="percentile" val="50"/>
        <cfvo type="max"/>
        <color rgb="FFFF5757"/>
        <color theme="4" tint="0.39997558519241921"/>
        <color rgb="FF00B0F0"/>
      </colorScale>
    </cfRule>
  </conditionalFormatting>
  <conditionalFormatting sqref="BZ1">
    <cfRule type="colorScale" priority="2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1:CF1048576">
    <cfRule type="iconSet" priority="25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1:CG1048576">
    <cfRule type="colorScale" priority="250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25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D1:BD1048576">
    <cfRule type="iconSet" priority="23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:BF1048576">
    <cfRule type="iconSet" priority="22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2:BG1048576">
    <cfRule type="colorScale" priority="2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">
    <cfRule type="colorScale" priority="2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:BG1048576">
    <cfRule type="iconSet" priority="225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H1:BH1048576">
    <cfRule type="dataBar" priority="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{6322CF6E-982D-4EF5-A921-E48E07C9E478}</x14:id>
        </ext>
      </extLst>
    </cfRule>
    <cfRule type="iconSet" priority="220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23">
      <colorScale>
        <cfvo type="min"/>
        <cfvo type="max"/>
        <color rgb="FFFCFCFF"/>
        <color rgb="FFF8696B"/>
      </colorScale>
    </cfRule>
  </conditionalFormatting>
  <conditionalFormatting sqref="BI1:BI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{33AF2B08-521E-42D6-983D-1F91EB9507C2}</x14:id>
        </ext>
      </extLst>
    </cfRule>
    <cfRule type="iconSet" priority="221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22">
      <colorScale>
        <cfvo type="min"/>
        <cfvo type="max"/>
        <color rgb="FFFCFCFF"/>
        <color rgb="FFF8696B"/>
      </colorScale>
    </cfRule>
  </conditionalFormatting>
  <conditionalFormatting sqref="AK1:AK1048576">
    <cfRule type="iconSet" priority="21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1:AL1048576">
    <cfRule type="iconSet" priority="21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:AM1048576">
    <cfRule type="colorScale" priority="210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212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N1:AO1 AN2:AN1048576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21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:AQ1048576">
    <cfRule type="iconSet" priority="20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2:AO1048576">
    <cfRule type="iconSet" priority="20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:AP1048576">
    <cfRule type="colorScale" priority="201">
      <colorScale>
        <cfvo type="min"/>
        <cfvo type="percentile" val="50"/>
        <cfvo type="max"/>
        <color rgb="FFFFAFAF"/>
        <color theme="7" tint="0.79998168889431442"/>
        <color theme="7" tint="0.39997558519241921"/>
      </colorScale>
    </cfRule>
  </conditionalFormatting>
  <conditionalFormatting sqref="BO1:BO1048576">
    <cfRule type="iconSet" priority="200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M1:BM1048576">
    <cfRule type="iconSet" priority="199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V1:AV1048576">
    <cfRule type="dataBar" priority="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{D4780F37-89FC-473F-886B-2CBBE6F2DF30}</x14:id>
        </ext>
      </extLst>
    </cfRule>
    <cfRule type="iconSet" priority="191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97">
      <colorScale>
        <cfvo type="min"/>
        <cfvo type="max"/>
        <color rgb="FFFCFCFF"/>
        <color rgb="FFF8696B"/>
      </colorScale>
    </cfRule>
  </conditionalFormatting>
  <conditionalFormatting sqref="AW1:AW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{3320697B-D653-46C0-90A9-EDC530394320}</x14:id>
        </ext>
      </extLst>
    </cfRule>
    <cfRule type="iconSet" priority="190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96">
      <colorScale>
        <cfvo type="min"/>
        <cfvo type="max"/>
        <color rgb="FFFCFCFF"/>
        <color rgb="FFF8696B"/>
      </colorScale>
    </cfRule>
  </conditionalFormatting>
  <conditionalFormatting sqref="S1:S1048576">
    <cfRule type="iconSet" priority="183">
      <iconSet iconSet="3ArrowsGray">
        <cfvo type="percent" val="0"/>
        <cfvo type="percent" val="33"/>
        <cfvo type="percent" val="67"/>
      </iconSet>
    </cfRule>
    <cfRule type="colorScale" priority="184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sqref="T1:T1048576">
    <cfRule type="colorScale" priority="181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182">
      <iconSet iconSet="3ArrowsGray">
        <cfvo type="percent" val="0"/>
        <cfvo type="percent" val="33"/>
        <cfvo type="percent" val="67"/>
      </iconSet>
    </cfRule>
  </conditionalFormatting>
  <conditionalFormatting sqref="CU1:CU1048576">
    <cfRule type="colorScale" priority="179">
      <colorScale>
        <cfvo type="min"/>
        <cfvo type="percentile" val="50"/>
        <cfvo type="max"/>
        <color rgb="FFF8696B"/>
        <color theme="8" tint="0.79998168889431442"/>
        <color rgb="FF00B0F0"/>
      </colorScale>
    </cfRule>
    <cfRule type="iconSet" priority="180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W1:CW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{D2DCCE4B-E845-4E8C-A2FE-5C5D28B88C1F}</x14:id>
        </ext>
      </extLst>
    </cfRule>
    <cfRule type="iconSet" priority="169">
      <iconSet iconSet="3ArrowsGray" reverse="1">
        <cfvo type="percent" val="0"/>
        <cfvo type="percent" val="33"/>
        <cfvo type="percent" val="67"/>
      </iconSet>
    </cfRule>
    <cfRule type="colorScale" priority="172">
      <colorScale>
        <cfvo type="min"/>
        <cfvo type="max"/>
        <color rgb="FFFCFCFF"/>
        <color rgb="FFF8696B"/>
      </colorScale>
    </cfRule>
  </conditionalFormatting>
  <conditionalFormatting sqref="CX1:CX1048576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{C060681A-C656-45E0-8539-4E875510F5D4}</x14:id>
        </ext>
      </extLst>
    </cfRule>
    <cfRule type="iconSet" priority="168">
      <iconSet iconSet="3ArrowsGray" reverse="1">
        <cfvo type="percent" val="0"/>
        <cfvo type="percent" val="33"/>
        <cfvo type="percent" val="67"/>
      </iconSet>
    </cfRule>
    <cfRule type="colorScale" priority="171">
      <colorScale>
        <cfvo type="min"/>
        <cfvo type="max"/>
        <color rgb="FFFCFCFF"/>
        <color rgb="FFF8696B"/>
      </colorScale>
    </cfRule>
  </conditionalFormatting>
  <conditionalFormatting sqref="CY1:CY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{D9BB43F1-728D-4B92-B0DD-CA57D870D211}</x14:id>
        </ext>
      </extLst>
    </cfRule>
    <cfRule type="iconSet" priority="167">
      <iconSet iconSet="3ArrowsGray" reverse="1">
        <cfvo type="percent" val="0"/>
        <cfvo type="percent" val="33"/>
        <cfvo type="percent" val="67"/>
      </iconSet>
    </cfRule>
    <cfRule type="colorScale" priority="170">
      <colorScale>
        <cfvo type="min"/>
        <cfvo type="max"/>
        <color rgb="FFFCFCFF"/>
        <color rgb="FFF8696B"/>
      </colorScale>
    </cfRule>
  </conditionalFormatting>
  <conditionalFormatting sqref="P1:P1048576">
    <cfRule type="colorScale" priority="166">
      <colorScale>
        <cfvo type="min"/>
        <cfvo type="max"/>
        <color rgb="FFFFEF9C"/>
        <color rgb="FF63BE7B"/>
      </colorScale>
    </cfRule>
  </conditionalFormatting>
  <conditionalFormatting sqref="L1:L1048576">
    <cfRule type="colorScale" priority="165">
      <colorScale>
        <cfvo type="min"/>
        <cfvo type="max"/>
        <color rgb="FFFFEF9C"/>
        <color rgb="FF63BE7B"/>
      </colorScale>
    </cfRule>
  </conditionalFormatting>
  <conditionalFormatting sqref="Q1:Q1048576">
    <cfRule type="colorScale" priority="164">
      <colorScale>
        <cfvo type="min"/>
        <cfvo type="max"/>
        <color rgb="FFFFEF9C"/>
        <color rgb="FF63BE7B"/>
      </colorScale>
    </cfRule>
  </conditionalFormatting>
  <conditionalFormatting sqref="BE1:BE1048576">
    <cfRule type="iconSet" priority="15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:AX1048576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1:AY1048576">
    <cfRule type="colorScale" priority="131">
      <colorScale>
        <cfvo type="min"/>
        <cfvo type="max"/>
        <color rgb="FFFFEF9C"/>
        <color rgb="FF63BE7B"/>
      </colorScale>
    </cfRule>
  </conditionalFormatting>
  <conditionalFormatting sqref="AZ1:AZ1048576">
    <cfRule type="colorScale" priority="130">
      <colorScale>
        <cfvo type="min"/>
        <cfvo type="max"/>
        <color rgb="FFFFEF9C"/>
        <color rgb="FF63BE7B"/>
      </colorScale>
    </cfRule>
  </conditionalFormatting>
  <conditionalFormatting sqref="BA1:BA1048576">
    <cfRule type="iconSet" priority="12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9">
      <colorScale>
        <cfvo type="min"/>
        <cfvo type="percentile" val="50"/>
        <cfvo type="max"/>
        <color rgb="FFF8696B"/>
        <color theme="8" tint="0.79998168889431442"/>
        <color rgb="FF00B0F0"/>
      </colorScale>
    </cfRule>
  </conditionalFormatting>
  <conditionalFormatting sqref="BB1:BB1048576">
    <cfRule type="iconSet" priority="12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7">
      <colorScale>
        <cfvo type="min"/>
        <cfvo type="percentile" val="50"/>
        <cfvo type="max"/>
        <color rgb="FFF8696B"/>
        <color theme="8" tint="0.79998168889431442"/>
        <color rgb="FF00B0F0"/>
      </colorScale>
    </cfRule>
  </conditionalFormatting>
  <conditionalFormatting sqref="BC1:BC1048576">
    <cfRule type="iconSet" priority="12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5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P1:CP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{9AB0871F-A595-4E65-9B7E-63E5D0EEBC4C}</x14:id>
        </ext>
      </extLst>
    </cfRule>
    <cfRule type="colorScale" priority="109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Q1:CQ1048576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{033250E9-938B-45FC-B9EC-091259CA6FAF}</x14:id>
        </ext>
      </extLst>
    </cfRule>
    <cfRule type="colorScale" priority="107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R1:CR1048576">
    <cfRule type="iconSet" priority="10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2">
      <colorScale>
        <cfvo type="min"/>
        <cfvo type="max"/>
        <color rgb="FFFFEF9C"/>
        <color rgb="FF63BE7B"/>
      </colorScale>
    </cfRule>
  </conditionalFormatting>
  <conditionalFormatting sqref="CS1:CS1048576">
    <cfRule type="colorScale" priority="99">
      <colorScale>
        <cfvo type="min"/>
        <cfvo type="max"/>
        <color rgb="FFFFEF9C"/>
        <color rgb="FF63BE7B"/>
      </colorScale>
    </cfRule>
    <cfRule type="iconSet" priority="100">
      <iconSet iconSet="3Arrows">
        <cfvo type="percent" val="0"/>
        <cfvo type="percent" val="33"/>
        <cfvo type="percent" val="67"/>
      </iconSet>
    </cfRule>
  </conditionalFormatting>
  <conditionalFormatting sqref="R1:R1048576">
    <cfRule type="colorScale" priority="98">
      <colorScale>
        <cfvo type="min"/>
        <cfvo type="max"/>
        <color rgb="FFFFEF9C"/>
        <color rgb="FF63BE7B"/>
      </colorScale>
    </cfRule>
  </conditionalFormatting>
  <conditionalFormatting sqref="BR1:BR1048576">
    <cfRule type="iconSet" priority="82">
      <iconSet iconSet="3ArrowsGray" reverse="1">
        <cfvo type="percent" val="0"/>
        <cfvo type="percent" val="33"/>
        <cfvo type="percent" val="67"/>
      </iconSet>
    </cfRule>
    <cfRule type="colorScale" priority="83">
      <colorScale>
        <cfvo type="min"/>
        <cfvo type="max"/>
        <color rgb="FFFCFCFF"/>
        <color rgb="FFF8696B"/>
      </colorScale>
    </cfRule>
  </conditionalFormatting>
  <conditionalFormatting sqref="BT1:BT1048576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:BU1048576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1:BV1048576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1:CK1048576">
    <cfRule type="iconSet" priority="6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1:CL1048576">
    <cfRule type="iconSet" priority="5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5">
      <colorScale>
        <cfvo type="min"/>
        <cfvo type="max"/>
        <color rgb="FFFFEF9C"/>
        <color rgb="FF63BE7B"/>
      </colorScale>
    </cfRule>
  </conditionalFormatting>
  <conditionalFormatting sqref="CI1:CI1048576">
    <cfRule type="iconSet" priority="60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65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CJ1:CJ1048576">
    <cfRule type="iconSet" priority="59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64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AE1:AE104857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{6C5A4904-E225-4B19-B1E4-F6349AA9AC2C}</x14:id>
        </ext>
      </extLst>
    </cfRule>
    <cfRule type="colorScale" priority="47">
      <colorScale>
        <cfvo type="min"/>
        <cfvo type="max"/>
        <color rgb="FFFCFCFF"/>
        <color rgb="FFF8696B"/>
      </colorScale>
    </cfRule>
  </conditionalFormatting>
  <conditionalFormatting sqref="AF1:AF1048576">
    <cfRule type="iconSet" priority="37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G1:AG1048576">
    <cfRule type="iconSet" priority="40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H1:AH1048576">
    <cfRule type="iconSet" priority="38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I1:AI1048576">
    <cfRule type="iconSet" priority="39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J1:AJ1048576">
    <cfRule type="iconSet" priority="4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N1:BN104857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1:BP104857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1:BQ1048576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:BS1048576">
    <cfRule type="colorScale" priority="26">
      <colorScale>
        <cfvo type="min"/>
        <cfvo type="max"/>
        <color rgb="FFFCFCFF"/>
        <color rgb="FFF8696B"/>
      </colorScale>
    </cfRule>
  </conditionalFormatting>
  <conditionalFormatting sqref="CC1:CC1048576">
    <cfRule type="iconSet" priority="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21">
      <dataBar>
        <cfvo type="min"/>
        <cfvo type="max"/>
        <color rgb="FF399357"/>
      </dataBar>
      <extLst>
        <ext xmlns:x14="http://schemas.microsoft.com/office/spreadsheetml/2009/9/main" uri="{B025F937-C7B1-47D3-B67F-A62EFF666E3E}">
          <x14:id>{1BD278C6-DBBD-4757-B4F8-552DA6596664}</x14:id>
        </ext>
      </extLst>
    </cfRule>
  </conditionalFormatting>
  <conditionalFormatting sqref="CM1:CM1048576">
    <cfRule type="iconSet" priority="18">
      <iconSet iconSet="3ArrowsGray" reverse="1">
        <cfvo type="percent" val="0"/>
        <cfvo type="percent" val="33"/>
        <cfvo type="percent" val="67"/>
      </iconSet>
    </cfRule>
    <cfRule type="dataBar" priority="20">
      <dataBar>
        <cfvo type="min"/>
        <cfvo type="max"/>
        <color rgb="FF9A0000"/>
      </dataBar>
      <extLst>
        <ext xmlns:x14="http://schemas.microsoft.com/office/spreadsheetml/2009/9/main" uri="{B025F937-C7B1-47D3-B67F-A62EFF666E3E}">
          <x14:id>{0E442C20-D516-4CD0-8A99-6BF460A7C53D}</x14:id>
        </ext>
      </extLst>
    </cfRule>
  </conditionalFormatting>
  <conditionalFormatting sqref="CN1:CN1048576">
    <cfRule type="iconSet" priority="17">
      <iconSet iconSet="3ArrowsGray" reverse="1">
        <cfvo type="percent" val="0"/>
        <cfvo type="percent" val="33"/>
        <cfvo type="percent" val="67"/>
      </iconSet>
    </cfRule>
    <cfRule type="dataBar" priority="19">
      <dataBar>
        <cfvo type="min"/>
        <cfvo type="max"/>
        <color rgb="FF9A0000"/>
      </dataBar>
      <extLst>
        <ext xmlns:x14="http://schemas.microsoft.com/office/spreadsheetml/2009/9/main" uri="{B025F937-C7B1-47D3-B67F-A62EFF666E3E}">
          <x14:id>{43D8EAAB-E007-493A-9E5C-181644F867E1}</x14:id>
        </ext>
      </extLst>
    </cfRule>
  </conditionalFormatting>
  <conditionalFormatting sqref="CV1:CV1048576">
    <cfRule type="iconSet" priority="1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{A0DAB158-559C-4FD2-8C3A-ACFC4A12C498}</x14:id>
        </ext>
      </extLst>
    </cfRule>
  </conditionalFormatting>
  <conditionalFormatting sqref="AR12:AU1048576 AR1:AR11 AU1:AU11">
    <cfRule type="colorScale" priority="24057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2:AT1048576 AR1:AR11">
    <cfRule type="colorScale" priority="24057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2:AU1048576 AR1:AR11 AU1:AU11">
    <cfRule type="colorScale" priority="2405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12:CZ1048576">
    <cfRule type="colorScale" priority="24057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2:BJ11">
    <cfRule type="colorScale" priority="24057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2:BM11">
    <cfRule type="colorScale" priority="24057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2:BO11">
    <cfRule type="colorScale" priority="24057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2:AR11 AU2:AU11">
    <cfRule type="colorScale" priority="24057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2:BW11">
    <cfRule type="colorScale" priority="24057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:AT11">
    <cfRule type="colorScale" priority="2405742">
      <colorScale>
        <cfvo type="min"/>
        <cfvo type="max"/>
        <color rgb="FFFFEF9C"/>
        <color rgb="FF63BE7B"/>
      </colorScale>
    </cfRule>
  </conditionalFormatting>
  <conditionalFormatting sqref="CE2:CE11">
    <cfRule type="colorScale" priority="24057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2:CD11">
    <cfRule type="colorScale" priority="24057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2:BK11">
    <cfRule type="colorScale" priority="24057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2:BL11">
    <cfRule type="colorScale" priority="24057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2:CH11">
    <cfRule type="colorScale" priority="24057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2:CH11">
    <cfRule type="colorScale" priority="2405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2:CZ11">
    <cfRule type="colorScale" priority="24057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Z2:CZ11">
    <cfRule type="colorScale" priority="2405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2:CZ11">
    <cfRule type="colorScale" priority="2405751">
      <colorScale>
        <cfvo type="min"/>
        <cfvo type="max"/>
        <color rgb="FFFFEF9C"/>
        <color rgb="FF63BE7B"/>
      </colorScale>
    </cfRule>
  </conditionalFormatting>
  <conditionalFormatting sqref="CT2:CT11">
    <cfRule type="colorScale" priority="24057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:F11">
    <cfRule type="colorScale" priority="24057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2:AP11">
    <cfRule type="colorScale" priority="2405754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2405755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N2:N11">
    <cfRule type="iconSet" priority="240575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405757">
      <colorScale>
        <cfvo type="min"/>
        <cfvo type="num" val="75"/>
        <cfvo type="num" val="90"/>
        <color rgb="FFF8696B"/>
        <color rgb="FFFFEB84"/>
        <color rgb="FF63BE7B"/>
      </colorScale>
    </cfRule>
  </conditionalFormatting>
  <conditionalFormatting sqref="O2:O11">
    <cfRule type="dataBar" priority="24057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{2604A568-33B0-48A5-9F1B-7CD2A22703DC}</x14:id>
        </ext>
      </extLst>
    </cfRule>
    <cfRule type="colorScale" priority="24057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1">
    <cfRule type="colorScale" priority="24057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:AB1048576">
    <cfRule type="dataBar" priority="6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{1B17DBE5-B936-4B4C-9B09-2942DB906136}</x14:id>
        </ext>
      </extLst>
    </cfRule>
  </conditionalFormatting>
  <conditionalFormatting sqref="AC1:AC1048576">
    <cfRule type="dataBar" priority="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{A10A3539-B0FC-4298-A6BE-FB8462039FE7}</x14:id>
        </ext>
      </extLst>
    </cfRule>
  </conditionalFormatting>
  <conditionalFormatting sqref="CO1:CO1048576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D6F7F6-415C-4BFD-90CB-0B473318795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Z1:Z1048576</xm:sqref>
        </x14:conditionalFormatting>
        <x14:conditionalFormatting xmlns:xm="http://schemas.microsoft.com/office/excel/2006/main">
          <x14:cfRule type="dataBar" id="{6322CF6E-982D-4EF5-A921-E48E07C9E4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BH1:BH1048576</xm:sqref>
        </x14:conditionalFormatting>
        <x14:conditionalFormatting xmlns:xm="http://schemas.microsoft.com/office/excel/2006/main">
          <x14:cfRule type="dataBar" id="{33AF2B08-521E-42D6-983D-1F91EB9507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BI1:BI1048576</xm:sqref>
        </x14:conditionalFormatting>
        <x14:conditionalFormatting xmlns:xm="http://schemas.microsoft.com/office/excel/2006/main">
          <x14:cfRule type="dataBar" id="{D4780F37-89FC-473F-886B-2CBBE6F2DF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AV1:AV1048576</xm:sqref>
        </x14:conditionalFormatting>
        <x14:conditionalFormatting xmlns:xm="http://schemas.microsoft.com/office/excel/2006/main">
          <x14:cfRule type="dataBar" id="{3320697B-D653-46C0-90A9-EDC53039432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AW1:AW1048576</xm:sqref>
        </x14:conditionalFormatting>
        <x14:conditionalFormatting xmlns:xm="http://schemas.microsoft.com/office/excel/2006/main">
          <x14:cfRule type="dataBar" id="{D2DCCE4B-E845-4E8C-A2FE-5C5D28B88C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CW1:CW1048576</xm:sqref>
        </x14:conditionalFormatting>
        <x14:conditionalFormatting xmlns:xm="http://schemas.microsoft.com/office/excel/2006/main">
          <x14:cfRule type="dataBar" id="{C060681A-C656-45E0-8539-4E875510F5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CX1:CX1048576</xm:sqref>
        </x14:conditionalFormatting>
        <x14:conditionalFormatting xmlns:xm="http://schemas.microsoft.com/office/excel/2006/main">
          <x14:cfRule type="dataBar" id="{D9BB43F1-728D-4B92-B0DD-CA57D870D21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CY1:CY1048576</xm:sqref>
        </x14:conditionalFormatting>
        <x14:conditionalFormatting xmlns:xm="http://schemas.microsoft.com/office/excel/2006/main">
          <x14:cfRule type="dataBar" id="{9AB0871F-A595-4E65-9B7E-63E5D0EEBC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CP1:CP1048576</xm:sqref>
        </x14:conditionalFormatting>
        <x14:conditionalFormatting xmlns:xm="http://schemas.microsoft.com/office/excel/2006/main">
          <x14:cfRule type="dataBar" id="{033250E9-938B-45FC-B9EC-091259CA6F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CQ1:CQ1048576</xm:sqref>
        </x14:conditionalFormatting>
        <x14:conditionalFormatting xmlns:xm="http://schemas.microsoft.com/office/excel/2006/main">
          <x14:cfRule type="dataBar" id="{6C5A4904-E225-4B19-B1E4-F6349AA9AC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AA1:AA1048576</xm:sqref>
        </x14:conditionalFormatting>
        <x14:conditionalFormatting xmlns:xm="http://schemas.microsoft.com/office/excel/2006/main">
          <x14:cfRule type="dataBar" id="{1BD278C6-DBBD-4757-B4F8-552DA65966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CC1:CC1048576</xm:sqref>
        </x14:conditionalFormatting>
        <x14:conditionalFormatting xmlns:xm="http://schemas.microsoft.com/office/excel/2006/main">
          <x14:cfRule type="dataBar" id="{0E442C20-D516-4CD0-8A99-6BF460A7C53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CM1:CM1048576</xm:sqref>
        </x14:conditionalFormatting>
        <x14:conditionalFormatting xmlns:xm="http://schemas.microsoft.com/office/excel/2006/main">
          <x14:cfRule type="dataBar" id="{43D8EAAB-E007-493A-9E5C-181644F867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CN1:CN1048576</xm:sqref>
        </x14:conditionalFormatting>
        <x14:conditionalFormatting xmlns:xm="http://schemas.microsoft.com/office/excel/2006/main">
          <x14:cfRule type="dataBar" id="{A0DAB158-559C-4FD2-8C3A-ACFC4A12C4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CV1:CV1048576</xm:sqref>
        </x14:conditionalFormatting>
        <x14:conditionalFormatting xmlns:xm="http://schemas.microsoft.com/office/excel/2006/main">
          <x14:cfRule type="dataBar" id="{2604A568-33B0-48A5-9F1B-7CD2A22703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O2:O11</xm:sqref>
        </x14:conditionalFormatting>
        <x14:conditionalFormatting xmlns:xm="http://schemas.microsoft.com/office/excel/2006/main">
          <x14:cfRule type="dataBar" id="{1B17DBE5-B936-4B4C-9B09-2942DB90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AB1:AB1048576</xm:sqref>
        </x14:conditionalFormatting>
        <x14:conditionalFormatting xmlns:xm="http://schemas.microsoft.com/office/excel/2006/main">
          <x14:cfRule type="dataBar" id="{A10A3539-B0FC-4298-A6BE-FB8462039FE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AC1:AC1048576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theme="9" tint="0.39997558519241921"/>
  </sheetPr>
  <dimension ref="A1:FC1001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 x14ac:dyDescent="0.25"/>
  <cols>
    <col min="2" max="2" width="30.7109375" customWidth="1"/>
    <col min="3" max="3" width="12.5703125" customWidth="1"/>
    <col min="4" max="4" width="21.7109375" customWidth="1"/>
    <col min="5" max="5" width="21.140625" bestFit="1" customWidth="1"/>
    <col min="6" max="6" width="14.7109375" customWidth="1"/>
    <col min="7" max="7" width="15.7109375" customWidth="1"/>
    <col min="8" max="8" width="19.85546875" style="13" customWidth="1"/>
    <col min="9" max="9" width="13.42578125" customWidth="1"/>
    <col min="10" max="10" width="17.28515625" bestFit="1" customWidth="1"/>
    <col min="11" max="11" width="15.7109375" customWidth="1"/>
    <col min="12" max="12" width="15.7109375" style="13" customWidth="1"/>
    <col min="13" max="19" width="18.7109375" style="13" customWidth="1"/>
    <col min="20" max="22" width="18.7109375" customWidth="1"/>
    <col min="23" max="38" width="18.7109375" style="13" customWidth="1"/>
    <col min="39" max="54" width="18.7109375" customWidth="1"/>
    <col min="55" max="59" width="18.7109375" style="13" customWidth="1"/>
    <col min="60" max="87" width="18.7109375" customWidth="1"/>
    <col min="88" max="98" width="18.7109375" style="106" customWidth="1"/>
    <col min="99" max="107" width="18.7109375" customWidth="1"/>
    <col min="108" max="108" width="8.7109375" style="1" customWidth="1"/>
    <col min="109" max="158" width="11.7109375" style="1" customWidth="1"/>
    <col min="159" max="159" width="11.7109375" style="206" customWidth="1"/>
  </cols>
  <sheetData>
    <row r="1" spans="1:159" ht="50.1" customHeight="1" thickBot="1" x14ac:dyDescent="0.3">
      <c r="A1" s="112"/>
      <c r="B1" s="4" t="s">
        <v>20</v>
      </c>
      <c r="C1" s="4" t="s">
        <v>214</v>
      </c>
      <c r="D1" s="94" t="s">
        <v>232</v>
      </c>
      <c r="E1" s="4" t="s">
        <v>28</v>
      </c>
      <c r="F1" s="4" t="s">
        <v>29</v>
      </c>
      <c r="G1" s="4" t="s">
        <v>1</v>
      </c>
      <c r="H1" s="85" t="s">
        <v>3</v>
      </c>
      <c r="I1" s="4" t="s">
        <v>91</v>
      </c>
      <c r="J1" s="4" t="s">
        <v>21</v>
      </c>
      <c r="K1" s="4" t="s">
        <v>231</v>
      </c>
      <c r="L1" s="4" t="s">
        <v>121</v>
      </c>
      <c r="M1" s="30" t="s">
        <v>420</v>
      </c>
      <c r="N1" s="30" t="s">
        <v>421</v>
      </c>
      <c r="O1" s="30" t="s">
        <v>424</v>
      </c>
      <c r="P1" s="104" t="s">
        <v>241</v>
      </c>
      <c r="Q1" s="104" t="s">
        <v>238</v>
      </c>
      <c r="R1" s="105" t="s">
        <v>239</v>
      </c>
      <c r="S1" s="104" t="s">
        <v>240</v>
      </c>
      <c r="T1" s="224" t="s">
        <v>22</v>
      </c>
      <c r="U1" s="224" t="s">
        <v>65</v>
      </c>
      <c r="V1" s="224" t="s">
        <v>66</v>
      </c>
      <c r="W1" s="45" t="s">
        <v>492</v>
      </c>
      <c r="X1" s="45" t="s">
        <v>493</v>
      </c>
      <c r="Y1" s="4" t="s">
        <v>328</v>
      </c>
      <c r="Z1" s="4" t="s">
        <v>330</v>
      </c>
      <c r="AA1" s="4" t="s">
        <v>329</v>
      </c>
      <c r="AB1" s="4" t="s">
        <v>331</v>
      </c>
      <c r="AC1" s="143" t="s">
        <v>338</v>
      </c>
      <c r="AD1" s="143" t="s">
        <v>806</v>
      </c>
      <c r="AE1" s="46" t="s">
        <v>332</v>
      </c>
      <c r="AF1" s="46" t="s">
        <v>333</v>
      </c>
      <c r="AG1" s="46" t="s">
        <v>334</v>
      </c>
      <c r="AH1" s="46" t="s">
        <v>335</v>
      </c>
      <c r="AI1" s="46" t="s">
        <v>336</v>
      </c>
      <c r="AJ1" s="46" t="s">
        <v>337</v>
      </c>
      <c r="AK1" s="46" t="s">
        <v>357</v>
      </c>
      <c r="AL1" s="46" t="s">
        <v>327</v>
      </c>
      <c r="AM1" s="98" t="s">
        <v>38</v>
      </c>
      <c r="AN1" s="98" t="s">
        <v>417</v>
      </c>
      <c r="AO1" s="98" t="s">
        <v>416</v>
      </c>
      <c r="AP1" s="4" t="s">
        <v>339</v>
      </c>
      <c r="AQ1" s="4" t="s">
        <v>70</v>
      </c>
      <c r="AR1" s="90" t="s">
        <v>182</v>
      </c>
      <c r="AS1" s="90" t="s">
        <v>219</v>
      </c>
      <c r="AT1" s="90" t="s">
        <v>111</v>
      </c>
      <c r="AU1" s="90" t="s">
        <v>512</v>
      </c>
      <c r="AV1" s="90" t="s">
        <v>247</v>
      </c>
      <c r="AW1" s="90" t="s">
        <v>252</v>
      </c>
      <c r="AX1" s="90" t="s">
        <v>71</v>
      </c>
      <c r="AY1" s="22" t="s">
        <v>69</v>
      </c>
      <c r="AZ1" s="22" t="s">
        <v>494</v>
      </c>
      <c r="BA1" s="22" t="s">
        <v>98</v>
      </c>
      <c r="BB1" s="22" t="s">
        <v>102</v>
      </c>
      <c r="BC1" s="95" t="s">
        <v>225</v>
      </c>
      <c r="BD1" s="95" t="s">
        <v>226</v>
      </c>
      <c r="BE1" s="95" t="s">
        <v>227</v>
      </c>
      <c r="BF1" s="95" t="s">
        <v>228</v>
      </c>
      <c r="BG1" s="95" t="s">
        <v>229</v>
      </c>
      <c r="BH1" s="22" t="s">
        <v>67</v>
      </c>
      <c r="BI1" s="22" t="s">
        <v>64</v>
      </c>
      <c r="BJ1" s="23" t="s">
        <v>68</v>
      </c>
      <c r="BK1" s="22" t="s">
        <v>99</v>
      </c>
      <c r="BL1" s="22" t="s">
        <v>101</v>
      </c>
      <c r="BM1" s="22" t="s">
        <v>100</v>
      </c>
      <c r="BN1" s="22" t="s">
        <v>97</v>
      </c>
      <c r="BO1" s="51" t="s">
        <v>465</v>
      </c>
      <c r="BP1" s="51" t="s">
        <v>466</v>
      </c>
      <c r="BQ1" s="26" t="s">
        <v>390</v>
      </c>
      <c r="BR1" s="26" t="s">
        <v>391</v>
      </c>
      <c r="BS1" s="4" t="s">
        <v>392</v>
      </c>
      <c r="BT1" s="4" t="s">
        <v>78</v>
      </c>
      <c r="BU1" s="4" t="s">
        <v>46</v>
      </c>
      <c r="BV1" s="4" t="s">
        <v>79</v>
      </c>
      <c r="BW1" s="4" t="s">
        <v>27</v>
      </c>
      <c r="BX1" s="4" t="s">
        <v>77</v>
      </c>
      <c r="BY1" s="25" t="s">
        <v>340</v>
      </c>
      <c r="BZ1" s="25" t="s">
        <v>343</v>
      </c>
      <c r="CA1" s="25" t="s">
        <v>341</v>
      </c>
      <c r="CB1" s="144" t="s">
        <v>297</v>
      </c>
      <c r="CC1" s="25" t="s">
        <v>342</v>
      </c>
      <c r="CD1" s="14" t="s">
        <v>152</v>
      </c>
      <c r="CE1" s="15" t="s">
        <v>258</v>
      </c>
      <c r="CF1" s="15" t="s">
        <v>257</v>
      </c>
      <c r="CG1" s="52" t="s">
        <v>220</v>
      </c>
      <c r="CH1" s="52" t="s">
        <v>259</v>
      </c>
      <c r="CI1" s="34" t="s">
        <v>221</v>
      </c>
      <c r="CJ1" s="108" t="s">
        <v>394</v>
      </c>
      <c r="CK1" s="108" t="s">
        <v>75</v>
      </c>
      <c r="CL1" s="40" t="s">
        <v>433</v>
      </c>
      <c r="CM1" s="40" t="s">
        <v>107</v>
      </c>
      <c r="CN1" s="40" t="s">
        <v>444</v>
      </c>
      <c r="CO1" s="174" t="s">
        <v>445</v>
      </c>
      <c r="CP1" s="17" t="s">
        <v>443</v>
      </c>
      <c r="CQ1" s="46" t="s">
        <v>450</v>
      </c>
      <c r="CR1" s="163" t="s">
        <v>387</v>
      </c>
      <c r="CS1" s="163" t="s">
        <v>344</v>
      </c>
      <c r="CT1" s="51" t="s">
        <v>309</v>
      </c>
      <c r="CU1" s="51" t="s">
        <v>141</v>
      </c>
      <c r="CV1" s="164" t="s">
        <v>468</v>
      </c>
      <c r="CW1" s="164" t="s">
        <v>395</v>
      </c>
      <c r="CX1" s="47" t="s">
        <v>18</v>
      </c>
      <c r="CY1" s="47" t="s">
        <v>81</v>
      </c>
      <c r="CZ1" s="43" t="s">
        <v>414</v>
      </c>
      <c r="DA1" s="43" t="s">
        <v>415</v>
      </c>
      <c r="DB1" s="43" t="s">
        <v>180</v>
      </c>
      <c r="DC1" s="118" t="s">
        <v>25</v>
      </c>
      <c r="DD1" s="310" t="s">
        <v>14</v>
      </c>
      <c r="DE1" s="307" t="s">
        <v>620</v>
      </c>
      <c r="DF1" s="307" t="s">
        <v>20</v>
      </c>
      <c r="DG1" s="307" t="s">
        <v>1</v>
      </c>
      <c r="DH1" s="307" t="s">
        <v>0</v>
      </c>
      <c r="DI1" s="307" t="s">
        <v>29</v>
      </c>
      <c r="DJ1" s="307" t="s">
        <v>40</v>
      </c>
      <c r="DK1" s="307" t="s">
        <v>2</v>
      </c>
      <c r="DL1" s="307" t="s">
        <v>3</v>
      </c>
      <c r="DM1" s="307" t="s">
        <v>89</v>
      </c>
      <c r="DN1" s="307" t="s">
        <v>621</v>
      </c>
      <c r="DO1" s="307" t="s">
        <v>682</v>
      </c>
      <c r="DP1" s="307" t="s">
        <v>30</v>
      </c>
      <c r="DQ1" s="307" t="s">
        <v>623</v>
      </c>
      <c r="DR1" s="307" t="s">
        <v>683</v>
      </c>
      <c r="DS1" s="307" t="s">
        <v>684</v>
      </c>
      <c r="DT1" s="307" t="s">
        <v>63</v>
      </c>
      <c r="DU1" s="307" t="s">
        <v>264</v>
      </c>
      <c r="DV1" s="307" t="s">
        <v>4</v>
      </c>
      <c r="DW1" s="307" t="s">
        <v>179</v>
      </c>
      <c r="DX1" s="307" t="s">
        <v>7</v>
      </c>
      <c r="DY1" s="307" t="s">
        <v>166</v>
      </c>
      <c r="DZ1" s="307" t="s">
        <v>645</v>
      </c>
      <c r="EA1" s="307" t="s">
        <v>646</v>
      </c>
      <c r="EB1" s="307" t="s">
        <v>11</v>
      </c>
      <c r="EC1" s="307" t="s">
        <v>17</v>
      </c>
      <c r="ED1" s="307" t="s">
        <v>187</v>
      </c>
      <c r="EE1" s="307" t="s">
        <v>15</v>
      </c>
      <c r="EF1" s="307" t="s">
        <v>16</v>
      </c>
      <c r="EG1" s="307" t="s">
        <v>648</v>
      </c>
      <c r="EH1" s="307" t="s">
        <v>647</v>
      </c>
      <c r="EI1" s="307" t="s">
        <v>10</v>
      </c>
      <c r="EJ1" s="307" t="s">
        <v>8</v>
      </c>
      <c r="EK1" s="307" t="s">
        <v>9</v>
      </c>
      <c r="EL1" s="307" t="s">
        <v>189</v>
      </c>
      <c r="EM1" s="307" t="s">
        <v>190</v>
      </c>
      <c r="EN1" s="307" t="s">
        <v>104</v>
      </c>
      <c r="EO1" s="307" t="s">
        <v>635</v>
      </c>
      <c r="EP1" s="307" t="s">
        <v>48</v>
      </c>
      <c r="EQ1" s="307" t="s">
        <v>253</v>
      </c>
      <c r="ER1" s="307" t="s">
        <v>41</v>
      </c>
      <c r="ES1" s="307" t="s">
        <v>236</v>
      </c>
      <c r="ET1" s="307" t="s">
        <v>49</v>
      </c>
      <c r="EU1" s="307" t="s">
        <v>165</v>
      </c>
      <c r="EV1" s="307" t="s">
        <v>786</v>
      </c>
      <c r="EW1" s="307" t="s">
        <v>93</v>
      </c>
      <c r="EX1" s="307" t="s">
        <v>94</v>
      </c>
      <c r="EY1" s="307" t="s">
        <v>685</v>
      </c>
      <c r="EZ1" s="307" t="s">
        <v>5</v>
      </c>
      <c r="FA1" s="307" t="s">
        <v>103</v>
      </c>
      <c r="FB1" s="307" t="s">
        <v>18</v>
      </c>
      <c r="FC1" s="339" t="s">
        <v>642</v>
      </c>
    </row>
    <row r="2" spans="1:159" ht="24.95" customHeight="1" thickBot="1" x14ac:dyDescent="0.3">
      <c r="A2" s="29" t="str">
        <f t="shared" ref="A2:A11" si="0">ROW()-1 &amp; "º"</f>
        <v>1º</v>
      </c>
      <c r="B2" s="69" t="str">
        <f t="shared" ref="B2:B11" si="1">DF2</f>
        <v>Bruno Zapelli</v>
      </c>
      <c r="C2" s="86" t="str">
        <f t="shared" ref="C2:C11" si="2">DE2</f>
        <v>ARG</v>
      </c>
      <c r="D2" s="99" t="str">
        <f t="shared" ref="D2:D11" si="3">DJ2</f>
        <v>Pé Direito</v>
      </c>
      <c r="E2" s="28" t="str">
        <f t="shared" ref="E2:E11" si="4">DH2</f>
        <v>Athletico Paranaense</v>
      </c>
      <c r="F2" s="168">
        <f t="shared" ref="F2:F11" si="5">IFERROR(SUBSTITUTE(DI2," cm","")/100,0)</f>
        <v>1.81</v>
      </c>
      <c r="G2" s="36">
        <f t="shared" ref="G2:G11" si="6">DG2</f>
        <v>24</v>
      </c>
      <c r="H2" s="342" t="str">
        <f t="shared" ref="H2:H11" si="7">DL2</f>
        <v>41m € p/m</v>
      </c>
      <c r="I2" s="35">
        <f t="shared" ref="I2:I11" si="8">IF(DM2="-", "Sem Data Final", DM2)</f>
        <v>47848</v>
      </c>
      <c r="J2" s="28" t="str">
        <f t="shared" ref="J2:J11" si="9">DK2</f>
        <v>3,5M €</v>
      </c>
      <c r="K2" s="96">
        <f t="shared" ref="K2:K11" si="10">AVERAGE(L:L)</f>
        <v>36.659999999999997</v>
      </c>
      <c r="L2" s="146">
        <f t="shared" ref="L2:L11" si="11">IFERROR(DN2/90,0)</f>
        <v>32.555555555555557</v>
      </c>
      <c r="M2" s="146">
        <f t="shared" ref="M2:M11" si="12">IF(ISERROR(FIND("(",DO2)), VALUE(DO2), VALUE(LEFT(DO2,FIND("(",DO2)-2)) + VALUE(MID(DO2,FIND("(",DO2)+1,FIND(")",DO2)-FIND("(",DO2)-1)))</f>
        <v>41</v>
      </c>
      <c r="N2" s="146">
        <f t="shared" ref="N2:N11" si="13">IFERROR(DN2/M2,0)</f>
        <v>71.463414634146346</v>
      </c>
      <c r="O2" s="187">
        <f t="shared" ref="O2:O11" si="14">IFERROR(IF(ISERROR(FIND("(",DM2)), "100%", TEXT(VALUE(LEFT(DM2,FIND("(",DM2)-2)) / (VALUE(LEFT(DM2,FIND("(",DM2)-2)) + VALUE(MID(DM2,FIND("(",DM2)+1,FIND(")",DM2)-FIND("(",DM2)-1))),"0%")),0)*1</f>
        <v>1</v>
      </c>
      <c r="P2" s="6">
        <f t="shared" ref="P2:P11" si="15">EZ2</f>
        <v>0</v>
      </c>
      <c r="Q2" s="6">
        <f t="shared" ref="Q2:Q11" si="16">FA2</f>
        <v>0</v>
      </c>
      <c r="R2" s="6">
        <f t="shared" ref="R2:R11" si="17">IFERROR(P2-Q2,0)</f>
        <v>0</v>
      </c>
      <c r="S2" s="21">
        <f t="shared" ref="S2:S11" si="18">IFERROR((Q2*1)/P2,0.0000001)</f>
        <v>9.9999999999999995E-8</v>
      </c>
      <c r="T2" s="2">
        <f t="shared" ref="T2:T11" si="19">DR2</f>
        <v>7</v>
      </c>
      <c r="U2" s="2">
        <f t="shared" ref="U2:U11" si="20">DS2</f>
        <v>9</v>
      </c>
      <c r="V2" s="6">
        <f t="shared" ref="V2:V11" si="21">IFERROR(T2+U2,0)</f>
        <v>16</v>
      </c>
      <c r="W2" s="211">
        <f t="shared" ref="W2:W11" si="22">IFERROR((EO2+ER2+EP2),0)</f>
        <v>85</v>
      </c>
      <c r="X2" s="5">
        <f t="shared" ref="X2:X11" si="23">IFERROR(W2/L2,0)</f>
        <v>2.6109215017064846</v>
      </c>
      <c r="Y2" s="6">
        <f t="shared" ref="Y2:Y11" si="24">EJ2-P2</f>
        <v>87</v>
      </c>
      <c r="Z2" s="5">
        <f t="shared" ref="Z2:Z11" si="25">IFERROR(Y2/L2,0)</f>
        <v>2.6723549488054608</v>
      </c>
      <c r="AA2" s="6">
        <f t="shared" ref="AA2:AA11" si="26">EK2-Q2</f>
        <v>38</v>
      </c>
      <c r="AB2" s="5">
        <f t="shared" ref="AB2:AB11" si="27">IFERROR(AA2/L2,0)</f>
        <v>1.1672354948805461</v>
      </c>
      <c r="AC2" s="21">
        <f t="shared" ref="AC2:AC11" si="28">IFERROR((AA2*1)/Y2,0)</f>
        <v>0.43678160919540232</v>
      </c>
      <c r="AD2" s="332">
        <f t="shared" ref="AD2:AD11" si="29">DR2/EJ2</f>
        <v>8.0459770114942528E-2</v>
      </c>
      <c r="AE2" s="5">
        <f t="shared" ref="AE2:AE11" si="30">IFERROR(SUBSTITUTE(DX2,".","," )*1,0)</f>
        <v>9.1300000000000008</v>
      </c>
      <c r="AF2" s="5">
        <f t="shared" ref="AF2:AF11" si="31">IFERROR(AE2/L2,0)</f>
        <v>0.28044368600682595</v>
      </c>
      <c r="AG2" s="5">
        <f t="shared" ref="AG2:AG11" si="32">(AE2)-(EZ2*0.79)</f>
        <v>9.1300000000000008</v>
      </c>
      <c r="AH2" s="5">
        <f t="shared" ref="AH2:AH11" si="33">IFERROR((AG2/L2),0)</f>
        <v>0.28044368600682595</v>
      </c>
      <c r="AI2" s="5">
        <f t="shared" ref="AI2:AI11" si="34">IFERROR(SUBSTITUTE(DY2,".","," )*1,0)</f>
        <v>8.48</v>
      </c>
      <c r="AJ2" s="5">
        <f t="shared" ref="AJ2:AJ11" si="35">IFERROR(AI2/L2,0)</f>
        <v>0.26047781569965872</v>
      </c>
      <c r="AK2" s="5">
        <f t="shared" ref="AK2:AK11" si="36">AI2+AG2</f>
        <v>17.61</v>
      </c>
      <c r="AL2" s="5">
        <f t="shared" ref="AL2:AL11" si="37">IFERROR(AK2/L2,0)</f>
        <v>0.54092150170648456</v>
      </c>
      <c r="AM2" s="2">
        <f t="shared" ref="AM2:AM11" si="38">DP2</f>
        <v>1</v>
      </c>
      <c r="AN2" s="5">
        <f t="shared" ref="AN2:AN11" si="39">IFERROR(DN2/AM2,5000)</f>
        <v>2930</v>
      </c>
      <c r="AO2" s="21">
        <f t="shared" ref="AO2:AO11" si="40">IFERROR((AM2*1)/L2,0)</f>
        <v>3.0716723549488054E-2</v>
      </c>
      <c r="AP2" s="6">
        <f t="shared" ref="AP2:AP11" si="41">ER2</f>
        <v>58</v>
      </c>
      <c r="AQ2" s="5">
        <f t="shared" ref="AQ2:AQ11" si="42">IFERROR(ER2/L2,0)</f>
        <v>1.781569965870307</v>
      </c>
      <c r="AR2" s="6">
        <f t="shared" ref="AR2:AR11" si="43">EN2+DZ2</f>
        <v>58</v>
      </c>
      <c r="AS2" s="5">
        <f t="shared" ref="AS2:AS11" si="44">IFERROR(AR2/L2,0)</f>
        <v>1.781569965870307</v>
      </c>
      <c r="AT2" s="6">
        <f t="shared" ref="AT2:AT11" si="45">EO2</f>
        <v>27</v>
      </c>
      <c r="AU2" s="5">
        <f t="shared" ref="AU2:AU11" si="46">AT2/L2</f>
        <v>0.82935153583617749</v>
      </c>
      <c r="AV2" s="6">
        <f t="shared" ref="AV2:AV11" si="47">IFERROR(AR2-AT2,0)</f>
        <v>31</v>
      </c>
      <c r="AW2" s="5">
        <f t="shared" ref="AW2:AW11" si="48">AV2/L2</f>
        <v>0.95221843003412965</v>
      </c>
      <c r="AX2" s="20">
        <f t="shared" ref="AX2:AX11" si="49">IFERROR(AT2/AR2,0)</f>
        <v>0.46551724137931033</v>
      </c>
      <c r="AY2" s="2">
        <f t="shared" ref="AY2:AY11" si="50">DZ2</f>
        <v>23</v>
      </c>
      <c r="AZ2" s="5">
        <f t="shared" ref="AZ2:AZ11" si="51">IFERROR(AY2/L2,0)</f>
        <v>0.70648464163822522</v>
      </c>
      <c r="BA2" s="2">
        <f t="shared" ref="BA2:BA11" si="52">IFERROR(AY2-(BH2+BI2),0)</f>
        <v>22</v>
      </c>
      <c r="BB2" s="12">
        <f t="shared" ref="BB2:BB11" si="53">IFERROR((BJ2*1)/AY2,0)</f>
        <v>4.3478260869565216E-2</v>
      </c>
      <c r="BC2" s="6">
        <f t="shared" ref="BC2:BC11" si="54">EL2</f>
        <v>198</v>
      </c>
      <c r="BD2" s="5">
        <f t="shared" ref="BD2:BD11" si="55">IFERROR(BC2/L2,0)</f>
        <v>6.0819112627986343</v>
      </c>
      <c r="BE2" s="6">
        <f t="shared" ref="BE2:BE11" si="56">EM2</f>
        <v>53</v>
      </c>
      <c r="BF2" s="5">
        <f t="shared" ref="BF2:BF11" si="57">IFERROR(BE2/L2,0)</f>
        <v>1.6279863481228669</v>
      </c>
      <c r="BG2" s="21">
        <f t="shared" ref="BG2:BG11" si="58">IFERROR((BE2*1)/BC2,0)</f>
        <v>0.26767676767676768</v>
      </c>
      <c r="BH2" s="2">
        <f t="shared" ref="BH2:BH11" si="59">DT2</f>
        <v>1</v>
      </c>
      <c r="BI2" s="2">
        <f t="shared" ref="BI2:BI11" si="60">DU2</f>
        <v>0</v>
      </c>
      <c r="BJ2" s="2">
        <f t="shared" ref="BJ2:BJ11" si="61">IFERROR(DT2+DU2,0)</f>
        <v>1</v>
      </c>
      <c r="BK2" s="2">
        <f t="shared" ref="BK2:BK11" si="62">IFERROR((AY2+EP2+EO2),0)</f>
        <v>50</v>
      </c>
      <c r="BL2" s="2">
        <f t="shared" ref="BL2:BL11" si="63">IFERROR(BK2-AY2,0)</f>
        <v>27</v>
      </c>
      <c r="BM2" s="21">
        <f t="shared" ref="BM2:BM11" si="64">IFERROR((BL2*1)/BK2,0)</f>
        <v>0.54</v>
      </c>
      <c r="BN2" s="21">
        <f t="shared" ref="BN2:BN11" si="65">IFERROR((BA2)/AY2,0)</f>
        <v>0.95652173913043481</v>
      </c>
      <c r="BO2" s="6">
        <f t="shared" ref="BO2:BO11" si="66">EP2</f>
        <v>0</v>
      </c>
      <c r="BP2" s="5">
        <f t="shared" ref="BP2:BP11" si="67">IFERROR(BO2/L2,0)</f>
        <v>0</v>
      </c>
      <c r="BQ2" s="181">
        <f t="shared" ref="BQ2:BQ11" si="68">EW2</f>
        <v>176</v>
      </c>
      <c r="BR2" s="181">
        <f t="shared" ref="BR2:BR11" si="69">EX2</f>
        <v>30</v>
      </c>
      <c r="BS2" s="182">
        <f t="shared" ref="BS2:BS11" si="70">IFERROR((BR2*1)/BQ2,0)</f>
        <v>0.17045454545454544</v>
      </c>
      <c r="BT2" s="6">
        <f t="shared" ref="BT2:BT11" si="71">EE2</f>
        <v>1476</v>
      </c>
      <c r="BU2" s="6">
        <f t="shared" ref="BU2:BU11" si="72">EF2</f>
        <v>1331</v>
      </c>
      <c r="BV2" s="5">
        <f t="shared" ref="BV2:BV11" si="73">IFERROR((BU2-BW2)/(DN2/90),0)</f>
        <v>36.430034129692828</v>
      </c>
      <c r="BW2" s="6">
        <f t="shared" ref="BW2:BW11" si="74">IFERROR(BT2-BU2,0)</f>
        <v>145</v>
      </c>
      <c r="BX2" s="21">
        <f t="shared" ref="BX2:BX11" si="75">IFERROR(BU2/BT2,0)</f>
        <v>0.9017615176151762</v>
      </c>
      <c r="BY2" s="6">
        <f t="shared" ref="BY2:BY11" si="76">EB2</f>
        <v>118</v>
      </c>
      <c r="BZ2" s="5">
        <f t="shared" ref="BZ2:BZ11" si="77">IFERROR(BY2/L2,0)</f>
        <v>3.6245733788395902</v>
      </c>
      <c r="CA2" s="6">
        <f t="shared" ref="CA2:CA11" si="78">EC2</f>
        <v>34</v>
      </c>
      <c r="CB2" s="6">
        <f t="shared" ref="CB2:CB11" si="79">IFERROR(EB2-EC2,0)</f>
        <v>84</v>
      </c>
      <c r="CC2" s="20">
        <f t="shared" ref="CC2:CC11" si="80">IFERROR((EC2*1)/EB2,0)</f>
        <v>0.28813559322033899</v>
      </c>
      <c r="CD2" s="5">
        <f t="shared" ref="CD2:CD11" si="81">IFERROR((DR2+DS2+EA2+EO2+ER2+EP2+EB2+EI2+DV2+EG2+EE2)/L2,0)</f>
        <v>57.225255972696246</v>
      </c>
      <c r="CE2" s="6">
        <f t="shared" ref="CE2:CE11" si="82">IFERROR((AI2+AR2+BK2+BT2+BY2+EJ2+EL2+EW2),0)</f>
        <v>2171.48</v>
      </c>
      <c r="CF2" s="5">
        <f t="shared" ref="CF2:CF11" si="83">IFERROR(CE2/L2,0)</f>
        <v>66.700750853242312</v>
      </c>
      <c r="CG2" s="6">
        <f t="shared" ref="CG2:CG11" si="84">IFERROR((T2*1.5)+(AT2+BL2+BU2+CA2+EM2+EX2)+(EK2*0.75)+(DR2*0.75),0)</f>
        <v>1546.25</v>
      </c>
      <c r="CH2" s="5">
        <f t="shared" ref="CH2:CH11" si="85">IFERROR(CG2/L2,0)</f>
        <v>47.495733788395903</v>
      </c>
      <c r="CI2" s="21">
        <f t="shared" ref="CI2:CI11" si="86">IFERROR((CG2*1)/CE2,0)</f>
        <v>0.71207195092747799</v>
      </c>
      <c r="CJ2" s="6">
        <f t="shared" ref="CJ2:CJ11" si="87">IFERROR(EG2+DV2+AI2+EX2,0)</f>
        <v>119.48</v>
      </c>
      <c r="CK2" s="5">
        <f t="shared" ref="CK2:CK11" si="88">IFERROR(CJ2/L2,0)</f>
        <v>3.6700341296928327</v>
      </c>
      <c r="CL2" s="6">
        <f t="shared" ref="CL2:CL11" si="89">EG2</f>
        <v>64</v>
      </c>
      <c r="CM2" s="5">
        <f t="shared" ref="CM2:CM11" si="90">IFERROR(CL2/L2,0)</f>
        <v>1.9658703071672354</v>
      </c>
      <c r="CN2" s="5">
        <f t="shared" ref="CN2:CN11" si="91">IFERROR(EG2/DS2,25)</f>
        <v>7.1111111111111107</v>
      </c>
      <c r="CO2" s="21">
        <f t="shared" ref="CO2:CO11" si="92">IFERROR(DS2/EG2,0)</f>
        <v>0.140625</v>
      </c>
      <c r="CP2" s="5">
        <f t="shared" ref="CP2:CP11" si="93">IFERROR(AI2/EG2,0)</f>
        <v>0.13250000000000001</v>
      </c>
      <c r="CQ2" s="329">
        <f t="shared" ref="CQ2:CQ11" si="94">IFERROR(AI2/EG2,0)</f>
        <v>0.13250000000000001</v>
      </c>
      <c r="CR2" s="6">
        <f t="shared" ref="CR2:CR11" si="95">IFERROR(ET2+ER2+EQ2+ES2+(EP2*0.5),0)</f>
        <v>84</v>
      </c>
      <c r="CS2" s="5">
        <f t="shared" ref="CS2:CS11" si="96">IFERROR(CR2/L2,0)</f>
        <v>2.5802047781569963</v>
      </c>
      <c r="CT2" s="6">
        <f t="shared" ref="CT2:CT11" si="97">IFERROR(EO2+EM2+(EP2*0.5),0)</f>
        <v>80</v>
      </c>
      <c r="CU2" s="5">
        <f t="shared" ref="CU2:CU11" si="98">IFERROR(CT2/L2,0)</f>
        <v>2.4573378839590441</v>
      </c>
      <c r="CV2" s="6">
        <f t="shared" ref="CV2:CV11" si="99">IFERROR(EJ2+EG2+DV2+EI2+EX2,0)</f>
        <v>257</v>
      </c>
      <c r="CW2" s="5">
        <f t="shared" ref="CW2:CW11" si="100">IFERROR(CV2/L2,0)</f>
        <v>7.8941979522184296</v>
      </c>
      <c r="CX2" s="154">
        <f t="shared" ref="CX2:CX11" si="101">IFERROR(VALUE(SUBSTITUTE(FB2, " km", "")),0)</f>
        <v>391.6</v>
      </c>
      <c r="CY2" s="5">
        <f t="shared" ref="CY2:CY11" si="102">IFERROR(CX2/L2,0)</f>
        <v>12.028668941979522</v>
      </c>
      <c r="CZ2" s="183">
        <f t="shared" ref="CZ2:CZ11" si="103">IFERROR((EJ2-EK2)+(EE2-EF2),0)</f>
        <v>194</v>
      </c>
      <c r="DA2" s="117">
        <f t="shared" ref="DA2:DA11" si="104">IFERROR(CZ2/L2,0)</f>
        <v>5.959044368600682</v>
      </c>
      <c r="DB2" s="117">
        <f t="shared" ref="DB2:DB11" si="105">DW2</f>
        <v>11.1</v>
      </c>
      <c r="DC2" s="117">
        <f t="shared" ref="DC2:DC11" si="106">IFERROR(VALUE(SUBSTITUTE(FC2, ".", ",")),0)</f>
        <v>6.82</v>
      </c>
      <c r="DD2" s="311"/>
      <c r="DE2" s="308" t="s">
        <v>478</v>
      </c>
      <c r="DF2" s="308" t="s">
        <v>801</v>
      </c>
      <c r="DG2" s="308">
        <v>24</v>
      </c>
      <c r="DH2" s="308" t="s">
        <v>614</v>
      </c>
      <c r="DI2" s="308" t="s">
        <v>606</v>
      </c>
      <c r="DJ2" s="308" t="s">
        <v>643</v>
      </c>
      <c r="DK2" s="308" t="s">
        <v>802</v>
      </c>
      <c r="DL2" s="308" t="s">
        <v>659</v>
      </c>
      <c r="DM2" s="313">
        <v>47848</v>
      </c>
      <c r="DN2" s="308">
        <v>2930</v>
      </c>
      <c r="DO2" s="308" t="s">
        <v>713</v>
      </c>
      <c r="DP2" s="308">
        <v>1</v>
      </c>
      <c r="DQ2" s="308">
        <v>0</v>
      </c>
      <c r="DR2" s="308">
        <v>7</v>
      </c>
      <c r="DS2" s="308">
        <v>9</v>
      </c>
      <c r="DT2" s="308">
        <v>1</v>
      </c>
      <c r="DU2" s="308">
        <v>0</v>
      </c>
      <c r="DV2" s="308">
        <v>17</v>
      </c>
      <c r="DW2" s="308">
        <v>11.1</v>
      </c>
      <c r="DX2" s="308">
        <v>9.1300000000000008</v>
      </c>
      <c r="DY2" s="308">
        <v>8.48</v>
      </c>
      <c r="DZ2" s="308">
        <v>23</v>
      </c>
      <c r="EA2" s="308">
        <v>28</v>
      </c>
      <c r="EB2" s="308">
        <v>118</v>
      </c>
      <c r="EC2" s="308">
        <v>34</v>
      </c>
      <c r="ED2" s="308">
        <v>0.2</v>
      </c>
      <c r="EE2" s="308">
        <v>1476</v>
      </c>
      <c r="EF2" s="308">
        <v>1331</v>
      </c>
      <c r="EG2" s="308">
        <v>64</v>
      </c>
      <c r="EH2" s="308">
        <v>88</v>
      </c>
      <c r="EI2" s="308">
        <v>59</v>
      </c>
      <c r="EJ2" s="308">
        <v>87</v>
      </c>
      <c r="EK2" s="308">
        <v>38</v>
      </c>
      <c r="EL2" s="308">
        <v>198</v>
      </c>
      <c r="EM2" s="308">
        <v>53</v>
      </c>
      <c r="EN2" s="308">
        <v>35</v>
      </c>
      <c r="EO2" s="308">
        <v>27</v>
      </c>
      <c r="EP2" s="308">
        <v>0</v>
      </c>
      <c r="EQ2" s="308">
        <v>8</v>
      </c>
      <c r="ER2" s="308">
        <v>58</v>
      </c>
      <c r="ES2" s="308">
        <v>3</v>
      </c>
      <c r="ET2" s="308">
        <v>15</v>
      </c>
      <c r="EU2" s="308">
        <v>8.8000000000000007</v>
      </c>
      <c r="EV2" s="308">
        <v>1.4</v>
      </c>
      <c r="EW2" s="308">
        <v>176</v>
      </c>
      <c r="EX2" s="308">
        <v>30</v>
      </c>
      <c r="EY2" s="308">
        <v>7</v>
      </c>
      <c r="EZ2" s="308">
        <v>0</v>
      </c>
      <c r="FA2" s="308">
        <v>0</v>
      </c>
      <c r="FB2" s="308" t="s">
        <v>803</v>
      </c>
      <c r="FC2" s="340">
        <v>6.82</v>
      </c>
    </row>
    <row r="3" spans="1:159" ht="24.95" customHeight="1" thickBot="1" x14ac:dyDescent="0.3">
      <c r="A3" s="29" t="str">
        <f t="shared" si="0"/>
        <v>2º</v>
      </c>
      <c r="B3" s="69" t="str">
        <f t="shared" si="1"/>
        <v>Erick</v>
      </c>
      <c r="C3" s="86" t="str">
        <f t="shared" si="2"/>
        <v>BRA</v>
      </c>
      <c r="D3" s="99" t="str">
        <f t="shared" si="3"/>
        <v>Somente Pé Direito</v>
      </c>
      <c r="E3" s="28" t="str">
        <f t="shared" si="4"/>
        <v>Bahia</v>
      </c>
      <c r="F3" s="168">
        <f t="shared" si="5"/>
        <v>1.76</v>
      </c>
      <c r="G3" s="36">
        <f t="shared" si="6"/>
        <v>28</v>
      </c>
      <c r="H3" s="342" t="str">
        <f t="shared" si="7"/>
        <v>37,5m € p/m</v>
      </c>
      <c r="I3" s="35">
        <f t="shared" si="8"/>
        <v>47483</v>
      </c>
      <c r="J3" s="28" t="str">
        <f t="shared" si="9"/>
        <v>275m € - 2,8M €</v>
      </c>
      <c r="K3" s="96">
        <f t="shared" si="10"/>
        <v>36.659999999999997</v>
      </c>
      <c r="L3" s="146">
        <f t="shared" si="11"/>
        <v>34.9</v>
      </c>
      <c r="M3" s="146">
        <f t="shared" si="12"/>
        <v>56</v>
      </c>
      <c r="N3" s="146">
        <f t="shared" si="13"/>
        <v>56.089285714285715</v>
      </c>
      <c r="O3" s="187">
        <f t="shared" si="14"/>
        <v>1</v>
      </c>
      <c r="P3" s="6">
        <f t="shared" si="15"/>
        <v>1</v>
      </c>
      <c r="Q3" s="6">
        <f t="shared" si="16"/>
        <v>0</v>
      </c>
      <c r="R3" s="6">
        <f t="shared" si="17"/>
        <v>1</v>
      </c>
      <c r="S3" s="21">
        <f t="shared" si="18"/>
        <v>0</v>
      </c>
      <c r="T3" s="2">
        <f t="shared" si="19"/>
        <v>4</v>
      </c>
      <c r="U3" s="2">
        <f t="shared" si="20"/>
        <v>2</v>
      </c>
      <c r="V3" s="6">
        <f t="shared" si="21"/>
        <v>6</v>
      </c>
      <c r="W3" s="211">
        <f t="shared" si="22"/>
        <v>161</v>
      </c>
      <c r="X3" s="5">
        <f t="shared" si="23"/>
        <v>4.6131805157593124</v>
      </c>
      <c r="Y3" s="6">
        <f t="shared" si="24"/>
        <v>63</v>
      </c>
      <c r="Z3" s="5">
        <f t="shared" si="25"/>
        <v>1.8051575931232093</v>
      </c>
      <c r="AA3" s="6">
        <f t="shared" si="26"/>
        <v>22</v>
      </c>
      <c r="AB3" s="5">
        <f t="shared" si="27"/>
        <v>0.63037249283667629</v>
      </c>
      <c r="AC3" s="21">
        <f t="shared" si="28"/>
        <v>0.34920634920634919</v>
      </c>
      <c r="AD3" s="332">
        <f t="shared" si="29"/>
        <v>6.25E-2</v>
      </c>
      <c r="AE3" s="5">
        <f t="shared" si="30"/>
        <v>3.15</v>
      </c>
      <c r="AF3" s="5">
        <f t="shared" si="31"/>
        <v>9.0257879656160458E-2</v>
      </c>
      <c r="AG3" s="5">
        <f t="shared" si="32"/>
        <v>2.36</v>
      </c>
      <c r="AH3" s="5">
        <f t="shared" si="33"/>
        <v>6.7621776504297987E-2</v>
      </c>
      <c r="AI3" s="5">
        <f t="shared" si="34"/>
        <v>2.2400000000000002</v>
      </c>
      <c r="AJ3" s="5">
        <f t="shared" si="35"/>
        <v>6.4183381088825223E-2</v>
      </c>
      <c r="AK3" s="5">
        <f t="shared" si="36"/>
        <v>4.5999999999999996</v>
      </c>
      <c r="AL3" s="5">
        <f t="shared" si="37"/>
        <v>0.1318051575931232</v>
      </c>
      <c r="AM3" s="2">
        <f t="shared" si="38"/>
        <v>1</v>
      </c>
      <c r="AN3" s="5">
        <f t="shared" si="39"/>
        <v>3141</v>
      </c>
      <c r="AO3" s="21">
        <f t="shared" si="40"/>
        <v>2.865329512893983E-2</v>
      </c>
      <c r="AP3" s="6">
        <f t="shared" si="41"/>
        <v>104</v>
      </c>
      <c r="AQ3" s="5">
        <f t="shared" si="42"/>
        <v>2.9799426934097424</v>
      </c>
      <c r="AR3" s="6">
        <f t="shared" si="43"/>
        <v>113</v>
      </c>
      <c r="AS3" s="5">
        <f t="shared" si="44"/>
        <v>3.2378223495702008</v>
      </c>
      <c r="AT3" s="6">
        <f t="shared" si="45"/>
        <v>52</v>
      </c>
      <c r="AU3" s="5">
        <f t="shared" si="46"/>
        <v>1.4899713467048712</v>
      </c>
      <c r="AV3" s="6">
        <f t="shared" si="47"/>
        <v>61</v>
      </c>
      <c r="AW3" s="5">
        <f t="shared" si="48"/>
        <v>1.7478510028653296</v>
      </c>
      <c r="AX3" s="20">
        <f t="shared" si="49"/>
        <v>0.46017699115044247</v>
      </c>
      <c r="AY3" s="2">
        <f t="shared" si="50"/>
        <v>28</v>
      </c>
      <c r="AZ3" s="5">
        <f t="shared" si="51"/>
        <v>0.80229226361031525</v>
      </c>
      <c r="BA3" s="2">
        <f t="shared" si="52"/>
        <v>27</v>
      </c>
      <c r="BB3" s="12">
        <f t="shared" si="53"/>
        <v>3.5714285714285712E-2</v>
      </c>
      <c r="BC3" s="6">
        <f t="shared" si="54"/>
        <v>328</v>
      </c>
      <c r="BD3" s="5">
        <f t="shared" si="55"/>
        <v>9.3982808022922644</v>
      </c>
      <c r="BE3" s="6">
        <f t="shared" si="56"/>
        <v>80</v>
      </c>
      <c r="BF3" s="5">
        <f t="shared" si="57"/>
        <v>2.2922636103151866</v>
      </c>
      <c r="BG3" s="21">
        <f t="shared" si="58"/>
        <v>0.24390243902439024</v>
      </c>
      <c r="BH3" s="2">
        <f t="shared" si="59"/>
        <v>1</v>
      </c>
      <c r="BI3" s="2">
        <f t="shared" si="60"/>
        <v>0</v>
      </c>
      <c r="BJ3" s="2">
        <f t="shared" si="61"/>
        <v>1</v>
      </c>
      <c r="BK3" s="2">
        <f t="shared" si="62"/>
        <v>85</v>
      </c>
      <c r="BL3" s="2">
        <f t="shared" si="63"/>
        <v>57</v>
      </c>
      <c r="BM3" s="21">
        <f t="shared" si="64"/>
        <v>0.6705882352941176</v>
      </c>
      <c r="BN3" s="21">
        <f t="shared" si="65"/>
        <v>0.9642857142857143</v>
      </c>
      <c r="BO3" s="6">
        <f t="shared" si="66"/>
        <v>5</v>
      </c>
      <c r="BP3" s="5">
        <f t="shared" si="67"/>
        <v>0.14326647564469916</v>
      </c>
      <c r="BQ3" s="181">
        <f t="shared" si="68"/>
        <v>33</v>
      </c>
      <c r="BR3" s="181">
        <f t="shared" si="69"/>
        <v>3</v>
      </c>
      <c r="BS3" s="182">
        <f t="shared" si="70"/>
        <v>9.0909090909090912E-2</v>
      </c>
      <c r="BT3" s="6">
        <f t="shared" si="71"/>
        <v>1983</v>
      </c>
      <c r="BU3" s="6">
        <f t="shared" si="72"/>
        <v>1792</v>
      </c>
      <c r="BV3" s="5">
        <f t="shared" si="73"/>
        <v>45.873925501432666</v>
      </c>
      <c r="BW3" s="6">
        <f t="shared" si="74"/>
        <v>191</v>
      </c>
      <c r="BX3" s="21">
        <f t="shared" si="75"/>
        <v>0.90368129097327277</v>
      </c>
      <c r="BY3" s="6">
        <f t="shared" si="76"/>
        <v>77</v>
      </c>
      <c r="BZ3" s="5">
        <f t="shared" si="77"/>
        <v>2.2063037249283668</v>
      </c>
      <c r="CA3" s="6">
        <f t="shared" si="78"/>
        <v>44</v>
      </c>
      <c r="CB3" s="6">
        <f t="shared" si="79"/>
        <v>33</v>
      </c>
      <c r="CC3" s="20">
        <f t="shared" si="80"/>
        <v>0.5714285714285714</v>
      </c>
      <c r="CD3" s="5">
        <f t="shared" si="81"/>
        <v>65.787965616045852</v>
      </c>
      <c r="CE3" s="6">
        <f t="shared" si="82"/>
        <v>2685.24</v>
      </c>
      <c r="CF3" s="5">
        <f t="shared" si="83"/>
        <v>76.940974212034376</v>
      </c>
      <c r="CG3" s="6">
        <f t="shared" si="84"/>
        <v>2053.5</v>
      </c>
      <c r="CH3" s="5">
        <f t="shared" si="85"/>
        <v>58.839541547277939</v>
      </c>
      <c r="CI3" s="21">
        <f t="shared" si="86"/>
        <v>0.76473611297314215</v>
      </c>
      <c r="CJ3" s="6">
        <f t="shared" si="87"/>
        <v>57.24</v>
      </c>
      <c r="CK3" s="5">
        <f t="shared" si="88"/>
        <v>1.640114613180516</v>
      </c>
      <c r="CL3" s="6">
        <f t="shared" si="89"/>
        <v>50</v>
      </c>
      <c r="CM3" s="5">
        <f t="shared" si="90"/>
        <v>1.4326647564469914</v>
      </c>
      <c r="CN3" s="5">
        <f t="shared" si="91"/>
        <v>25</v>
      </c>
      <c r="CO3" s="21">
        <f t="shared" si="92"/>
        <v>0.04</v>
      </c>
      <c r="CP3" s="5">
        <f t="shared" si="93"/>
        <v>4.4800000000000006E-2</v>
      </c>
      <c r="CQ3" s="329">
        <f t="shared" si="94"/>
        <v>4.4800000000000006E-2</v>
      </c>
      <c r="CR3" s="6">
        <f t="shared" si="95"/>
        <v>191.5</v>
      </c>
      <c r="CS3" s="5">
        <f t="shared" si="96"/>
        <v>5.4871060171919774</v>
      </c>
      <c r="CT3" s="6">
        <f t="shared" si="97"/>
        <v>134.5</v>
      </c>
      <c r="CU3" s="5">
        <f t="shared" si="98"/>
        <v>3.8538681948424069</v>
      </c>
      <c r="CV3" s="6">
        <f t="shared" si="99"/>
        <v>130</v>
      </c>
      <c r="CW3" s="5">
        <f t="shared" si="100"/>
        <v>3.7249283667621778</v>
      </c>
      <c r="CX3" s="154">
        <f t="shared" si="101"/>
        <v>418.2</v>
      </c>
      <c r="CY3" s="5">
        <f t="shared" si="102"/>
        <v>11.982808022922637</v>
      </c>
      <c r="CZ3" s="183">
        <f t="shared" si="103"/>
        <v>233</v>
      </c>
      <c r="DA3" s="117">
        <f t="shared" si="104"/>
        <v>6.6762177650429804</v>
      </c>
      <c r="DB3" s="117">
        <f t="shared" si="105"/>
        <v>6.9</v>
      </c>
      <c r="DC3" s="117">
        <f t="shared" si="106"/>
        <v>6.85</v>
      </c>
      <c r="DD3" s="311"/>
      <c r="DE3" s="308" t="s">
        <v>13</v>
      </c>
      <c r="DF3" s="308" t="s">
        <v>662</v>
      </c>
      <c r="DG3" s="308">
        <v>28</v>
      </c>
      <c r="DH3" s="308" t="s">
        <v>580</v>
      </c>
      <c r="DI3" s="308" t="s">
        <v>579</v>
      </c>
      <c r="DJ3" s="308" t="s">
        <v>644</v>
      </c>
      <c r="DK3" s="308" t="s">
        <v>559</v>
      </c>
      <c r="DL3" s="308" t="s">
        <v>664</v>
      </c>
      <c r="DM3" s="313">
        <v>47483</v>
      </c>
      <c r="DN3" s="308">
        <v>3141</v>
      </c>
      <c r="DO3" s="308" t="s">
        <v>780</v>
      </c>
      <c r="DP3" s="308">
        <v>1</v>
      </c>
      <c r="DQ3" s="308">
        <v>1</v>
      </c>
      <c r="DR3" s="308">
        <v>4</v>
      </c>
      <c r="DS3" s="308">
        <v>2</v>
      </c>
      <c r="DT3" s="308">
        <v>1</v>
      </c>
      <c r="DU3" s="308">
        <v>0</v>
      </c>
      <c r="DV3" s="308">
        <v>2</v>
      </c>
      <c r="DW3" s="308">
        <v>6.9</v>
      </c>
      <c r="DX3" s="308">
        <v>3.15</v>
      </c>
      <c r="DY3" s="308">
        <v>2.2400000000000002</v>
      </c>
      <c r="DZ3" s="308">
        <v>28</v>
      </c>
      <c r="EA3" s="308">
        <v>6</v>
      </c>
      <c r="EB3" s="308">
        <v>77</v>
      </c>
      <c r="EC3" s="308">
        <v>44</v>
      </c>
      <c r="ED3" s="308">
        <v>0.1</v>
      </c>
      <c r="EE3" s="308">
        <v>1983</v>
      </c>
      <c r="EF3" s="308">
        <v>1792</v>
      </c>
      <c r="EG3" s="308">
        <v>50</v>
      </c>
      <c r="EH3" s="308">
        <v>232</v>
      </c>
      <c r="EI3" s="308">
        <v>11</v>
      </c>
      <c r="EJ3" s="308">
        <v>64</v>
      </c>
      <c r="EK3" s="308">
        <v>22</v>
      </c>
      <c r="EL3" s="308">
        <v>328</v>
      </c>
      <c r="EM3" s="308">
        <v>80</v>
      </c>
      <c r="EN3" s="308">
        <v>85</v>
      </c>
      <c r="EO3" s="308">
        <v>52</v>
      </c>
      <c r="EP3" s="308">
        <v>5</v>
      </c>
      <c r="EQ3" s="308">
        <v>26</v>
      </c>
      <c r="ER3" s="308">
        <v>104</v>
      </c>
      <c r="ES3" s="308">
        <v>21</v>
      </c>
      <c r="ET3" s="308">
        <v>38</v>
      </c>
      <c r="EU3" s="308">
        <v>8.9</v>
      </c>
      <c r="EV3" s="308">
        <v>1.6</v>
      </c>
      <c r="EW3" s="308">
        <v>33</v>
      </c>
      <c r="EX3" s="308">
        <v>3</v>
      </c>
      <c r="EY3" s="308">
        <v>2</v>
      </c>
      <c r="EZ3" s="308">
        <v>1</v>
      </c>
      <c r="FA3" s="308">
        <v>0</v>
      </c>
      <c r="FB3" s="308" t="s">
        <v>663</v>
      </c>
      <c r="FC3" s="340">
        <v>6.85</v>
      </c>
    </row>
    <row r="4" spans="1:159" ht="24.95" customHeight="1" thickBot="1" x14ac:dyDescent="0.3">
      <c r="A4" s="29" t="str">
        <f t="shared" si="0"/>
        <v>3º</v>
      </c>
      <c r="B4" s="69" t="str">
        <f t="shared" si="1"/>
        <v>Everton Ribeiro</v>
      </c>
      <c r="C4" s="86" t="str">
        <f t="shared" si="2"/>
        <v>BRA</v>
      </c>
      <c r="D4" s="99" t="str">
        <f t="shared" si="3"/>
        <v>Somente Pé Esquerdo</v>
      </c>
      <c r="E4" s="28" t="str">
        <f t="shared" si="4"/>
        <v>Bahia</v>
      </c>
      <c r="F4" s="168">
        <f t="shared" si="5"/>
        <v>1.71</v>
      </c>
      <c r="G4" s="36">
        <f t="shared" si="6"/>
        <v>37</v>
      </c>
      <c r="H4" s="342" t="str">
        <f t="shared" si="7"/>
        <v>244m € p/m</v>
      </c>
      <c r="I4" s="35">
        <f t="shared" si="8"/>
        <v>46387</v>
      </c>
      <c r="J4" s="28" t="str">
        <f t="shared" si="9"/>
        <v>6m € - 22m €</v>
      </c>
      <c r="K4" s="96">
        <f t="shared" si="10"/>
        <v>36.659999999999997</v>
      </c>
      <c r="L4" s="146">
        <f t="shared" si="11"/>
        <v>45.355555555555554</v>
      </c>
      <c r="M4" s="146">
        <f t="shared" si="12"/>
        <v>56</v>
      </c>
      <c r="N4" s="146">
        <f t="shared" si="13"/>
        <v>72.892857142857139</v>
      </c>
      <c r="O4" s="187">
        <f t="shared" si="14"/>
        <v>1</v>
      </c>
      <c r="P4" s="6">
        <f t="shared" si="15"/>
        <v>0</v>
      </c>
      <c r="Q4" s="6">
        <f t="shared" si="16"/>
        <v>0</v>
      </c>
      <c r="R4" s="6">
        <f t="shared" si="17"/>
        <v>0</v>
      </c>
      <c r="S4" s="21">
        <f t="shared" si="18"/>
        <v>9.9999999999999995E-8</v>
      </c>
      <c r="T4" s="2">
        <f t="shared" si="19"/>
        <v>13</v>
      </c>
      <c r="U4" s="2">
        <f t="shared" si="20"/>
        <v>7</v>
      </c>
      <c r="V4" s="6">
        <f t="shared" si="21"/>
        <v>20</v>
      </c>
      <c r="W4" s="211">
        <f t="shared" si="22"/>
        <v>149</v>
      </c>
      <c r="X4" s="5">
        <f t="shared" si="23"/>
        <v>3.2851543361097502</v>
      </c>
      <c r="Y4" s="6">
        <f t="shared" si="24"/>
        <v>111</v>
      </c>
      <c r="Z4" s="5">
        <f t="shared" si="25"/>
        <v>2.4473297403233709</v>
      </c>
      <c r="AA4" s="6">
        <f t="shared" si="26"/>
        <v>57</v>
      </c>
      <c r="AB4" s="5">
        <f t="shared" si="27"/>
        <v>1.2567368936795689</v>
      </c>
      <c r="AC4" s="21">
        <f t="shared" si="28"/>
        <v>0.51351351351351349</v>
      </c>
      <c r="AD4" s="332">
        <f t="shared" si="29"/>
        <v>0.11711711711711711</v>
      </c>
      <c r="AE4" s="5">
        <f t="shared" si="30"/>
        <v>10.38</v>
      </c>
      <c r="AF4" s="5">
        <f t="shared" si="31"/>
        <v>0.22885840274375308</v>
      </c>
      <c r="AG4" s="5">
        <f t="shared" si="32"/>
        <v>10.38</v>
      </c>
      <c r="AH4" s="5">
        <f t="shared" si="33"/>
        <v>0.22885840274375308</v>
      </c>
      <c r="AI4" s="5">
        <f t="shared" si="34"/>
        <v>6.28</v>
      </c>
      <c r="AJ4" s="5">
        <f t="shared" si="35"/>
        <v>0.13846153846153847</v>
      </c>
      <c r="AK4" s="5">
        <f t="shared" si="36"/>
        <v>16.66</v>
      </c>
      <c r="AL4" s="5">
        <f t="shared" si="37"/>
        <v>0.36731994120529154</v>
      </c>
      <c r="AM4" s="2">
        <f t="shared" si="38"/>
        <v>3</v>
      </c>
      <c r="AN4" s="5">
        <f t="shared" si="39"/>
        <v>1360.6666666666667</v>
      </c>
      <c r="AO4" s="21">
        <f t="shared" si="40"/>
        <v>6.6144047035766776E-2</v>
      </c>
      <c r="AP4" s="6">
        <f t="shared" si="41"/>
        <v>98</v>
      </c>
      <c r="AQ4" s="5">
        <f t="shared" si="42"/>
        <v>2.1607055365017147</v>
      </c>
      <c r="AR4" s="6">
        <f t="shared" si="43"/>
        <v>144</v>
      </c>
      <c r="AS4" s="5">
        <f t="shared" si="44"/>
        <v>3.1749142577168055</v>
      </c>
      <c r="AT4" s="6">
        <f t="shared" si="45"/>
        <v>51</v>
      </c>
      <c r="AU4" s="5">
        <f t="shared" si="46"/>
        <v>1.1244487996080352</v>
      </c>
      <c r="AV4" s="6">
        <f t="shared" si="47"/>
        <v>93</v>
      </c>
      <c r="AW4" s="5">
        <f t="shared" si="48"/>
        <v>2.0504654581087705</v>
      </c>
      <c r="AX4" s="20">
        <f t="shared" si="49"/>
        <v>0.35416666666666669</v>
      </c>
      <c r="AY4" s="2">
        <f t="shared" si="50"/>
        <v>67</v>
      </c>
      <c r="AZ4" s="5">
        <f t="shared" si="51"/>
        <v>1.4772170504654583</v>
      </c>
      <c r="BA4" s="2">
        <f t="shared" si="52"/>
        <v>61</v>
      </c>
      <c r="BB4" s="12">
        <f t="shared" si="53"/>
        <v>8.9552238805970144E-2</v>
      </c>
      <c r="BC4" s="6">
        <f t="shared" si="54"/>
        <v>406</v>
      </c>
      <c r="BD4" s="5">
        <f t="shared" si="55"/>
        <v>8.951494365507104</v>
      </c>
      <c r="BE4" s="6">
        <f t="shared" si="56"/>
        <v>79</v>
      </c>
      <c r="BF4" s="5">
        <f t="shared" si="57"/>
        <v>1.7417932386085253</v>
      </c>
      <c r="BG4" s="21">
        <f t="shared" si="58"/>
        <v>0.19458128078817735</v>
      </c>
      <c r="BH4" s="2">
        <f t="shared" si="59"/>
        <v>6</v>
      </c>
      <c r="BI4" s="2">
        <f t="shared" si="60"/>
        <v>0</v>
      </c>
      <c r="BJ4" s="2">
        <f t="shared" si="61"/>
        <v>6</v>
      </c>
      <c r="BK4" s="2">
        <f t="shared" si="62"/>
        <v>118</v>
      </c>
      <c r="BL4" s="2">
        <f t="shared" si="63"/>
        <v>51</v>
      </c>
      <c r="BM4" s="21">
        <f t="shared" si="64"/>
        <v>0.43220338983050849</v>
      </c>
      <c r="BN4" s="21">
        <f t="shared" si="65"/>
        <v>0.91044776119402981</v>
      </c>
      <c r="BO4" s="6">
        <f t="shared" si="66"/>
        <v>0</v>
      </c>
      <c r="BP4" s="5">
        <f t="shared" si="67"/>
        <v>0</v>
      </c>
      <c r="BQ4" s="181">
        <f t="shared" si="68"/>
        <v>254</v>
      </c>
      <c r="BR4" s="181">
        <f t="shared" si="69"/>
        <v>26</v>
      </c>
      <c r="BS4" s="182">
        <f t="shared" si="70"/>
        <v>0.10236220472440945</v>
      </c>
      <c r="BT4" s="6">
        <f t="shared" si="71"/>
        <v>2024</v>
      </c>
      <c r="BU4" s="6">
        <f t="shared" si="72"/>
        <v>1750</v>
      </c>
      <c r="BV4" s="5">
        <f t="shared" si="73"/>
        <v>32.54287114159726</v>
      </c>
      <c r="BW4" s="6">
        <f t="shared" si="74"/>
        <v>274</v>
      </c>
      <c r="BX4" s="21">
        <f t="shared" si="75"/>
        <v>0.86462450592885376</v>
      </c>
      <c r="BY4" s="6">
        <f t="shared" si="76"/>
        <v>106</v>
      </c>
      <c r="BZ4" s="5">
        <f t="shared" si="77"/>
        <v>2.3370896619304262</v>
      </c>
      <c r="CA4" s="6">
        <f t="shared" si="78"/>
        <v>25</v>
      </c>
      <c r="CB4" s="6">
        <f t="shared" si="79"/>
        <v>81</v>
      </c>
      <c r="CC4" s="20">
        <f t="shared" si="80"/>
        <v>0.23584905660377359</v>
      </c>
      <c r="CD4" s="5">
        <f t="shared" si="81"/>
        <v>56.376776090151886</v>
      </c>
      <c r="CE4" s="6">
        <f t="shared" si="82"/>
        <v>3169.2799999999997</v>
      </c>
      <c r="CF4" s="5">
        <f t="shared" si="83"/>
        <v>69.87633512983831</v>
      </c>
      <c r="CG4" s="6">
        <f t="shared" si="84"/>
        <v>2054</v>
      </c>
      <c r="CH4" s="5">
        <f t="shared" si="85"/>
        <v>45.28662420382166</v>
      </c>
      <c r="CI4" s="21">
        <f t="shared" si="86"/>
        <v>0.64809672859450729</v>
      </c>
      <c r="CJ4" s="6">
        <f t="shared" si="87"/>
        <v>121.28</v>
      </c>
      <c r="CK4" s="5">
        <f t="shared" si="88"/>
        <v>2.6739833414992651</v>
      </c>
      <c r="CL4" s="6">
        <f t="shared" si="89"/>
        <v>80</v>
      </c>
      <c r="CM4" s="5">
        <f t="shared" si="90"/>
        <v>1.7638412542871142</v>
      </c>
      <c r="CN4" s="5">
        <f t="shared" si="91"/>
        <v>11.428571428571429</v>
      </c>
      <c r="CO4" s="21">
        <f t="shared" si="92"/>
        <v>8.7499999999999994E-2</v>
      </c>
      <c r="CP4" s="5">
        <f t="shared" si="93"/>
        <v>7.85E-2</v>
      </c>
      <c r="CQ4" s="329">
        <f t="shared" si="94"/>
        <v>7.85E-2</v>
      </c>
      <c r="CR4" s="6">
        <f t="shared" si="95"/>
        <v>139</v>
      </c>
      <c r="CS4" s="5">
        <f t="shared" si="96"/>
        <v>3.0646741793238608</v>
      </c>
      <c r="CT4" s="6">
        <f t="shared" si="97"/>
        <v>130</v>
      </c>
      <c r="CU4" s="5">
        <f t="shared" si="98"/>
        <v>2.8662420382165608</v>
      </c>
      <c r="CV4" s="6">
        <f t="shared" si="99"/>
        <v>348</v>
      </c>
      <c r="CW4" s="5">
        <f t="shared" si="100"/>
        <v>7.6727094561489464</v>
      </c>
      <c r="CX4" s="154">
        <f t="shared" si="101"/>
        <v>553.29999999999995</v>
      </c>
      <c r="CY4" s="5">
        <f t="shared" si="102"/>
        <v>12.199167074963253</v>
      </c>
      <c r="CZ4" s="183">
        <f t="shared" si="103"/>
        <v>328</v>
      </c>
      <c r="DA4" s="117">
        <f t="shared" si="104"/>
        <v>7.2317491425771685</v>
      </c>
      <c r="DB4" s="117">
        <f t="shared" si="105"/>
        <v>11.8</v>
      </c>
      <c r="DC4" s="117">
        <f t="shared" si="106"/>
        <v>6.79</v>
      </c>
      <c r="DD4" s="311" t="s">
        <v>653</v>
      </c>
      <c r="DE4" s="308" t="s">
        <v>13</v>
      </c>
      <c r="DF4" s="308" t="s">
        <v>654</v>
      </c>
      <c r="DG4" s="308">
        <v>37</v>
      </c>
      <c r="DH4" s="308" t="s">
        <v>580</v>
      </c>
      <c r="DI4" s="308" t="s">
        <v>781</v>
      </c>
      <c r="DJ4" s="308" t="s">
        <v>649</v>
      </c>
      <c r="DK4" s="308" t="s">
        <v>656</v>
      </c>
      <c r="DL4" s="308" t="s">
        <v>657</v>
      </c>
      <c r="DM4" s="313">
        <v>46387</v>
      </c>
      <c r="DN4" s="308">
        <v>4082</v>
      </c>
      <c r="DO4" s="308" t="s">
        <v>701</v>
      </c>
      <c r="DP4" s="308">
        <v>3</v>
      </c>
      <c r="DQ4" s="308">
        <v>0</v>
      </c>
      <c r="DR4" s="308">
        <v>13</v>
      </c>
      <c r="DS4" s="308">
        <v>7</v>
      </c>
      <c r="DT4" s="308">
        <v>6</v>
      </c>
      <c r="DU4" s="308">
        <v>0</v>
      </c>
      <c r="DV4" s="308">
        <v>9</v>
      </c>
      <c r="DW4" s="308">
        <v>11.8</v>
      </c>
      <c r="DX4" s="308">
        <v>10.38</v>
      </c>
      <c r="DY4" s="308">
        <v>6.28</v>
      </c>
      <c r="DZ4" s="308">
        <v>67</v>
      </c>
      <c r="EA4" s="308">
        <v>47</v>
      </c>
      <c r="EB4" s="308">
        <v>106</v>
      </c>
      <c r="EC4" s="308">
        <v>25</v>
      </c>
      <c r="ED4" s="308">
        <v>0</v>
      </c>
      <c r="EE4" s="308">
        <v>2024</v>
      </c>
      <c r="EF4" s="308">
        <v>1750</v>
      </c>
      <c r="EG4" s="308">
        <v>80</v>
      </c>
      <c r="EH4" s="308">
        <v>183</v>
      </c>
      <c r="EI4" s="308">
        <v>122</v>
      </c>
      <c r="EJ4" s="308">
        <v>111</v>
      </c>
      <c r="EK4" s="308">
        <v>57</v>
      </c>
      <c r="EL4" s="308">
        <v>406</v>
      </c>
      <c r="EM4" s="308">
        <v>79</v>
      </c>
      <c r="EN4" s="308">
        <v>77</v>
      </c>
      <c r="EO4" s="308">
        <v>51</v>
      </c>
      <c r="EP4" s="308">
        <v>0</v>
      </c>
      <c r="EQ4" s="308">
        <v>14</v>
      </c>
      <c r="ER4" s="308">
        <v>98</v>
      </c>
      <c r="ES4" s="308">
        <v>6</v>
      </c>
      <c r="ET4" s="308">
        <v>21</v>
      </c>
      <c r="EU4" s="308">
        <v>6</v>
      </c>
      <c r="EV4" s="308">
        <v>1.1000000000000001</v>
      </c>
      <c r="EW4" s="308">
        <v>254</v>
      </c>
      <c r="EX4" s="308">
        <v>26</v>
      </c>
      <c r="EY4" s="308">
        <v>4</v>
      </c>
      <c r="EZ4" s="308">
        <v>0</v>
      </c>
      <c r="FA4" s="308">
        <v>0</v>
      </c>
      <c r="FB4" s="308" t="s">
        <v>655</v>
      </c>
      <c r="FC4" s="340">
        <v>6.79</v>
      </c>
    </row>
    <row r="5" spans="1:159" ht="24.95" customHeight="1" thickBot="1" x14ac:dyDescent="0.3">
      <c r="A5" s="29" t="str">
        <f t="shared" si="0"/>
        <v>4º</v>
      </c>
      <c r="B5" s="69" t="str">
        <f t="shared" si="1"/>
        <v>Israel Poblete</v>
      </c>
      <c r="C5" s="86" t="str">
        <f t="shared" si="2"/>
        <v>CHI</v>
      </c>
      <c r="D5" s="99" t="str">
        <f t="shared" si="3"/>
        <v>Pé Direito</v>
      </c>
      <c r="E5" s="28" t="str">
        <f t="shared" si="4"/>
        <v>Universidad de Chile</v>
      </c>
      <c r="F5" s="168">
        <f t="shared" si="5"/>
        <v>1.73</v>
      </c>
      <c r="G5" s="36">
        <f t="shared" si="6"/>
        <v>31</v>
      </c>
      <c r="H5" s="342" t="str">
        <f t="shared" si="7"/>
        <v>14,25m € p/m</v>
      </c>
      <c r="I5" s="35">
        <f t="shared" si="8"/>
        <v>47118</v>
      </c>
      <c r="J5" s="28" t="str">
        <f t="shared" si="9"/>
        <v>Não está à venda</v>
      </c>
      <c r="K5" s="96">
        <f t="shared" si="10"/>
        <v>36.659999999999997</v>
      </c>
      <c r="L5" s="146">
        <f t="shared" si="11"/>
        <v>36.577777777777776</v>
      </c>
      <c r="M5" s="146">
        <f t="shared" si="12"/>
        <v>37</v>
      </c>
      <c r="N5" s="146">
        <f t="shared" si="13"/>
        <v>88.972972972972968</v>
      </c>
      <c r="O5" s="187">
        <f t="shared" si="14"/>
        <v>1</v>
      </c>
      <c r="P5" s="6">
        <f t="shared" si="15"/>
        <v>0</v>
      </c>
      <c r="Q5" s="6">
        <f t="shared" si="16"/>
        <v>0</v>
      </c>
      <c r="R5" s="6">
        <f t="shared" si="17"/>
        <v>0</v>
      </c>
      <c r="S5" s="21">
        <f t="shared" si="18"/>
        <v>9.9999999999999995E-8</v>
      </c>
      <c r="T5" s="2">
        <f t="shared" si="19"/>
        <v>7</v>
      </c>
      <c r="U5" s="2">
        <f t="shared" si="20"/>
        <v>9</v>
      </c>
      <c r="V5" s="6">
        <f t="shared" si="21"/>
        <v>16</v>
      </c>
      <c r="W5" s="211">
        <f t="shared" si="22"/>
        <v>136</v>
      </c>
      <c r="X5" s="5">
        <f t="shared" si="23"/>
        <v>3.7181044957472662</v>
      </c>
      <c r="Y5" s="6">
        <f t="shared" si="24"/>
        <v>83</v>
      </c>
      <c r="Z5" s="5">
        <f t="shared" si="25"/>
        <v>2.2691373025516404</v>
      </c>
      <c r="AA5" s="6">
        <f t="shared" si="26"/>
        <v>22</v>
      </c>
      <c r="AB5" s="5">
        <f t="shared" si="27"/>
        <v>0.60145808019441072</v>
      </c>
      <c r="AC5" s="21">
        <f t="shared" si="28"/>
        <v>0.26506024096385544</v>
      </c>
      <c r="AD5" s="332">
        <f t="shared" si="29"/>
        <v>8.4337349397590355E-2</v>
      </c>
      <c r="AE5" s="5">
        <f t="shared" si="30"/>
        <v>9.39</v>
      </c>
      <c r="AF5" s="5">
        <f t="shared" si="31"/>
        <v>0.25671324422843261</v>
      </c>
      <c r="AG5" s="5">
        <f t="shared" si="32"/>
        <v>9.39</v>
      </c>
      <c r="AH5" s="5">
        <f t="shared" si="33"/>
        <v>0.25671324422843261</v>
      </c>
      <c r="AI5" s="5">
        <f t="shared" si="34"/>
        <v>5.85</v>
      </c>
      <c r="AJ5" s="5">
        <f t="shared" si="35"/>
        <v>0.15993317132442283</v>
      </c>
      <c r="AK5" s="5">
        <f t="shared" si="36"/>
        <v>15.24</v>
      </c>
      <c r="AL5" s="5">
        <f t="shared" si="37"/>
        <v>0.41664641555285542</v>
      </c>
      <c r="AM5" s="2">
        <f t="shared" si="38"/>
        <v>3</v>
      </c>
      <c r="AN5" s="5">
        <f t="shared" si="39"/>
        <v>1097.3333333333333</v>
      </c>
      <c r="AO5" s="21">
        <f t="shared" si="40"/>
        <v>8.2017010935601459E-2</v>
      </c>
      <c r="AP5" s="6">
        <f t="shared" si="41"/>
        <v>86</v>
      </c>
      <c r="AQ5" s="5">
        <f t="shared" si="42"/>
        <v>2.3511543134872421</v>
      </c>
      <c r="AR5" s="6">
        <f t="shared" si="43"/>
        <v>106</v>
      </c>
      <c r="AS5" s="5">
        <f t="shared" si="44"/>
        <v>2.8979343863912517</v>
      </c>
      <c r="AT5" s="6">
        <f t="shared" si="45"/>
        <v>48</v>
      </c>
      <c r="AU5" s="5">
        <f t="shared" si="46"/>
        <v>1.3122721749696233</v>
      </c>
      <c r="AV5" s="6">
        <f t="shared" si="47"/>
        <v>58</v>
      </c>
      <c r="AW5" s="5">
        <f t="shared" si="48"/>
        <v>1.5856622114216283</v>
      </c>
      <c r="AX5" s="20">
        <f t="shared" si="49"/>
        <v>0.45283018867924529</v>
      </c>
      <c r="AY5" s="2">
        <f t="shared" si="50"/>
        <v>41</v>
      </c>
      <c r="AZ5" s="5">
        <f t="shared" si="51"/>
        <v>1.1208991494532199</v>
      </c>
      <c r="BA5" s="2">
        <f t="shared" si="52"/>
        <v>40</v>
      </c>
      <c r="BB5" s="12">
        <f t="shared" si="53"/>
        <v>2.4390243902439025E-2</v>
      </c>
      <c r="BC5" s="6">
        <f t="shared" si="54"/>
        <v>338</v>
      </c>
      <c r="BD5" s="5">
        <f t="shared" si="55"/>
        <v>9.2405832320777641</v>
      </c>
      <c r="BE5" s="6">
        <f t="shared" si="56"/>
        <v>73</v>
      </c>
      <c r="BF5" s="5">
        <f t="shared" si="57"/>
        <v>1.9957472660996356</v>
      </c>
      <c r="BG5" s="21">
        <f t="shared" si="58"/>
        <v>0.21597633136094674</v>
      </c>
      <c r="BH5" s="2">
        <f t="shared" si="59"/>
        <v>1</v>
      </c>
      <c r="BI5" s="2">
        <f t="shared" si="60"/>
        <v>0</v>
      </c>
      <c r="BJ5" s="2">
        <f t="shared" si="61"/>
        <v>1</v>
      </c>
      <c r="BK5" s="2">
        <f t="shared" si="62"/>
        <v>91</v>
      </c>
      <c r="BL5" s="2">
        <f t="shared" si="63"/>
        <v>50</v>
      </c>
      <c r="BM5" s="21">
        <f t="shared" si="64"/>
        <v>0.5494505494505495</v>
      </c>
      <c r="BN5" s="21">
        <f t="shared" si="65"/>
        <v>0.97560975609756095</v>
      </c>
      <c r="BO5" s="6">
        <f t="shared" si="66"/>
        <v>2</v>
      </c>
      <c r="BP5" s="5">
        <f t="shared" si="67"/>
        <v>5.4678007290400975E-2</v>
      </c>
      <c r="BQ5" s="181">
        <f t="shared" si="68"/>
        <v>117</v>
      </c>
      <c r="BR5" s="181">
        <f t="shared" si="69"/>
        <v>24</v>
      </c>
      <c r="BS5" s="182">
        <f t="shared" si="70"/>
        <v>0.20512820512820512</v>
      </c>
      <c r="BT5" s="6">
        <f t="shared" si="71"/>
        <v>1613</v>
      </c>
      <c r="BU5" s="6">
        <f t="shared" si="72"/>
        <v>1445</v>
      </c>
      <c r="BV5" s="5">
        <f t="shared" si="73"/>
        <v>34.911907654921023</v>
      </c>
      <c r="BW5" s="6">
        <f t="shared" si="74"/>
        <v>168</v>
      </c>
      <c r="BX5" s="21">
        <f t="shared" si="75"/>
        <v>0.89584624922504652</v>
      </c>
      <c r="BY5" s="6">
        <f t="shared" si="76"/>
        <v>135</v>
      </c>
      <c r="BZ5" s="5">
        <f t="shared" si="77"/>
        <v>3.6907654921020656</v>
      </c>
      <c r="CA5" s="6">
        <f t="shared" si="78"/>
        <v>23</v>
      </c>
      <c r="CB5" s="6">
        <f t="shared" si="79"/>
        <v>112</v>
      </c>
      <c r="CC5" s="20">
        <f t="shared" si="80"/>
        <v>0.17037037037037037</v>
      </c>
      <c r="CD5" s="5">
        <f t="shared" si="81"/>
        <v>57.329890643985422</v>
      </c>
      <c r="CE5" s="6">
        <f t="shared" si="82"/>
        <v>2488.85</v>
      </c>
      <c r="CF5" s="5">
        <f t="shared" si="83"/>
        <v>68.042679222357236</v>
      </c>
      <c r="CG5" s="6">
        <f t="shared" si="84"/>
        <v>1695.25</v>
      </c>
      <c r="CH5" s="5">
        <f t="shared" si="85"/>
        <v>46.346445929526126</v>
      </c>
      <c r="CI5" s="21">
        <f t="shared" si="86"/>
        <v>0.68113787492215283</v>
      </c>
      <c r="CJ5" s="6">
        <f t="shared" si="87"/>
        <v>79.849999999999994</v>
      </c>
      <c r="CK5" s="5">
        <f t="shared" si="88"/>
        <v>2.1830194410692587</v>
      </c>
      <c r="CL5" s="6">
        <f t="shared" si="89"/>
        <v>40</v>
      </c>
      <c r="CM5" s="5">
        <f t="shared" si="90"/>
        <v>1.0935601458080195</v>
      </c>
      <c r="CN5" s="5">
        <f t="shared" si="91"/>
        <v>4.4444444444444446</v>
      </c>
      <c r="CO5" s="21">
        <f t="shared" si="92"/>
        <v>0.22500000000000001</v>
      </c>
      <c r="CP5" s="5">
        <f t="shared" si="93"/>
        <v>0.14624999999999999</v>
      </c>
      <c r="CQ5" s="329">
        <f t="shared" si="94"/>
        <v>0.14624999999999999</v>
      </c>
      <c r="CR5" s="6">
        <f t="shared" si="95"/>
        <v>123</v>
      </c>
      <c r="CS5" s="5">
        <f t="shared" si="96"/>
        <v>3.3626974483596599</v>
      </c>
      <c r="CT5" s="6">
        <f t="shared" si="97"/>
        <v>122</v>
      </c>
      <c r="CU5" s="5">
        <f t="shared" si="98"/>
        <v>3.3353584447144593</v>
      </c>
      <c r="CV5" s="6">
        <f t="shared" si="99"/>
        <v>275</v>
      </c>
      <c r="CW5" s="5">
        <f t="shared" si="100"/>
        <v>7.5182260024301337</v>
      </c>
      <c r="CX5" s="154">
        <f t="shared" si="101"/>
        <v>425.9</v>
      </c>
      <c r="CY5" s="5">
        <f t="shared" si="102"/>
        <v>11.643681652490887</v>
      </c>
      <c r="CZ5" s="183">
        <f t="shared" si="103"/>
        <v>229</v>
      </c>
      <c r="DA5" s="117">
        <f t="shared" si="104"/>
        <v>6.260631834750912</v>
      </c>
      <c r="DB5" s="117">
        <f t="shared" si="105"/>
        <v>15.3</v>
      </c>
      <c r="DC5" s="117">
        <f t="shared" si="106"/>
        <v>7.11</v>
      </c>
      <c r="DD5" s="311"/>
      <c r="DE5" s="308" t="s">
        <v>482</v>
      </c>
      <c r="DF5" s="308" t="s">
        <v>794</v>
      </c>
      <c r="DG5" s="308">
        <v>31</v>
      </c>
      <c r="DH5" s="308" t="s">
        <v>767</v>
      </c>
      <c r="DI5" s="308" t="s">
        <v>773</v>
      </c>
      <c r="DJ5" s="308" t="s">
        <v>643</v>
      </c>
      <c r="DK5" s="308" t="s">
        <v>413</v>
      </c>
      <c r="DL5" s="308" t="s">
        <v>770</v>
      </c>
      <c r="DM5" s="313">
        <v>47118</v>
      </c>
      <c r="DN5" s="308">
        <v>3292</v>
      </c>
      <c r="DO5" s="308">
        <v>37</v>
      </c>
      <c r="DP5" s="308">
        <v>3</v>
      </c>
      <c r="DQ5" s="308">
        <v>0</v>
      </c>
      <c r="DR5" s="308">
        <v>7</v>
      </c>
      <c r="DS5" s="308">
        <v>9</v>
      </c>
      <c r="DT5" s="308">
        <v>1</v>
      </c>
      <c r="DU5" s="308">
        <v>0</v>
      </c>
      <c r="DV5" s="308">
        <v>10</v>
      </c>
      <c r="DW5" s="308">
        <v>15.3</v>
      </c>
      <c r="DX5" s="308">
        <v>9.39</v>
      </c>
      <c r="DY5" s="308">
        <v>5.85</v>
      </c>
      <c r="DZ5" s="308">
        <v>41</v>
      </c>
      <c r="EA5" s="308">
        <v>29</v>
      </c>
      <c r="EB5" s="308">
        <v>135</v>
      </c>
      <c r="EC5" s="308">
        <v>23</v>
      </c>
      <c r="ED5" s="308">
        <v>0.1</v>
      </c>
      <c r="EE5" s="308">
        <v>1613</v>
      </c>
      <c r="EF5" s="308">
        <v>1445</v>
      </c>
      <c r="EG5" s="308">
        <v>40</v>
      </c>
      <c r="EH5" s="308">
        <v>107</v>
      </c>
      <c r="EI5" s="308">
        <v>118</v>
      </c>
      <c r="EJ5" s="308">
        <v>83</v>
      </c>
      <c r="EK5" s="308">
        <v>22</v>
      </c>
      <c r="EL5" s="308">
        <v>338</v>
      </c>
      <c r="EM5" s="308">
        <v>73</v>
      </c>
      <c r="EN5" s="308">
        <v>65</v>
      </c>
      <c r="EO5" s="308">
        <v>48</v>
      </c>
      <c r="EP5" s="308">
        <v>2</v>
      </c>
      <c r="EQ5" s="308">
        <v>16</v>
      </c>
      <c r="ER5" s="308">
        <v>86</v>
      </c>
      <c r="ES5" s="308">
        <v>0</v>
      </c>
      <c r="ET5" s="308">
        <v>20</v>
      </c>
      <c r="EU5" s="308">
        <v>7.3</v>
      </c>
      <c r="EV5" s="308">
        <v>0.7</v>
      </c>
      <c r="EW5" s="308">
        <v>117</v>
      </c>
      <c r="EX5" s="308">
        <v>24</v>
      </c>
      <c r="EY5" s="308">
        <v>0</v>
      </c>
      <c r="EZ5" s="308">
        <v>0</v>
      </c>
      <c r="FA5" s="308">
        <v>0</v>
      </c>
      <c r="FB5" s="308" t="s">
        <v>795</v>
      </c>
      <c r="FC5" s="340">
        <v>7.11</v>
      </c>
    </row>
    <row r="6" spans="1:159" ht="24.95" customHeight="1" thickBot="1" x14ac:dyDescent="0.3">
      <c r="A6" s="29" t="str">
        <f t="shared" si="0"/>
        <v>5º</v>
      </c>
      <c r="B6" s="69" t="str">
        <f t="shared" si="1"/>
        <v>Josué</v>
      </c>
      <c r="C6" s="86" t="str">
        <f t="shared" si="2"/>
        <v>POR</v>
      </c>
      <c r="D6" s="99" t="str">
        <f t="shared" si="3"/>
        <v>Somente Pé Esquerdo</v>
      </c>
      <c r="E6" s="28" t="str">
        <f t="shared" si="4"/>
        <v>Coritiba</v>
      </c>
      <c r="F6" s="168">
        <f t="shared" si="5"/>
        <v>1.75</v>
      </c>
      <c r="G6" s="36">
        <f t="shared" si="6"/>
        <v>36</v>
      </c>
      <c r="H6" s="342" t="str">
        <f t="shared" si="7"/>
        <v>32m € p/m</v>
      </c>
      <c r="I6" s="35">
        <f t="shared" si="8"/>
        <v>46387</v>
      </c>
      <c r="J6" s="28" t="str">
        <f t="shared" si="9"/>
        <v>10m € - 110m €</v>
      </c>
      <c r="K6" s="96">
        <f t="shared" si="10"/>
        <v>36.659999999999997</v>
      </c>
      <c r="L6" s="146">
        <f t="shared" si="11"/>
        <v>38.922222222222224</v>
      </c>
      <c r="M6" s="146">
        <f t="shared" si="12"/>
        <v>45</v>
      </c>
      <c r="N6" s="146">
        <f t="shared" si="13"/>
        <v>77.844444444444449</v>
      </c>
      <c r="O6" s="187">
        <f t="shared" si="14"/>
        <v>1</v>
      </c>
      <c r="P6" s="6">
        <f t="shared" si="15"/>
        <v>3</v>
      </c>
      <c r="Q6" s="6">
        <f t="shared" si="16"/>
        <v>3</v>
      </c>
      <c r="R6" s="6">
        <f t="shared" si="17"/>
        <v>0</v>
      </c>
      <c r="S6" s="21">
        <f t="shared" si="18"/>
        <v>1</v>
      </c>
      <c r="T6" s="2">
        <f t="shared" si="19"/>
        <v>9</v>
      </c>
      <c r="U6" s="2">
        <f t="shared" si="20"/>
        <v>7</v>
      </c>
      <c r="V6" s="6">
        <f t="shared" si="21"/>
        <v>16</v>
      </c>
      <c r="W6" s="211">
        <f t="shared" si="22"/>
        <v>83</v>
      </c>
      <c r="X6" s="5">
        <f t="shared" si="23"/>
        <v>2.1324578932343705</v>
      </c>
      <c r="Y6" s="6">
        <f t="shared" si="24"/>
        <v>74</v>
      </c>
      <c r="Z6" s="5">
        <f t="shared" si="25"/>
        <v>1.9012275192691976</v>
      </c>
      <c r="AA6" s="6">
        <f t="shared" si="26"/>
        <v>30</v>
      </c>
      <c r="AB6" s="5">
        <f t="shared" si="27"/>
        <v>0.77076791321724236</v>
      </c>
      <c r="AC6" s="21">
        <f t="shared" si="28"/>
        <v>0.40540540540540543</v>
      </c>
      <c r="AD6" s="332">
        <f t="shared" si="29"/>
        <v>0.11688311688311688</v>
      </c>
      <c r="AE6" s="5">
        <f t="shared" si="30"/>
        <v>8.82</v>
      </c>
      <c r="AF6" s="5">
        <f t="shared" si="31"/>
        <v>0.22660576648586925</v>
      </c>
      <c r="AG6" s="5">
        <f t="shared" si="32"/>
        <v>6.45</v>
      </c>
      <c r="AH6" s="5">
        <f t="shared" si="33"/>
        <v>0.16571510134170711</v>
      </c>
      <c r="AI6" s="5">
        <f t="shared" si="34"/>
        <v>7.73</v>
      </c>
      <c r="AJ6" s="5">
        <f t="shared" si="35"/>
        <v>0.19860119897230946</v>
      </c>
      <c r="AK6" s="5">
        <f t="shared" si="36"/>
        <v>14.18</v>
      </c>
      <c r="AL6" s="5">
        <f t="shared" si="37"/>
        <v>0.36431630031401652</v>
      </c>
      <c r="AM6" s="2">
        <f t="shared" si="38"/>
        <v>1</v>
      </c>
      <c r="AN6" s="5">
        <f t="shared" si="39"/>
        <v>3503</v>
      </c>
      <c r="AO6" s="21">
        <f t="shared" si="40"/>
        <v>2.5692263773908076E-2</v>
      </c>
      <c r="AP6" s="6">
        <f t="shared" si="41"/>
        <v>69</v>
      </c>
      <c r="AQ6" s="5">
        <f t="shared" si="42"/>
        <v>1.7727662003996574</v>
      </c>
      <c r="AR6" s="6">
        <f t="shared" si="43"/>
        <v>49</v>
      </c>
      <c r="AS6" s="5">
        <f t="shared" si="44"/>
        <v>1.2589209249214959</v>
      </c>
      <c r="AT6" s="6">
        <f t="shared" si="45"/>
        <v>13</v>
      </c>
      <c r="AU6" s="5">
        <f t="shared" si="46"/>
        <v>0.33399942906080499</v>
      </c>
      <c r="AV6" s="6">
        <f t="shared" si="47"/>
        <v>36</v>
      </c>
      <c r="AW6" s="5">
        <f t="shared" si="48"/>
        <v>0.92492149586069083</v>
      </c>
      <c r="AX6" s="20">
        <f t="shared" si="49"/>
        <v>0.26530612244897961</v>
      </c>
      <c r="AY6" s="2">
        <f t="shared" si="50"/>
        <v>25</v>
      </c>
      <c r="AZ6" s="5">
        <f t="shared" si="51"/>
        <v>0.64230659434770199</v>
      </c>
      <c r="BA6" s="2">
        <f t="shared" si="52"/>
        <v>24</v>
      </c>
      <c r="BB6" s="12">
        <f t="shared" si="53"/>
        <v>0.04</v>
      </c>
      <c r="BC6" s="6">
        <f t="shared" si="54"/>
        <v>153</v>
      </c>
      <c r="BD6" s="5">
        <f t="shared" si="55"/>
        <v>3.930916357407936</v>
      </c>
      <c r="BE6" s="6">
        <f t="shared" si="56"/>
        <v>32</v>
      </c>
      <c r="BF6" s="5">
        <f t="shared" si="57"/>
        <v>0.82215244076505845</v>
      </c>
      <c r="BG6" s="21">
        <f t="shared" si="58"/>
        <v>0.20915032679738563</v>
      </c>
      <c r="BH6" s="2">
        <f t="shared" si="59"/>
        <v>1</v>
      </c>
      <c r="BI6" s="2">
        <f t="shared" si="60"/>
        <v>0</v>
      </c>
      <c r="BJ6" s="2">
        <f t="shared" si="61"/>
        <v>1</v>
      </c>
      <c r="BK6" s="2">
        <f t="shared" si="62"/>
        <v>39</v>
      </c>
      <c r="BL6" s="2">
        <f t="shared" si="63"/>
        <v>14</v>
      </c>
      <c r="BM6" s="21">
        <f t="shared" si="64"/>
        <v>0.35897435897435898</v>
      </c>
      <c r="BN6" s="21">
        <f t="shared" si="65"/>
        <v>0.96</v>
      </c>
      <c r="BO6" s="6">
        <f t="shared" si="66"/>
        <v>1</v>
      </c>
      <c r="BP6" s="5">
        <f t="shared" si="67"/>
        <v>2.5692263773908076E-2</v>
      </c>
      <c r="BQ6" s="181">
        <f t="shared" si="68"/>
        <v>199</v>
      </c>
      <c r="BR6" s="181">
        <f t="shared" si="69"/>
        <v>32</v>
      </c>
      <c r="BS6" s="182">
        <f t="shared" si="70"/>
        <v>0.16080402010050251</v>
      </c>
      <c r="BT6" s="6">
        <f t="shared" si="71"/>
        <v>1862</v>
      </c>
      <c r="BU6" s="6">
        <f t="shared" si="72"/>
        <v>1685</v>
      </c>
      <c r="BV6" s="5">
        <f t="shared" si="73"/>
        <v>38.743933771053378</v>
      </c>
      <c r="BW6" s="6">
        <f t="shared" si="74"/>
        <v>177</v>
      </c>
      <c r="BX6" s="21">
        <f t="shared" si="75"/>
        <v>0.90494092373791624</v>
      </c>
      <c r="BY6" s="6">
        <f t="shared" si="76"/>
        <v>91</v>
      </c>
      <c r="BZ6" s="5">
        <f t="shared" si="77"/>
        <v>2.3379960034256349</v>
      </c>
      <c r="CA6" s="6">
        <f t="shared" si="78"/>
        <v>27</v>
      </c>
      <c r="CB6" s="6">
        <f t="shared" si="79"/>
        <v>64</v>
      </c>
      <c r="CC6" s="20">
        <f t="shared" si="80"/>
        <v>0.2967032967032967</v>
      </c>
      <c r="CD6" s="5">
        <f t="shared" si="81"/>
        <v>57.987439337710533</v>
      </c>
      <c r="CE6" s="6">
        <f t="shared" si="82"/>
        <v>2477.73</v>
      </c>
      <c r="CF6" s="5">
        <f t="shared" si="83"/>
        <v>63.65849272052526</v>
      </c>
      <c r="CG6" s="6">
        <f t="shared" si="84"/>
        <v>1848</v>
      </c>
      <c r="CH6" s="5">
        <f t="shared" si="85"/>
        <v>47.47930345418213</v>
      </c>
      <c r="CI6" s="21">
        <f t="shared" si="86"/>
        <v>0.74584397815742631</v>
      </c>
      <c r="CJ6" s="6">
        <f t="shared" si="87"/>
        <v>155.73000000000002</v>
      </c>
      <c r="CK6" s="5">
        <f t="shared" si="88"/>
        <v>4.0010562375107055</v>
      </c>
      <c r="CL6" s="6">
        <f t="shared" si="89"/>
        <v>97</v>
      </c>
      <c r="CM6" s="5">
        <f t="shared" si="90"/>
        <v>2.4921495860690834</v>
      </c>
      <c r="CN6" s="5">
        <f t="shared" si="91"/>
        <v>13.857142857142858</v>
      </c>
      <c r="CO6" s="21">
        <f t="shared" si="92"/>
        <v>7.2164948453608241E-2</v>
      </c>
      <c r="CP6" s="5">
        <f t="shared" si="93"/>
        <v>7.9690721649484542E-2</v>
      </c>
      <c r="CQ6" s="329">
        <f t="shared" si="94"/>
        <v>7.9690721649484542E-2</v>
      </c>
      <c r="CR6" s="6">
        <f t="shared" si="95"/>
        <v>95.5</v>
      </c>
      <c r="CS6" s="5">
        <f t="shared" si="96"/>
        <v>2.4536111904082212</v>
      </c>
      <c r="CT6" s="6">
        <f t="shared" si="97"/>
        <v>45.5</v>
      </c>
      <c r="CU6" s="5">
        <f t="shared" si="98"/>
        <v>1.1689980017128174</v>
      </c>
      <c r="CV6" s="6">
        <f t="shared" si="99"/>
        <v>285</v>
      </c>
      <c r="CW6" s="5">
        <f t="shared" si="100"/>
        <v>7.3222951755638022</v>
      </c>
      <c r="CX6" s="154">
        <f t="shared" si="101"/>
        <v>461</v>
      </c>
      <c r="CY6" s="5">
        <f t="shared" si="102"/>
        <v>11.844133599771624</v>
      </c>
      <c r="CZ6" s="183">
        <f t="shared" si="103"/>
        <v>221</v>
      </c>
      <c r="DA6" s="117">
        <f t="shared" si="104"/>
        <v>5.6779902940336848</v>
      </c>
      <c r="DB6" s="117">
        <f t="shared" si="105"/>
        <v>10.1</v>
      </c>
      <c r="DC6" s="117">
        <f t="shared" si="106"/>
        <v>6.86</v>
      </c>
      <c r="DD6" s="311"/>
      <c r="DE6" s="308" t="s">
        <v>787</v>
      </c>
      <c r="DF6" s="308" t="s">
        <v>788</v>
      </c>
      <c r="DG6" s="308">
        <v>36</v>
      </c>
      <c r="DH6" s="308" t="s">
        <v>658</v>
      </c>
      <c r="DI6" s="308" t="s">
        <v>588</v>
      </c>
      <c r="DJ6" s="308" t="s">
        <v>649</v>
      </c>
      <c r="DK6" s="308" t="s">
        <v>789</v>
      </c>
      <c r="DL6" s="308" t="s">
        <v>783</v>
      </c>
      <c r="DM6" s="313">
        <v>46387</v>
      </c>
      <c r="DN6" s="308">
        <v>3503</v>
      </c>
      <c r="DO6" s="308">
        <v>45</v>
      </c>
      <c r="DP6" s="308">
        <v>1</v>
      </c>
      <c r="DQ6" s="308">
        <v>1</v>
      </c>
      <c r="DR6" s="308">
        <v>9</v>
      </c>
      <c r="DS6" s="308">
        <v>7</v>
      </c>
      <c r="DT6" s="308">
        <v>1</v>
      </c>
      <c r="DU6" s="308">
        <v>0</v>
      </c>
      <c r="DV6" s="308">
        <v>19</v>
      </c>
      <c r="DW6" s="308">
        <v>10.1</v>
      </c>
      <c r="DX6" s="308">
        <v>8.82</v>
      </c>
      <c r="DY6" s="308">
        <v>7.73</v>
      </c>
      <c r="DZ6" s="308">
        <v>25</v>
      </c>
      <c r="EA6" s="308">
        <v>29</v>
      </c>
      <c r="EB6" s="308">
        <v>91</v>
      </c>
      <c r="EC6" s="308">
        <v>27</v>
      </c>
      <c r="ED6" s="308">
        <v>0.1</v>
      </c>
      <c r="EE6" s="308">
        <v>1862</v>
      </c>
      <c r="EF6" s="308">
        <v>1685</v>
      </c>
      <c r="EG6" s="308">
        <v>97</v>
      </c>
      <c r="EH6" s="308">
        <v>109</v>
      </c>
      <c r="EI6" s="308">
        <v>60</v>
      </c>
      <c r="EJ6" s="308">
        <v>77</v>
      </c>
      <c r="EK6" s="308">
        <v>33</v>
      </c>
      <c r="EL6" s="308">
        <v>153</v>
      </c>
      <c r="EM6" s="308">
        <v>32</v>
      </c>
      <c r="EN6" s="308">
        <v>24</v>
      </c>
      <c r="EO6" s="308">
        <v>13</v>
      </c>
      <c r="EP6" s="308">
        <v>1</v>
      </c>
      <c r="EQ6" s="308">
        <v>9</v>
      </c>
      <c r="ER6" s="308">
        <v>69</v>
      </c>
      <c r="ES6" s="308">
        <v>4</v>
      </c>
      <c r="ET6" s="308">
        <v>13</v>
      </c>
      <c r="EU6" s="308">
        <v>6.7</v>
      </c>
      <c r="EV6" s="308">
        <v>1.1000000000000001</v>
      </c>
      <c r="EW6" s="308">
        <v>199</v>
      </c>
      <c r="EX6" s="308">
        <v>32</v>
      </c>
      <c r="EY6" s="308">
        <v>13</v>
      </c>
      <c r="EZ6" s="308">
        <v>3</v>
      </c>
      <c r="FA6" s="308">
        <v>3</v>
      </c>
      <c r="FB6" s="308" t="s">
        <v>790</v>
      </c>
      <c r="FC6" s="340">
        <v>6.86</v>
      </c>
    </row>
    <row r="7" spans="1:159" ht="24.95" customHeight="1" thickBot="1" x14ac:dyDescent="0.3">
      <c r="A7" s="29" t="str">
        <f t="shared" si="0"/>
        <v>6º</v>
      </c>
      <c r="B7" s="69" t="str">
        <f t="shared" si="1"/>
        <v>Juan Camilo Pérez</v>
      </c>
      <c r="C7" s="86" t="str">
        <f t="shared" si="2"/>
        <v>VEN</v>
      </c>
      <c r="D7" s="99" t="str">
        <f t="shared" si="3"/>
        <v>Pé Esquerdo</v>
      </c>
      <c r="E7" s="28" t="str">
        <f t="shared" si="4"/>
        <v>Carabobo</v>
      </c>
      <c r="F7" s="168">
        <f t="shared" si="5"/>
        <v>1.72</v>
      </c>
      <c r="G7" s="36">
        <f t="shared" si="6"/>
        <v>27</v>
      </c>
      <c r="H7" s="342" t="str">
        <f t="shared" si="7"/>
        <v>2m € p/m</v>
      </c>
      <c r="I7" s="35">
        <f t="shared" si="8"/>
        <v>47118</v>
      </c>
      <c r="J7" s="28" t="str">
        <f t="shared" si="9"/>
        <v>80m € - 800m €</v>
      </c>
      <c r="K7" s="96">
        <f t="shared" si="10"/>
        <v>36.659999999999997</v>
      </c>
      <c r="L7" s="146">
        <f t="shared" si="11"/>
        <v>37.31111111111111</v>
      </c>
      <c r="M7" s="146">
        <f t="shared" si="12"/>
        <v>45</v>
      </c>
      <c r="N7" s="146">
        <f t="shared" si="13"/>
        <v>74.62222222222222</v>
      </c>
      <c r="O7" s="187">
        <f t="shared" si="14"/>
        <v>1</v>
      </c>
      <c r="P7" s="6">
        <f t="shared" si="15"/>
        <v>0</v>
      </c>
      <c r="Q7" s="6">
        <f t="shared" si="16"/>
        <v>0</v>
      </c>
      <c r="R7" s="6">
        <f t="shared" si="17"/>
        <v>0</v>
      </c>
      <c r="S7" s="21">
        <f t="shared" si="18"/>
        <v>9.9999999999999995E-8</v>
      </c>
      <c r="T7" s="2">
        <f t="shared" si="19"/>
        <v>8</v>
      </c>
      <c r="U7" s="2">
        <f t="shared" si="20"/>
        <v>5</v>
      </c>
      <c r="V7" s="6">
        <f t="shared" si="21"/>
        <v>13</v>
      </c>
      <c r="W7" s="211">
        <f t="shared" si="22"/>
        <v>71</v>
      </c>
      <c r="X7" s="5">
        <f t="shared" si="23"/>
        <v>1.9029184038117928</v>
      </c>
      <c r="Y7" s="6">
        <f t="shared" si="24"/>
        <v>72</v>
      </c>
      <c r="Z7" s="5">
        <f t="shared" si="25"/>
        <v>1.9297200714711138</v>
      </c>
      <c r="AA7" s="6">
        <f t="shared" si="26"/>
        <v>28</v>
      </c>
      <c r="AB7" s="5">
        <f t="shared" si="27"/>
        <v>0.75044669446098866</v>
      </c>
      <c r="AC7" s="21">
        <f t="shared" si="28"/>
        <v>0.3888888888888889</v>
      </c>
      <c r="AD7" s="332">
        <f t="shared" si="29"/>
        <v>0.1111111111111111</v>
      </c>
      <c r="AE7" s="5">
        <f t="shared" si="30"/>
        <v>9.43</v>
      </c>
      <c r="AF7" s="5">
        <f t="shared" si="31"/>
        <v>0.25273972602739725</v>
      </c>
      <c r="AG7" s="5">
        <f t="shared" si="32"/>
        <v>9.43</v>
      </c>
      <c r="AH7" s="5">
        <f t="shared" si="33"/>
        <v>0.25273972602739725</v>
      </c>
      <c r="AI7" s="5">
        <f t="shared" si="34"/>
        <v>8.27</v>
      </c>
      <c r="AJ7" s="5">
        <f t="shared" si="35"/>
        <v>0.22164979154258488</v>
      </c>
      <c r="AK7" s="5">
        <f t="shared" si="36"/>
        <v>17.7</v>
      </c>
      <c r="AL7" s="5">
        <f t="shared" si="37"/>
        <v>0.4743895175699821</v>
      </c>
      <c r="AM7" s="2">
        <f t="shared" si="38"/>
        <v>1</v>
      </c>
      <c r="AN7" s="5">
        <f t="shared" si="39"/>
        <v>3358</v>
      </c>
      <c r="AO7" s="21">
        <f t="shared" si="40"/>
        <v>2.6801667659321026E-2</v>
      </c>
      <c r="AP7" s="6">
        <f t="shared" si="41"/>
        <v>46</v>
      </c>
      <c r="AQ7" s="5">
        <f t="shared" si="42"/>
        <v>1.2328767123287672</v>
      </c>
      <c r="AR7" s="6">
        <f t="shared" si="43"/>
        <v>54</v>
      </c>
      <c r="AS7" s="5">
        <f t="shared" si="44"/>
        <v>1.4472900536033353</v>
      </c>
      <c r="AT7" s="6">
        <f t="shared" si="45"/>
        <v>23</v>
      </c>
      <c r="AU7" s="5">
        <f t="shared" si="46"/>
        <v>0.61643835616438358</v>
      </c>
      <c r="AV7" s="6">
        <f t="shared" si="47"/>
        <v>31</v>
      </c>
      <c r="AW7" s="5">
        <f t="shared" si="48"/>
        <v>0.83085169743895182</v>
      </c>
      <c r="AX7" s="20">
        <f t="shared" si="49"/>
        <v>0.42592592592592593</v>
      </c>
      <c r="AY7" s="2">
        <f t="shared" si="50"/>
        <v>22</v>
      </c>
      <c r="AZ7" s="5">
        <f t="shared" si="51"/>
        <v>0.58963668850506257</v>
      </c>
      <c r="BA7" s="2">
        <f t="shared" si="52"/>
        <v>18</v>
      </c>
      <c r="BB7" s="12">
        <f t="shared" si="53"/>
        <v>0.18181818181818182</v>
      </c>
      <c r="BC7" s="6">
        <f t="shared" si="54"/>
        <v>205</v>
      </c>
      <c r="BD7" s="5">
        <f t="shared" si="55"/>
        <v>5.4943418701608104</v>
      </c>
      <c r="BE7" s="6">
        <f t="shared" si="56"/>
        <v>54</v>
      </c>
      <c r="BF7" s="5">
        <f t="shared" si="57"/>
        <v>1.4472900536033353</v>
      </c>
      <c r="BG7" s="21">
        <f t="shared" si="58"/>
        <v>0.26341463414634148</v>
      </c>
      <c r="BH7" s="2">
        <f t="shared" si="59"/>
        <v>4</v>
      </c>
      <c r="BI7" s="2">
        <f t="shared" si="60"/>
        <v>0</v>
      </c>
      <c r="BJ7" s="2">
        <f t="shared" si="61"/>
        <v>4</v>
      </c>
      <c r="BK7" s="2">
        <f t="shared" si="62"/>
        <v>47</v>
      </c>
      <c r="BL7" s="2">
        <f t="shared" si="63"/>
        <v>25</v>
      </c>
      <c r="BM7" s="21">
        <f t="shared" si="64"/>
        <v>0.53191489361702127</v>
      </c>
      <c r="BN7" s="21">
        <f t="shared" si="65"/>
        <v>0.81818181818181823</v>
      </c>
      <c r="BO7" s="6">
        <f t="shared" si="66"/>
        <v>2</v>
      </c>
      <c r="BP7" s="5">
        <f t="shared" si="67"/>
        <v>5.3603335318642052E-2</v>
      </c>
      <c r="BQ7" s="181">
        <f t="shared" si="68"/>
        <v>114</v>
      </c>
      <c r="BR7" s="181">
        <f t="shared" si="69"/>
        <v>20</v>
      </c>
      <c r="BS7" s="182">
        <f t="shared" si="70"/>
        <v>0.17543859649122806</v>
      </c>
      <c r="BT7" s="6">
        <f t="shared" si="71"/>
        <v>1571</v>
      </c>
      <c r="BU7" s="6">
        <f t="shared" si="72"/>
        <v>1370</v>
      </c>
      <c r="BV7" s="5">
        <f t="shared" si="73"/>
        <v>31.331149493746278</v>
      </c>
      <c r="BW7" s="6">
        <f t="shared" si="74"/>
        <v>201</v>
      </c>
      <c r="BX7" s="21">
        <f t="shared" si="75"/>
        <v>0.87205601527689369</v>
      </c>
      <c r="BY7" s="6">
        <f t="shared" si="76"/>
        <v>125</v>
      </c>
      <c r="BZ7" s="5">
        <f t="shared" si="77"/>
        <v>3.3502084574151283</v>
      </c>
      <c r="CA7" s="6">
        <f t="shared" si="78"/>
        <v>19</v>
      </c>
      <c r="CB7" s="6">
        <f t="shared" si="79"/>
        <v>106</v>
      </c>
      <c r="CC7" s="20">
        <f t="shared" si="80"/>
        <v>0.152</v>
      </c>
      <c r="CD7" s="5">
        <f t="shared" si="81"/>
        <v>52.58487194758785</v>
      </c>
      <c r="CE7" s="6">
        <f t="shared" si="82"/>
        <v>2196.27</v>
      </c>
      <c r="CF7" s="5">
        <f t="shared" si="83"/>
        <v>58.863698630136987</v>
      </c>
      <c r="CG7" s="6">
        <f t="shared" si="84"/>
        <v>1550</v>
      </c>
      <c r="CH7" s="5">
        <f t="shared" si="85"/>
        <v>41.542584871947589</v>
      </c>
      <c r="CI7" s="21">
        <f t="shared" si="86"/>
        <v>0.7057420080409057</v>
      </c>
      <c r="CJ7" s="6">
        <f t="shared" si="87"/>
        <v>125.27</v>
      </c>
      <c r="CK7" s="5">
        <f t="shared" si="88"/>
        <v>3.3574449076831447</v>
      </c>
      <c r="CL7" s="6">
        <f t="shared" si="89"/>
        <v>74</v>
      </c>
      <c r="CM7" s="5">
        <f t="shared" si="90"/>
        <v>1.9833234067897558</v>
      </c>
      <c r="CN7" s="5">
        <f t="shared" si="91"/>
        <v>14.8</v>
      </c>
      <c r="CO7" s="21">
        <f t="shared" si="92"/>
        <v>6.7567567567567571E-2</v>
      </c>
      <c r="CP7" s="5">
        <f t="shared" si="93"/>
        <v>0.11175675675675675</v>
      </c>
      <c r="CQ7" s="329">
        <f t="shared" si="94"/>
        <v>0.11175675675675675</v>
      </c>
      <c r="CR7" s="6">
        <f t="shared" si="95"/>
        <v>62</v>
      </c>
      <c r="CS7" s="5">
        <f t="shared" si="96"/>
        <v>1.6617033948779036</v>
      </c>
      <c r="CT7" s="6">
        <f t="shared" si="97"/>
        <v>78</v>
      </c>
      <c r="CU7" s="5">
        <f t="shared" si="98"/>
        <v>2.0905300774270401</v>
      </c>
      <c r="CV7" s="6">
        <f t="shared" si="99"/>
        <v>237</v>
      </c>
      <c r="CW7" s="5">
        <f t="shared" si="100"/>
        <v>6.3519952352590829</v>
      </c>
      <c r="CX7" s="154">
        <f t="shared" si="101"/>
        <v>431.9</v>
      </c>
      <c r="CY7" s="5">
        <f t="shared" si="102"/>
        <v>11.57564026206075</v>
      </c>
      <c r="CZ7" s="183">
        <f t="shared" si="103"/>
        <v>245</v>
      </c>
      <c r="DA7" s="117">
        <f t="shared" si="104"/>
        <v>6.5664085765336511</v>
      </c>
      <c r="DB7" s="117">
        <f t="shared" si="105"/>
        <v>16.2</v>
      </c>
      <c r="DC7" s="117">
        <f t="shared" si="106"/>
        <v>6.86</v>
      </c>
      <c r="DD7" s="311"/>
      <c r="DE7" s="308" t="s">
        <v>618</v>
      </c>
      <c r="DF7" s="308" t="s">
        <v>791</v>
      </c>
      <c r="DG7" s="308">
        <v>27</v>
      </c>
      <c r="DH7" s="308" t="s">
        <v>762</v>
      </c>
      <c r="DI7" s="308" t="s">
        <v>772</v>
      </c>
      <c r="DJ7" s="308" t="s">
        <v>651</v>
      </c>
      <c r="DK7" s="308" t="s">
        <v>763</v>
      </c>
      <c r="DL7" s="308" t="s">
        <v>692</v>
      </c>
      <c r="DM7" s="313">
        <v>47118</v>
      </c>
      <c r="DN7" s="308">
        <v>3358</v>
      </c>
      <c r="DO7" s="308" t="s">
        <v>792</v>
      </c>
      <c r="DP7" s="308">
        <v>1</v>
      </c>
      <c r="DQ7" s="308">
        <v>0</v>
      </c>
      <c r="DR7" s="308">
        <v>8</v>
      </c>
      <c r="DS7" s="308">
        <v>5</v>
      </c>
      <c r="DT7" s="308">
        <v>4</v>
      </c>
      <c r="DU7" s="308">
        <v>0</v>
      </c>
      <c r="DV7" s="308">
        <v>23</v>
      </c>
      <c r="DW7" s="308">
        <v>16.2</v>
      </c>
      <c r="DX7" s="308">
        <v>9.43</v>
      </c>
      <c r="DY7" s="308">
        <v>8.27</v>
      </c>
      <c r="DZ7" s="308">
        <v>22</v>
      </c>
      <c r="EA7" s="308">
        <v>37</v>
      </c>
      <c r="EB7" s="308">
        <v>125</v>
      </c>
      <c r="EC7" s="308">
        <v>19</v>
      </c>
      <c r="ED7" s="308">
        <v>0.1</v>
      </c>
      <c r="EE7" s="308">
        <v>1571</v>
      </c>
      <c r="EF7" s="308">
        <v>1370</v>
      </c>
      <c r="EG7" s="308">
        <v>74</v>
      </c>
      <c r="EH7" s="308">
        <v>101</v>
      </c>
      <c r="EI7" s="308">
        <v>48</v>
      </c>
      <c r="EJ7" s="308">
        <v>72</v>
      </c>
      <c r="EK7" s="308">
        <v>28</v>
      </c>
      <c r="EL7" s="308">
        <v>205</v>
      </c>
      <c r="EM7" s="308">
        <v>54</v>
      </c>
      <c r="EN7" s="308">
        <v>32</v>
      </c>
      <c r="EO7" s="308">
        <v>23</v>
      </c>
      <c r="EP7" s="308">
        <v>2</v>
      </c>
      <c r="EQ7" s="308">
        <v>5</v>
      </c>
      <c r="ER7" s="308">
        <v>46</v>
      </c>
      <c r="ES7" s="308">
        <v>0</v>
      </c>
      <c r="ET7" s="308">
        <v>10</v>
      </c>
      <c r="EU7" s="308">
        <v>12</v>
      </c>
      <c r="EV7" s="308">
        <v>0.7</v>
      </c>
      <c r="EW7" s="308">
        <v>114</v>
      </c>
      <c r="EX7" s="308">
        <v>20</v>
      </c>
      <c r="EY7" s="308">
        <v>3</v>
      </c>
      <c r="EZ7" s="308">
        <v>0</v>
      </c>
      <c r="FA7" s="308">
        <v>0</v>
      </c>
      <c r="FB7" s="308" t="s">
        <v>793</v>
      </c>
      <c r="FC7" s="340">
        <v>6.86</v>
      </c>
    </row>
    <row r="8" spans="1:159" ht="24.95" customHeight="1" thickBot="1" x14ac:dyDescent="0.3">
      <c r="A8" s="29" t="str">
        <f t="shared" si="0"/>
        <v>7º</v>
      </c>
      <c r="B8" s="69" t="str">
        <f t="shared" si="1"/>
        <v>Lucas Silva</v>
      </c>
      <c r="C8" s="86" t="str">
        <f t="shared" si="2"/>
        <v>BRA</v>
      </c>
      <c r="D8" s="99" t="str">
        <f t="shared" si="3"/>
        <v>Pé Direito</v>
      </c>
      <c r="E8" s="28" t="str">
        <f t="shared" si="4"/>
        <v>Cruzeiro</v>
      </c>
      <c r="F8" s="168">
        <f t="shared" si="5"/>
        <v>1.82</v>
      </c>
      <c r="G8" s="36">
        <f t="shared" si="6"/>
        <v>33</v>
      </c>
      <c r="H8" s="342" t="str">
        <f t="shared" si="7"/>
        <v>55,5m € p/m</v>
      </c>
      <c r="I8" s="35">
        <f t="shared" si="8"/>
        <v>46752</v>
      </c>
      <c r="J8" s="28" t="str">
        <f t="shared" si="9"/>
        <v>55m €</v>
      </c>
      <c r="K8" s="96">
        <f t="shared" si="10"/>
        <v>36.659999999999997</v>
      </c>
      <c r="L8" s="146">
        <f t="shared" si="11"/>
        <v>37.1</v>
      </c>
      <c r="M8" s="146">
        <f t="shared" si="12"/>
        <v>52</v>
      </c>
      <c r="N8" s="146">
        <f t="shared" si="13"/>
        <v>64.211538461538467</v>
      </c>
      <c r="O8" s="187">
        <f t="shared" si="14"/>
        <v>1</v>
      </c>
      <c r="P8" s="6">
        <f t="shared" si="15"/>
        <v>3</v>
      </c>
      <c r="Q8" s="6">
        <f t="shared" si="16"/>
        <v>2</v>
      </c>
      <c r="R8" s="6">
        <f t="shared" si="17"/>
        <v>1</v>
      </c>
      <c r="S8" s="21">
        <f t="shared" si="18"/>
        <v>0.66666666666666663</v>
      </c>
      <c r="T8" s="2">
        <f t="shared" si="19"/>
        <v>4</v>
      </c>
      <c r="U8" s="2">
        <f t="shared" si="20"/>
        <v>6</v>
      </c>
      <c r="V8" s="6">
        <f t="shared" si="21"/>
        <v>10</v>
      </c>
      <c r="W8" s="211">
        <f t="shared" si="22"/>
        <v>151</v>
      </c>
      <c r="X8" s="5">
        <f t="shared" si="23"/>
        <v>4.0700808625336924</v>
      </c>
      <c r="Y8" s="6">
        <f t="shared" si="24"/>
        <v>78</v>
      </c>
      <c r="Z8" s="5">
        <f t="shared" si="25"/>
        <v>2.1024258760107815</v>
      </c>
      <c r="AA8" s="6">
        <f t="shared" si="26"/>
        <v>33</v>
      </c>
      <c r="AB8" s="5">
        <f t="shared" si="27"/>
        <v>0.88948787061994605</v>
      </c>
      <c r="AC8" s="21">
        <f t="shared" si="28"/>
        <v>0.42307692307692307</v>
      </c>
      <c r="AD8" s="332">
        <f t="shared" si="29"/>
        <v>4.9382716049382713E-2</v>
      </c>
      <c r="AE8" s="5">
        <f t="shared" si="30"/>
        <v>4.82</v>
      </c>
      <c r="AF8" s="5">
        <f t="shared" si="31"/>
        <v>0.12991913746630729</v>
      </c>
      <c r="AG8" s="5">
        <f t="shared" si="32"/>
        <v>2.4500000000000002</v>
      </c>
      <c r="AH8" s="5">
        <f t="shared" si="33"/>
        <v>6.6037735849056603E-2</v>
      </c>
      <c r="AI8" s="5">
        <f t="shared" si="34"/>
        <v>3.47</v>
      </c>
      <c r="AJ8" s="5">
        <f t="shared" si="35"/>
        <v>9.3530997304582211E-2</v>
      </c>
      <c r="AK8" s="5">
        <f t="shared" si="36"/>
        <v>5.92</v>
      </c>
      <c r="AL8" s="5">
        <f t="shared" si="37"/>
        <v>0.15956873315363881</v>
      </c>
      <c r="AM8" s="2">
        <f t="shared" si="38"/>
        <v>2</v>
      </c>
      <c r="AN8" s="5">
        <f t="shared" si="39"/>
        <v>1669.5</v>
      </c>
      <c r="AO8" s="21">
        <f t="shared" si="40"/>
        <v>5.3908355795148244E-2</v>
      </c>
      <c r="AP8" s="6">
        <f t="shared" si="41"/>
        <v>99</v>
      </c>
      <c r="AQ8" s="5">
        <f t="shared" si="42"/>
        <v>2.6684636118598384</v>
      </c>
      <c r="AR8" s="6">
        <f t="shared" si="43"/>
        <v>87</v>
      </c>
      <c r="AS8" s="5">
        <f t="shared" si="44"/>
        <v>2.3450134770889486</v>
      </c>
      <c r="AT8" s="6">
        <f t="shared" si="45"/>
        <v>47</v>
      </c>
      <c r="AU8" s="5">
        <f t="shared" si="46"/>
        <v>1.2668463611859837</v>
      </c>
      <c r="AV8" s="6">
        <f t="shared" si="47"/>
        <v>40</v>
      </c>
      <c r="AW8" s="5">
        <f t="shared" si="48"/>
        <v>1.0781671159029649</v>
      </c>
      <c r="AX8" s="20">
        <f t="shared" si="49"/>
        <v>0.54022988505747127</v>
      </c>
      <c r="AY8" s="2">
        <f t="shared" si="50"/>
        <v>22</v>
      </c>
      <c r="AZ8" s="5">
        <f t="shared" si="51"/>
        <v>0.59299191374663074</v>
      </c>
      <c r="BA8" s="2">
        <f t="shared" si="52"/>
        <v>20</v>
      </c>
      <c r="BB8" s="12">
        <f t="shared" si="53"/>
        <v>9.0909090909090912E-2</v>
      </c>
      <c r="BC8" s="6">
        <f t="shared" si="54"/>
        <v>263</v>
      </c>
      <c r="BD8" s="5">
        <f t="shared" si="55"/>
        <v>7.0889487870619945</v>
      </c>
      <c r="BE8" s="6">
        <f t="shared" si="56"/>
        <v>64</v>
      </c>
      <c r="BF8" s="5">
        <f t="shared" si="57"/>
        <v>1.7250673854447438</v>
      </c>
      <c r="BG8" s="21">
        <f t="shared" si="58"/>
        <v>0.24334600760456274</v>
      </c>
      <c r="BH8" s="2">
        <f t="shared" si="59"/>
        <v>2</v>
      </c>
      <c r="BI8" s="2">
        <f t="shared" si="60"/>
        <v>0</v>
      </c>
      <c r="BJ8" s="2">
        <f t="shared" si="61"/>
        <v>2</v>
      </c>
      <c r="BK8" s="2">
        <f t="shared" si="62"/>
        <v>74</v>
      </c>
      <c r="BL8" s="2">
        <f t="shared" si="63"/>
        <v>52</v>
      </c>
      <c r="BM8" s="21">
        <f t="shared" si="64"/>
        <v>0.70270270270270274</v>
      </c>
      <c r="BN8" s="21">
        <f t="shared" si="65"/>
        <v>0.90909090909090906</v>
      </c>
      <c r="BO8" s="6">
        <f t="shared" si="66"/>
        <v>5</v>
      </c>
      <c r="BP8" s="5">
        <f t="shared" si="67"/>
        <v>0.13477088948787061</v>
      </c>
      <c r="BQ8" s="181">
        <f t="shared" si="68"/>
        <v>12</v>
      </c>
      <c r="BR8" s="181">
        <f t="shared" si="69"/>
        <v>3</v>
      </c>
      <c r="BS8" s="182">
        <f t="shared" si="70"/>
        <v>0.25</v>
      </c>
      <c r="BT8" s="6">
        <f t="shared" si="71"/>
        <v>2875</v>
      </c>
      <c r="BU8" s="6">
        <f t="shared" si="72"/>
        <v>2623</v>
      </c>
      <c r="BV8" s="5">
        <f t="shared" si="73"/>
        <v>63.908355795148246</v>
      </c>
      <c r="BW8" s="6">
        <f t="shared" si="74"/>
        <v>252</v>
      </c>
      <c r="BX8" s="21">
        <f t="shared" si="75"/>
        <v>0.91234782608695653</v>
      </c>
      <c r="BY8" s="6">
        <f t="shared" si="76"/>
        <v>68</v>
      </c>
      <c r="BZ8" s="5">
        <f t="shared" si="77"/>
        <v>1.8328840970350404</v>
      </c>
      <c r="CA8" s="6">
        <f t="shared" si="78"/>
        <v>26</v>
      </c>
      <c r="CB8" s="6">
        <f t="shared" si="79"/>
        <v>42</v>
      </c>
      <c r="CC8" s="20">
        <f t="shared" si="80"/>
        <v>0.38235294117647056</v>
      </c>
      <c r="CD8" s="5">
        <f t="shared" si="81"/>
        <v>85.660377358490564</v>
      </c>
      <c r="CE8" s="6">
        <f t="shared" si="82"/>
        <v>3463.47</v>
      </c>
      <c r="CF8" s="5">
        <f t="shared" si="83"/>
        <v>93.354986522911048</v>
      </c>
      <c r="CG8" s="6">
        <f t="shared" si="84"/>
        <v>2850.25</v>
      </c>
      <c r="CH8" s="5">
        <f t="shared" si="85"/>
        <v>76.826145552560646</v>
      </c>
      <c r="CI8" s="21">
        <f t="shared" si="86"/>
        <v>0.82294635149142337</v>
      </c>
      <c r="CJ8" s="6">
        <f t="shared" si="87"/>
        <v>64.47</v>
      </c>
      <c r="CK8" s="5">
        <f t="shared" si="88"/>
        <v>1.7377358490566037</v>
      </c>
      <c r="CL8" s="6">
        <f t="shared" si="89"/>
        <v>52</v>
      </c>
      <c r="CM8" s="5">
        <f t="shared" si="90"/>
        <v>1.4016172506738545</v>
      </c>
      <c r="CN8" s="5">
        <f t="shared" si="91"/>
        <v>8.6666666666666661</v>
      </c>
      <c r="CO8" s="21">
        <f t="shared" si="92"/>
        <v>0.11538461538461539</v>
      </c>
      <c r="CP8" s="5">
        <f t="shared" si="93"/>
        <v>6.6730769230769232E-2</v>
      </c>
      <c r="CQ8" s="329">
        <f t="shared" si="94"/>
        <v>6.6730769230769232E-2</v>
      </c>
      <c r="CR8" s="6">
        <f t="shared" si="95"/>
        <v>167.5</v>
      </c>
      <c r="CS8" s="5">
        <f t="shared" si="96"/>
        <v>4.5148247978436657</v>
      </c>
      <c r="CT8" s="6">
        <f t="shared" si="97"/>
        <v>113.5</v>
      </c>
      <c r="CU8" s="5">
        <f t="shared" si="98"/>
        <v>3.059299191374663</v>
      </c>
      <c r="CV8" s="6">
        <f t="shared" si="99"/>
        <v>147</v>
      </c>
      <c r="CW8" s="5">
        <f t="shared" si="100"/>
        <v>3.9622641509433962</v>
      </c>
      <c r="CX8" s="154">
        <f t="shared" si="101"/>
        <v>442.1</v>
      </c>
      <c r="CY8" s="5">
        <f t="shared" si="102"/>
        <v>11.916442048517521</v>
      </c>
      <c r="CZ8" s="183">
        <f t="shared" si="103"/>
        <v>298</v>
      </c>
      <c r="DA8" s="117">
        <f t="shared" si="104"/>
        <v>8.0323450134770891</v>
      </c>
      <c r="DB8" s="117">
        <f t="shared" si="105"/>
        <v>7.3</v>
      </c>
      <c r="DC8" s="117">
        <f t="shared" si="106"/>
        <v>6.9</v>
      </c>
      <c r="DD8" s="312" t="s">
        <v>19</v>
      </c>
      <c r="DE8" s="309" t="s">
        <v>13</v>
      </c>
      <c r="DF8" s="309" t="s">
        <v>670</v>
      </c>
      <c r="DG8" s="309">
        <v>33</v>
      </c>
      <c r="DH8" s="309" t="s">
        <v>581</v>
      </c>
      <c r="DI8" s="309" t="s">
        <v>546</v>
      </c>
      <c r="DJ8" s="309" t="s">
        <v>643</v>
      </c>
      <c r="DK8" s="309" t="s">
        <v>672</v>
      </c>
      <c r="DL8" s="309" t="s">
        <v>673</v>
      </c>
      <c r="DM8" s="314">
        <v>46752</v>
      </c>
      <c r="DN8" s="309">
        <v>3339</v>
      </c>
      <c r="DO8" s="309" t="s">
        <v>778</v>
      </c>
      <c r="DP8" s="309">
        <v>2</v>
      </c>
      <c r="DQ8" s="309">
        <v>0</v>
      </c>
      <c r="DR8" s="309">
        <v>4</v>
      </c>
      <c r="DS8" s="309">
        <v>6</v>
      </c>
      <c r="DT8" s="309">
        <v>2</v>
      </c>
      <c r="DU8" s="309">
        <v>0</v>
      </c>
      <c r="DV8" s="309">
        <v>6</v>
      </c>
      <c r="DW8" s="309">
        <v>7.3</v>
      </c>
      <c r="DX8" s="309">
        <v>4.82</v>
      </c>
      <c r="DY8" s="309">
        <v>3.47</v>
      </c>
      <c r="DZ8" s="309">
        <v>22</v>
      </c>
      <c r="EA8" s="309">
        <v>11</v>
      </c>
      <c r="EB8" s="309">
        <v>68</v>
      </c>
      <c r="EC8" s="309">
        <v>26</v>
      </c>
      <c r="ED8" s="309">
        <v>0.2</v>
      </c>
      <c r="EE8" s="309">
        <v>2875</v>
      </c>
      <c r="EF8" s="309">
        <v>2623</v>
      </c>
      <c r="EG8" s="309">
        <v>52</v>
      </c>
      <c r="EH8" s="309">
        <v>372</v>
      </c>
      <c r="EI8" s="309">
        <v>5</v>
      </c>
      <c r="EJ8" s="309">
        <v>81</v>
      </c>
      <c r="EK8" s="309">
        <v>35</v>
      </c>
      <c r="EL8" s="309">
        <v>263</v>
      </c>
      <c r="EM8" s="309">
        <v>64</v>
      </c>
      <c r="EN8" s="309">
        <v>65</v>
      </c>
      <c r="EO8" s="309">
        <v>47</v>
      </c>
      <c r="EP8" s="309">
        <v>5</v>
      </c>
      <c r="EQ8" s="309">
        <v>26</v>
      </c>
      <c r="ER8" s="309">
        <v>99</v>
      </c>
      <c r="ES8" s="309">
        <v>23</v>
      </c>
      <c r="ET8" s="309">
        <v>17</v>
      </c>
      <c r="EU8" s="309">
        <v>7.2</v>
      </c>
      <c r="EV8" s="309">
        <v>1.9</v>
      </c>
      <c r="EW8" s="309">
        <v>12</v>
      </c>
      <c r="EX8" s="309">
        <v>3</v>
      </c>
      <c r="EY8" s="309">
        <v>1</v>
      </c>
      <c r="EZ8" s="309">
        <v>3</v>
      </c>
      <c r="FA8" s="309">
        <v>2</v>
      </c>
      <c r="FB8" s="309" t="s">
        <v>671</v>
      </c>
      <c r="FC8" s="341">
        <v>6.9</v>
      </c>
    </row>
    <row r="9" spans="1:159" ht="24.95" customHeight="1" thickBot="1" x14ac:dyDescent="0.3">
      <c r="A9" s="29" t="str">
        <f t="shared" si="0"/>
        <v>8º</v>
      </c>
      <c r="B9" s="69" t="str">
        <f t="shared" si="1"/>
        <v>Marcelino Moreno</v>
      </c>
      <c r="C9" s="86" t="str">
        <f t="shared" si="2"/>
        <v>ARG</v>
      </c>
      <c r="D9" s="99" t="str">
        <f t="shared" si="3"/>
        <v>Pé Direito</v>
      </c>
      <c r="E9" s="28" t="str">
        <f t="shared" si="4"/>
        <v>Lanús</v>
      </c>
      <c r="F9" s="168">
        <f t="shared" si="5"/>
        <v>1.68</v>
      </c>
      <c r="G9" s="36">
        <f t="shared" si="6"/>
        <v>31</v>
      </c>
      <c r="H9" s="342" t="str">
        <f t="shared" si="7"/>
        <v>41m € p/m</v>
      </c>
      <c r="I9" s="35">
        <f t="shared" si="8"/>
        <v>46752</v>
      </c>
      <c r="J9" s="28" t="str">
        <f t="shared" si="9"/>
        <v>Não está à venda</v>
      </c>
      <c r="K9" s="96">
        <f t="shared" si="10"/>
        <v>36.659999999999997</v>
      </c>
      <c r="L9" s="146">
        <f t="shared" si="11"/>
        <v>33.833333333333336</v>
      </c>
      <c r="M9" s="146">
        <f t="shared" si="12"/>
        <v>36</v>
      </c>
      <c r="N9" s="146">
        <f t="shared" si="13"/>
        <v>84.583333333333329</v>
      </c>
      <c r="O9" s="187">
        <f t="shared" si="14"/>
        <v>1</v>
      </c>
      <c r="P9" s="6">
        <f t="shared" si="15"/>
        <v>0</v>
      </c>
      <c r="Q9" s="6">
        <f t="shared" si="16"/>
        <v>0</v>
      </c>
      <c r="R9" s="6">
        <f t="shared" si="17"/>
        <v>0</v>
      </c>
      <c r="S9" s="21">
        <f t="shared" si="18"/>
        <v>9.9999999999999995E-8</v>
      </c>
      <c r="T9" s="2">
        <f t="shared" si="19"/>
        <v>4</v>
      </c>
      <c r="U9" s="2">
        <f t="shared" si="20"/>
        <v>7</v>
      </c>
      <c r="V9" s="6">
        <f t="shared" si="21"/>
        <v>11</v>
      </c>
      <c r="W9" s="211">
        <f t="shared" si="22"/>
        <v>64</v>
      </c>
      <c r="X9" s="5">
        <f t="shared" si="23"/>
        <v>1.8916256157635467</v>
      </c>
      <c r="Y9" s="6">
        <f t="shared" si="24"/>
        <v>66</v>
      </c>
      <c r="Z9" s="5">
        <f t="shared" si="25"/>
        <v>1.9507389162561575</v>
      </c>
      <c r="AA9" s="6">
        <f t="shared" si="26"/>
        <v>28</v>
      </c>
      <c r="AB9" s="5">
        <f t="shared" si="27"/>
        <v>0.82758620689655171</v>
      </c>
      <c r="AC9" s="21">
        <f t="shared" si="28"/>
        <v>0.42424242424242425</v>
      </c>
      <c r="AD9" s="332">
        <f t="shared" si="29"/>
        <v>6.0606060606060608E-2</v>
      </c>
      <c r="AE9" s="5">
        <f t="shared" si="30"/>
        <v>8.27</v>
      </c>
      <c r="AF9" s="5">
        <f t="shared" si="31"/>
        <v>0.24443349753694579</v>
      </c>
      <c r="AG9" s="5">
        <f t="shared" si="32"/>
        <v>8.27</v>
      </c>
      <c r="AH9" s="5">
        <f t="shared" si="33"/>
        <v>0.24443349753694579</v>
      </c>
      <c r="AI9" s="5">
        <f t="shared" si="34"/>
        <v>6.32</v>
      </c>
      <c r="AJ9" s="5">
        <f t="shared" si="35"/>
        <v>0.18679802955665023</v>
      </c>
      <c r="AK9" s="5">
        <f t="shared" si="36"/>
        <v>14.59</v>
      </c>
      <c r="AL9" s="5">
        <f t="shared" si="37"/>
        <v>0.43123152709359602</v>
      </c>
      <c r="AM9" s="2">
        <f t="shared" si="38"/>
        <v>4</v>
      </c>
      <c r="AN9" s="5">
        <f t="shared" si="39"/>
        <v>761.25</v>
      </c>
      <c r="AO9" s="21">
        <f t="shared" si="40"/>
        <v>0.11822660098522167</v>
      </c>
      <c r="AP9" s="6">
        <f t="shared" si="41"/>
        <v>39</v>
      </c>
      <c r="AQ9" s="5">
        <f t="shared" si="42"/>
        <v>1.1527093596059113</v>
      </c>
      <c r="AR9" s="6">
        <f t="shared" si="43"/>
        <v>44</v>
      </c>
      <c r="AS9" s="5">
        <f t="shared" si="44"/>
        <v>1.3004926108374384</v>
      </c>
      <c r="AT9" s="6">
        <f t="shared" si="45"/>
        <v>22</v>
      </c>
      <c r="AU9" s="5">
        <f t="shared" si="46"/>
        <v>0.65024630541871919</v>
      </c>
      <c r="AV9" s="6">
        <f t="shared" si="47"/>
        <v>22</v>
      </c>
      <c r="AW9" s="5">
        <f t="shared" si="48"/>
        <v>0.65024630541871919</v>
      </c>
      <c r="AX9" s="20">
        <f t="shared" si="49"/>
        <v>0.5</v>
      </c>
      <c r="AY9" s="2">
        <f t="shared" si="50"/>
        <v>17</v>
      </c>
      <c r="AZ9" s="5">
        <f t="shared" si="51"/>
        <v>0.50246305418719206</v>
      </c>
      <c r="BA9" s="2">
        <f t="shared" si="52"/>
        <v>16</v>
      </c>
      <c r="BB9" s="12">
        <f t="shared" si="53"/>
        <v>5.8823529411764705E-2</v>
      </c>
      <c r="BC9" s="6">
        <f t="shared" si="54"/>
        <v>197</v>
      </c>
      <c r="BD9" s="5">
        <f t="shared" si="55"/>
        <v>5.8226600985221673</v>
      </c>
      <c r="BE9" s="6">
        <f t="shared" si="56"/>
        <v>42</v>
      </c>
      <c r="BF9" s="5">
        <f t="shared" si="57"/>
        <v>1.2413793103448274</v>
      </c>
      <c r="BG9" s="21">
        <f t="shared" si="58"/>
        <v>0.21319796954314721</v>
      </c>
      <c r="BH9" s="2">
        <f t="shared" si="59"/>
        <v>1</v>
      </c>
      <c r="BI9" s="2">
        <f t="shared" si="60"/>
        <v>0</v>
      </c>
      <c r="BJ9" s="2">
        <f t="shared" si="61"/>
        <v>1</v>
      </c>
      <c r="BK9" s="2">
        <f t="shared" si="62"/>
        <v>42</v>
      </c>
      <c r="BL9" s="2">
        <f t="shared" si="63"/>
        <v>25</v>
      </c>
      <c r="BM9" s="21">
        <f t="shared" si="64"/>
        <v>0.59523809523809523</v>
      </c>
      <c r="BN9" s="21">
        <f t="shared" si="65"/>
        <v>0.94117647058823528</v>
      </c>
      <c r="BO9" s="6">
        <f t="shared" si="66"/>
        <v>3</v>
      </c>
      <c r="BP9" s="5">
        <f t="shared" si="67"/>
        <v>8.8669950738916245E-2</v>
      </c>
      <c r="BQ9" s="181">
        <f t="shared" si="68"/>
        <v>72</v>
      </c>
      <c r="BR9" s="181">
        <f t="shared" si="69"/>
        <v>13</v>
      </c>
      <c r="BS9" s="182">
        <f t="shared" si="70"/>
        <v>0.18055555555555555</v>
      </c>
      <c r="BT9" s="6">
        <f t="shared" si="71"/>
        <v>1583</v>
      </c>
      <c r="BU9" s="6">
        <f t="shared" si="72"/>
        <v>1442</v>
      </c>
      <c r="BV9" s="5">
        <f t="shared" si="73"/>
        <v>38.453201970443345</v>
      </c>
      <c r="BW9" s="6">
        <f t="shared" si="74"/>
        <v>141</v>
      </c>
      <c r="BX9" s="21">
        <f t="shared" si="75"/>
        <v>0.91092861655085278</v>
      </c>
      <c r="BY9" s="6">
        <f t="shared" si="76"/>
        <v>82</v>
      </c>
      <c r="BZ9" s="5">
        <f t="shared" si="77"/>
        <v>2.423645320197044</v>
      </c>
      <c r="CA9" s="6">
        <f t="shared" si="78"/>
        <v>23</v>
      </c>
      <c r="CB9" s="6">
        <f t="shared" si="79"/>
        <v>59</v>
      </c>
      <c r="CC9" s="20">
        <f t="shared" si="80"/>
        <v>0.28048780487804881</v>
      </c>
      <c r="CD9" s="5">
        <f t="shared" si="81"/>
        <v>56.66009852216748</v>
      </c>
      <c r="CE9" s="6">
        <f t="shared" si="82"/>
        <v>2092.3199999999997</v>
      </c>
      <c r="CF9" s="5">
        <f t="shared" si="83"/>
        <v>61.841970443349737</v>
      </c>
      <c r="CG9" s="6">
        <f t="shared" si="84"/>
        <v>1597</v>
      </c>
      <c r="CH9" s="5">
        <f t="shared" si="85"/>
        <v>47.201970443349751</v>
      </c>
      <c r="CI9" s="21">
        <f t="shared" si="86"/>
        <v>0.76326756901430004</v>
      </c>
      <c r="CJ9" s="6">
        <f t="shared" si="87"/>
        <v>100.32</v>
      </c>
      <c r="CK9" s="5">
        <f t="shared" si="88"/>
        <v>2.9651231527093591</v>
      </c>
      <c r="CL9" s="6">
        <f t="shared" si="89"/>
        <v>69</v>
      </c>
      <c r="CM9" s="5">
        <f t="shared" si="90"/>
        <v>2.0394088669950738</v>
      </c>
      <c r="CN9" s="5">
        <f t="shared" si="91"/>
        <v>9.8571428571428577</v>
      </c>
      <c r="CO9" s="21">
        <f t="shared" si="92"/>
        <v>0.10144927536231885</v>
      </c>
      <c r="CP9" s="5">
        <f t="shared" si="93"/>
        <v>9.1594202898550733E-2</v>
      </c>
      <c r="CQ9" s="329">
        <f t="shared" si="94"/>
        <v>9.1594202898550733E-2</v>
      </c>
      <c r="CR9" s="6">
        <f t="shared" si="95"/>
        <v>71.5</v>
      </c>
      <c r="CS9" s="5">
        <f t="shared" si="96"/>
        <v>2.1133004926108372</v>
      </c>
      <c r="CT9" s="6">
        <f t="shared" si="97"/>
        <v>65.5</v>
      </c>
      <c r="CU9" s="5">
        <f t="shared" si="98"/>
        <v>1.9359605911330049</v>
      </c>
      <c r="CV9" s="6">
        <f t="shared" si="99"/>
        <v>227</v>
      </c>
      <c r="CW9" s="5">
        <f t="shared" si="100"/>
        <v>6.7093596059113292</v>
      </c>
      <c r="CX9" s="154">
        <f t="shared" si="101"/>
        <v>420.5</v>
      </c>
      <c r="CY9" s="5">
        <f t="shared" si="102"/>
        <v>12.428571428571427</v>
      </c>
      <c r="CZ9" s="183">
        <f t="shared" si="103"/>
        <v>179</v>
      </c>
      <c r="DA9" s="117">
        <f t="shared" si="104"/>
        <v>5.2906403940886699</v>
      </c>
      <c r="DB9" s="117">
        <f t="shared" si="105"/>
        <v>16.3</v>
      </c>
      <c r="DC9" s="117">
        <f t="shared" si="106"/>
        <v>6.94</v>
      </c>
      <c r="DD9" s="311"/>
      <c r="DE9" s="308" t="s">
        <v>478</v>
      </c>
      <c r="DF9" s="308" t="s">
        <v>796</v>
      </c>
      <c r="DG9" s="308">
        <v>31</v>
      </c>
      <c r="DH9" s="308" t="s">
        <v>766</v>
      </c>
      <c r="DI9" s="308" t="s">
        <v>723</v>
      </c>
      <c r="DJ9" s="308" t="s">
        <v>643</v>
      </c>
      <c r="DK9" s="308" t="s">
        <v>413</v>
      </c>
      <c r="DL9" s="308" t="s">
        <v>659</v>
      </c>
      <c r="DM9" s="313">
        <v>46752</v>
      </c>
      <c r="DN9" s="308">
        <v>3045</v>
      </c>
      <c r="DO9" s="308">
        <v>36</v>
      </c>
      <c r="DP9" s="308">
        <v>4</v>
      </c>
      <c r="DQ9" s="308">
        <v>0</v>
      </c>
      <c r="DR9" s="308">
        <v>4</v>
      </c>
      <c r="DS9" s="308">
        <v>7</v>
      </c>
      <c r="DT9" s="308">
        <v>1</v>
      </c>
      <c r="DU9" s="308">
        <v>0</v>
      </c>
      <c r="DV9" s="308">
        <v>12</v>
      </c>
      <c r="DW9" s="308">
        <v>16.3</v>
      </c>
      <c r="DX9" s="308">
        <v>8.27</v>
      </c>
      <c r="DY9" s="308">
        <v>6.32</v>
      </c>
      <c r="DZ9" s="308">
        <v>17</v>
      </c>
      <c r="EA9" s="308">
        <v>29</v>
      </c>
      <c r="EB9" s="308">
        <v>82</v>
      </c>
      <c r="EC9" s="308">
        <v>23</v>
      </c>
      <c r="ED9" s="308">
        <v>0</v>
      </c>
      <c r="EE9" s="308">
        <v>1583</v>
      </c>
      <c r="EF9" s="308">
        <v>1442</v>
      </c>
      <c r="EG9" s="308">
        <v>69</v>
      </c>
      <c r="EH9" s="308">
        <v>90</v>
      </c>
      <c r="EI9" s="308">
        <v>67</v>
      </c>
      <c r="EJ9" s="308">
        <v>66</v>
      </c>
      <c r="EK9" s="308">
        <v>28</v>
      </c>
      <c r="EL9" s="308">
        <v>197</v>
      </c>
      <c r="EM9" s="308">
        <v>42</v>
      </c>
      <c r="EN9" s="308">
        <v>27</v>
      </c>
      <c r="EO9" s="308">
        <v>22</v>
      </c>
      <c r="EP9" s="308">
        <v>3</v>
      </c>
      <c r="EQ9" s="308">
        <v>7</v>
      </c>
      <c r="ER9" s="308">
        <v>39</v>
      </c>
      <c r="ES9" s="308">
        <v>2</v>
      </c>
      <c r="ET9" s="308">
        <v>22</v>
      </c>
      <c r="EU9" s="308">
        <v>8.4</v>
      </c>
      <c r="EV9" s="308">
        <v>0.6</v>
      </c>
      <c r="EW9" s="308">
        <v>72</v>
      </c>
      <c r="EX9" s="308">
        <v>13</v>
      </c>
      <c r="EY9" s="308">
        <v>1</v>
      </c>
      <c r="EZ9" s="308">
        <v>0</v>
      </c>
      <c r="FA9" s="308">
        <v>0</v>
      </c>
      <c r="FB9" s="308" t="s">
        <v>797</v>
      </c>
      <c r="FC9" s="340">
        <v>6.94</v>
      </c>
    </row>
    <row r="10" spans="1:159" ht="24.95" customHeight="1" thickBot="1" x14ac:dyDescent="0.3">
      <c r="A10" s="29" t="str">
        <f t="shared" si="0"/>
        <v>9º</v>
      </c>
      <c r="B10" s="69" t="str">
        <f t="shared" si="1"/>
        <v>Neto Moura</v>
      </c>
      <c r="C10" s="86" t="str">
        <f t="shared" si="2"/>
        <v>BRA</v>
      </c>
      <c r="D10" s="99" t="str">
        <f t="shared" si="3"/>
        <v>Pé Direito</v>
      </c>
      <c r="E10" s="28" t="str">
        <f t="shared" si="4"/>
        <v>Mirassol</v>
      </c>
      <c r="F10" s="168">
        <f t="shared" si="5"/>
        <v>1.76</v>
      </c>
      <c r="G10" s="36">
        <f t="shared" si="6"/>
        <v>30</v>
      </c>
      <c r="H10" s="342" t="str">
        <f t="shared" si="7"/>
        <v>10,75m € p/m</v>
      </c>
      <c r="I10" s="35">
        <f t="shared" si="8"/>
        <v>47118</v>
      </c>
      <c r="J10" s="28" t="str">
        <f t="shared" si="9"/>
        <v>130m € - 1,3M €</v>
      </c>
      <c r="K10" s="96">
        <f t="shared" si="10"/>
        <v>36.659999999999997</v>
      </c>
      <c r="L10" s="146">
        <f t="shared" si="11"/>
        <v>36.911111111111111</v>
      </c>
      <c r="M10" s="146">
        <f t="shared" si="12"/>
        <v>40</v>
      </c>
      <c r="N10" s="146">
        <f t="shared" si="13"/>
        <v>83.05</v>
      </c>
      <c r="O10" s="187">
        <f t="shared" si="14"/>
        <v>1</v>
      </c>
      <c r="P10" s="6">
        <f t="shared" si="15"/>
        <v>0</v>
      </c>
      <c r="Q10" s="6">
        <f t="shared" si="16"/>
        <v>0</v>
      </c>
      <c r="R10" s="6">
        <f t="shared" si="17"/>
        <v>0</v>
      </c>
      <c r="S10" s="21">
        <f t="shared" si="18"/>
        <v>9.9999999999999995E-8</v>
      </c>
      <c r="T10" s="2">
        <f t="shared" si="19"/>
        <v>3</v>
      </c>
      <c r="U10" s="2">
        <f t="shared" si="20"/>
        <v>4</v>
      </c>
      <c r="V10" s="6">
        <f t="shared" si="21"/>
        <v>7</v>
      </c>
      <c r="W10" s="211">
        <f t="shared" si="22"/>
        <v>185</v>
      </c>
      <c r="X10" s="5">
        <f t="shared" si="23"/>
        <v>5.0120409391932572</v>
      </c>
      <c r="Y10" s="6">
        <f t="shared" si="24"/>
        <v>42</v>
      </c>
      <c r="Z10" s="5">
        <f t="shared" si="25"/>
        <v>1.1378687537627934</v>
      </c>
      <c r="AA10" s="6">
        <f t="shared" si="26"/>
        <v>19</v>
      </c>
      <c r="AB10" s="5">
        <f t="shared" si="27"/>
        <v>0.51475015051173989</v>
      </c>
      <c r="AC10" s="21">
        <f t="shared" si="28"/>
        <v>0.45238095238095238</v>
      </c>
      <c r="AD10" s="332">
        <f t="shared" si="29"/>
        <v>7.1428571428571425E-2</v>
      </c>
      <c r="AE10" s="5">
        <f t="shared" si="30"/>
        <v>3.07</v>
      </c>
      <c r="AF10" s="5">
        <f t="shared" si="31"/>
        <v>8.3172787477423238E-2</v>
      </c>
      <c r="AG10" s="5">
        <f t="shared" si="32"/>
        <v>3.07</v>
      </c>
      <c r="AH10" s="5">
        <f t="shared" si="33"/>
        <v>8.3172787477423238E-2</v>
      </c>
      <c r="AI10" s="5">
        <f t="shared" si="34"/>
        <v>2.79</v>
      </c>
      <c r="AJ10" s="5">
        <f t="shared" si="35"/>
        <v>7.5586995785671282E-2</v>
      </c>
      <c r="AK10" s="5">
        <f t="shared" si="36"/>
        <v>5.8599999999999994</v>
      </c>
      <c r="AL10" s="5">
        <f t="shared" si="37"/>
        <v>0.15875978326309451</v>
      </c>
      <c r="AM10" s="2">
        <f t="shared" si="38"/>
        <v>0</v>
      </c>
      <c r="AN10" s="5">
        <f t="shared" si="39"/>
        <v>5000</v>
      </c>
      <c r="AO10" s="21">
        <f t="shared" si="40"/>
        <v>0</v>
      </c>
      <c r="AP10" s="6">
        <f t="shared" si="41"/>
        <v>134</v>
      </c>
      <c r="AQ10" s="5">
        <f t="shared" si="42"/>
        <v>3.6303431667670076</v>
      </c>
      <c r="AR10" s="6">
        <f t="shared" si="43"/>
        <v>133</v>
      </c>
      <c r="AS10" s="5">
        <f t="shared" si="44"/>
        <v>3.6032510535821793</v>
      </c>
      <c r="AT10" s="6">
        <f t="shared" si="45"/>
        <v>47</v>
      </c>
      <c r="AU10" s="5">
        <f t="shared" si="46"/>
        <v>1.2733293196869355</v>
      </c>
      <c r="AV10" s="6">
        <f t="shared" si="47"/>
        <v>86</v>
      </c>
      <c r="AW10" s="5">
        <f t="shared" si="48"/>
        <v>2.3299217338952438</v>
      </c>
      <c r="AX10" s="20">
        <f t="shared" si="49"/>
        <v>0.35338345864661652</v>
      </c>
      <c r="AY10" s="2">
        <f t="shared" si="50"/>
        <v>47</v>
      </c>
      <c r="AZ10" s="5">
        <f t="shared" si="51"/>
        <v>1.2733293196869355</v>
      </c>
      <c r="BA10" s="2">
        <f t="shared" si="52"/>
        <v>40</v>
      </c>
      <c r="BB10" s="12">
        <f t="shared" si="53"/>
        <v>0.14893617021276595</v>
      </c>
      <c r="BC10" s="6">
        <f t="shared" si="54"/>
        <v>299</v>
      </c>
      <c r="BD10" s="5">
        <f t="shared" si="55"/>
        <v>8.1005418422636968</v>
      </c>
      <c r="BE10" s="6">
        <f t="shared" si="56"/>
        <v>77</v>
      </c>
      <c r="BF10" s="5">
        <f t="shared" si="57"/>
        <v>2.0860927152317879</v>
      </c>
      <c r="BG10" s="21">
        <f t="shared" si="58"/>
        <v>0.25752508361204013</v>
      </c>
      <c r="BH10" s="2">
        <f t="shared" si="59"/>
        <v>7</v>
      </c>
      <c r="BI10" s="2">
        <f t="shared" si="60"/>
        <v>0</v>
      </c>
      <c r="BJ10" s="2">
        <f t="shared" si="61"/>
        <v>7</v>
      </c>
      <c r="BK10" s="2">
        <f t="shared" si="62"/>
        <v>98</v>
      </c>
      <c r="BL10" s="2">
        <f t="shared" si="63"/>
        <v>51</v>
      </c>
      <c r="BM10" s="21">
        <f t="shared" si="64"/>
        <v>0.52040816326530615</v>
      </c>
      <c r="BN10" s="21">
        <f t="shared" si="65"/>
        <v>0.85106382978723405</v>
      </c>
      <c r="BO10" s="6">
        <f t="shared" si="66"/>
        <v>4</v>
      </c>
      <c r="BP10" s="5">
        <f t="shared" si="67"/>
        <v>0.10836845273931367</v>
      </c>
      <c r="BQ10" s="181">
        <f t="shared" si="68"/>
        <v>14</v>
      </c>
      <c r="BR10" s="181">
        <f t="shared" si="69"/>
        <v>6</v>
      </c>
      <c r="BS10" s="182">
        <f t="shared" si="70"/>
        <v>0.42857142857142855</v>
      </c>
      <c r="BT10" s="6">
        <f t="shared" si="71"/>
        <v>1995</v>
      </c>
      <c r="BU10" s="6">
        <f t="shared" si="72"/>
        <v>1814</v>
      </c>
      <c r="BV10" s="5">
        <f t="shared" si="73"/>
        <v>44.241420830824801</v>
      </c>
      <c r="BW10" s="6">
        <f t="shared" si="74"/>
        <v>181</v>
      </c>
      <c r="BX10" s="21">
        <f t="shared" si="75"/>
        <v>0.90927318295739346</v>
      </c>
      <c r="BY10" s="6">
        <f t="shared" si="76"/>
        <v>70</v>
      </c>
      <c r="BZ10" s="5">
        <f t="shared" si="77"/>
        <v>1.8964479229379891</v>
      </c>
      <c r="CA10" s="6">
        <f t="shared" si="78"/>
        <v>33</v>
      </c>
      <c r="CB10" s="6">
        <f t="shared" si="79"/>
        <v>37</v>
      </c>
      <c r="CC10" s="20">
        <f t="shared" si="80"/>
        <v>0.47142857142857142</v>
      </c>
      <c r="CD10" s="5">
        <f t="shared" si="81"/>
        <v>62.555689343768812</v>
      </c>
      <c r="CE10" s="6">
        <f t="shared" si="82"/>
        <v>2653.79</v>
      </c>
      <c r="CF10" s="5">
        <f t="shared" si="83"/>
        <v>71.896779048765808</v>
      </c>
      <c r="CG10" s="6">
        <f t="shared" si="84"/>
        <v>2049</v>
      </c>
      <c r="CH10" s="5">
        <f t="shared" si="85"/>
        <v>55.511739915713427</v>
      </c>
      <c r="CI10" s="21">
        <f t="shared" si="86"/>
        <v>0.77210329377983944</v>
      </c>
      <c r="CJ10" s="6">
        <f t="shared" si="87"/>
        <v>50.79</v>
      </c>
      <c r="CK10" s="5">
        <f t="shared" si="88"/>
        <v>1.3760084286574352</v>
      </c>
      <c r="CL10" s="6">
        <f t="shared" si="89"/>
        <v>35</v>
      </c>
      <c r="CM10" s="5">
        <f t="shared" si="90"/>
        <v>0.94822396146899457</v>
      </c>
      <c r="CN10" s="5">
        <f t="shared" si="91"/>
        <v>8.75</v>
      </c>
      <c r="CO10" s="21">
        <f t="shared" si="92"/>
        <v>0.11428571428571428</v>
      </c>
      <c r="CP10" s="5">
        <f t="shared" si="93"/>
        <v>7.971428571428571E-2</v>
      </c>
      <c r="CQ10" s="329">
        <f t="shared" si="94"/>
        <v>7.971428571428571E-2</v>
      </c>
      <c r="CR10" s="6">
        <f t="shared" si="95"/>
        <v>214</v>
      </c>
      <c r="CS10" s="5">
        <f t="shared" si="96"/>
        <v>5.7977122215532813</v>
      </c>
      <c r="CT10" s="6">
        <f t="shared" si="97"/>
        <v>126</v>
      </c>
      <c r="CU10" s="5">
        <f t="shared" si="98"/>
        <v>3.4136062612883804</v>
      </c>
      <c r="CV10" s="6">
        <f t="shared" si="99"/>
        <v>95</v>
      </c>
      <c r="CW10" s="5">
        <f t="shared" si="100"/>
        <v>2.5737507525586993</v>
      </c>
      <c r="CX10" s="154">
        <f t="shared" si="101"/>
        <v>440.7</v>
      </c>
      <c r="CY10" s="5">
        <f t="shared" si="102"/>
        <v>11.939494280553882</v>
      </c>
      <c r="CZ10" s="183">
        <f t="shared" si="103"/>
        <v>204</v>
      </c>
      <c r="DA10" s="117">
        <f t="shared" si="104"/>
        <v>5.5267910897049966</v>
      </c>
      <c r="DB10" s="117">
        <f t="shared" si="105"/>
        <v>6.3</v>
      </c>
      <c r="DC10" s="117">
        <f t="shared" si="106"/>
        <v>6.82</v>
      </c>
      <c r="DD10" s="312"/>
      <c r="DE10" s="309" t="s">
        <v>13</v>
      </c>
      <c r="DF10" s="309" t="s">
        <v>675</v>
      </c>
      <c r="DG10" s="309">
        <v>30</v>
      </c>
      <c r="DH10" s="309" t="s">
        <v>660</v>
      </c>
      <c r="DI10" s="309" t="s">
        <v>579</v>
      </c>
      <c r="DJ10" s="309" t="s">
        <v>643</v>
      </c>
      <c r="DK10" s="309" t="s">
        <v>661</v>
      </c>
      <c r="DL10" s="309" t="s">
        <v>677</v>
      </c>
      <c r="DM10" s="314">
        <v>47118</v>
      </c>
      <c r="DN10" s="309">
        <v>3322</v>
      </c>
      <c r="DO10" s="309" t="s">
        <v>694</v>
      </c>
      <c r="DP10" s="309">
        <v>0</v>
      </c>
      <c r="DQ10" s="309">
        <v>0</v>
      </c>
      <c r="DR10" s="309">
        <v>3</v>
      </c>
      <c r="DS10" s="309">
        <v>4</v>
      </c>
      <c r="DT10" s="309">
        <v>7</v>
      </c>
      <c r="DU10" s="309">
        <v>0</v>
      </c>
      <c r="DV10" s="309">
        <v>7</v>
      </c>
      <c r="DW10" s="309">
        <v>6.3</v>
      </c>
      <c r="DX10" s="309">
        <v>3.07</v>
      </c>
      <c r="DY10" s="309">
        <v>2.79</v>
      </c>
      <c r="DZ10" s="309">
        <v>47</v>
      </c>
      <c r="EA10" s="309">
        <v>5</v>
      </c>
      <c r="EB10" s="309">
        <v>70</v>
      </c>
      <c r="EC10" s="309">
        <v>33</v>
      </c>
      <c r="ED10" s="309">
        <v>0.1</v>
      </c>
      <c r="EE10" s="309">
        <v>1995</v>
      </c>
      <c r="EF10" s="309">
        <v>1814</v>
      </c>
      <c r="EG10" s="309">
        <v>35</v>
      </c>
      <c r="EH10" s="309">
        <v>175</v>
      </c>
      <c r="EI10" s="309">
        <v>5</v>
      </c>
      <c r="EJ10" s="309">
        <v>42</v>
      </c>
      <c r="EK10" s="309">
        <v>19</v>
      </c>
      <c r="EL10" s="309">
        <v>299</v>
      </c>
      <c r="EM10" s="309">
        <v>77</v>
      </c>
      <c r="EN10" s="309">
        <v>86</v>
      </c>
      <c r="EO10" s="309">
        <v>47</v>
      </c>
      <c r="EP10" s="309">
        <v>4</v>
      </c>
      <c r="EQ10" s="309">
        <v>20</v>
      </c>
      <c r="ER10" s="309">
        <v>134</v>
      </c>
      <c r="ES10" s="309">
        <v>18</v>
      </c>
      <c r="ET10" s="309">
        <v>40</v>
      </c>
      <c r="EU10" s="309">
        <v>8.4</v>
      </c>
      <c r="EV10" s="309">
        <v>0.8</v>
      </c>
      <c r="EW10" s="309">
        <v>14</v>
      </c>
      <c r="EX10" s="309">
        <v>6</v>
      </c>
      <c r="EY10" s="309">
        <v>1</v>
      </c>
      <c r="EZ10" s="309">
        <v>0</v>
      </c>
      <c r="FA10" s="309">
        <v>0</v>
      </c>
      <c r="FB10" s="309" t="s">
        <v>676</v>
      </c>
      <c r="FC10" s="341">
        <v>6.82</v>
      </c>
    </row>
    <row r="11" spans="1:159" ht="24.95" customHeight="1" thickBot="1" x14ac:dyDescent="0.3">
      <c r="A11" s="29" t="str">
        <f t="shared" si="0"/>
        <v>10º</v>
      </c>
      <c r="B11" s="69" t="str">
        <f t="shared" si="1"/>
        <v>Pablo Roberto</v>
      </c>
      <c r="C11" s="86" t="str">
        <f t="shared" si="2"/>
        <v>BRA</v>
      </c>
      <c r="D11" s="99" t="str">
        <f t="shared" si="3"/>
        <v>Pé Direito</v>
      </c>
      <c r="E11" s="28" t="str">
        <f t="shared" si="4"/>
        <v>Juventude</v>
      </c>
      <c r="F11" s="168">
        <f t="shared" si="5"/>
        <v>1.83</v>
      </c>
      <c r="G11" s="36">
        <f t="shared" si="6"/>
        <v>26</v>
      </c>
      <c r="H11" s="342" t="str">
        <f t="shared" si="7"/>
        <v>15m € p/m</v>
      </c>
      <c r="I11" s="35">
        <f t="shared" si="8"/>
        <v>47118</v>
      </c>
      <c r="J11" s="28" t="str">
        <f t="shared" si="9"/>
        <v>6M € - 9,2M €</v>
      </c>
      <c r="K11" s="96">
        <f t="shared" si="10"/>
        <v>36.659999999999997</v>
      </c>
      <c r="L11" s="146">
        <f t="shared" si="11"/>
        <v>33.133333333333333</v>
      </c>
      <c r="M11" s="146">
        <f t="shared" si="12"/>
        <v>43</v>
      </c>
      <c r="N11" s="146">
        <f t="shared" si="13"/>
        <v>69.348837209302332</v>
      </c>
      <c r="O11" s="187">
        <f t="shared" si="14"/>
        <v>1</v>
      </c>
      <c r="P11" s="6">
        <f t="shared" si="15"/>
        <v>0</v>
      </c>
      <c r="Q11" s="6">
        <f t="shared" si="16"/>
        <v>0</v>
      </c>
      <c r="R11" s="6">
        <f t="shared" si="17"/>
        <v>0</v>
      </c>
      <c r="S11" s="21">
        <f t="shared" si="18"/>
        <v>9.9999999999999995E-8</v>
      </c>
      <c r="T11" s="2">
        <f t="shared" si="19"/>
        <v>9</v>
      </c>
      <c r="U11" s="2">
        <f t="shared" si="20"/>
        <v>4</v>
      </c>
      <c r="V11" s="6">
        <f t="shared" si="21"/>
        <v>13</v>
      </c>
      <c r="W11" s="211">
        <f t="shared" si="22"/>
        <v>69</v>
      </c>
      <c r="X11" s="5">
        <f t="shared" si="23"/>
        <v>2.0824949698189137</v>
      </c>
      <c r="Y11" s="6">
        <f t="shared" si="24"/>
        <v>78</v>
      </c>
      <c r="Z11" s="5">
        <f t="shared" si="25"/>
        <v>2.3541247484909458</v>
      </c>
      <c r="AA11" s="6">
        <f t="shared" si="26"/>
        <v>29</v>
      </c>
      <c r="AB11" s="5">
        <f t="shared" si="27"/>
        <v>0.87525150905432592</v>
      </c>
      <c r="AC11" s="21">
        <f t="shared" si="28"/>
        <v>0.37179487179487181</v>
      </c>
      <c r="AD11" s="332">
        <f t="shared" si="29"/>
        <v>0.11538461538461539</v>
      </c>
      <c r="AE11" s="5">
        <f t="shared" si="30"/>
        <v>8.93</v>
      </c>
      <c r="AF11" s="5">
        <f t="shared" si="31"/>
        <v>0.26951710261569417</v>
      </c>
      <c r="AG11" s="5">
        <f t="shared" si="32"/>
        <v>8.93</v>
      </c>
      <c r="AH11" s="5">
        <f t="shared" si="33"/>
        <v>0.26951710261569417</v>
      </c>
      <c r="AI11" s="5">
        <f t="shared" si="34"/>
        <v>6.47</v>
      </c>
      <c r="AJ11" s="5">
        <f t="shared" si="35"/>
        <v>0.19527162977867202</v>
      </c>
      <c r="AK11" s="5">
        <f t="shared" si="36"/>
        <v>15.399999999999999</v>
      </c>
      <c r="AL11" s="5">
        <f t="shared" si="37"/>
        <v>0.46478873239436619</v>
      </c>
      <c r="AM11" s="2">
        <f t="shared" si="38"/>
        <v>1</v>
      </c>
      <c r="AN11" s="5">
        <f t="shared" si="39"/>
        <v>2982</v>
      </c>
      <c r="AO11" s="21">
        <f t="shared" si="40"/>
        <v>3.0181086519114688E-2</v>
      </c>
      <c r="AP11" s="6">
        <f t="shared" si="41"/>
        <v>42</v>
      </c>
      <c r="AQ11" s="5">
        <f t="shared" si="42"/>
        <v>1.267605633802817</v>
      </c>
      <c r="AR11" s="6">
        <f t="shared" si="43"/>
        <v>64</v>
      </c>
      <c r="AS11" s="5">
        <f t="shared" si="44"/>
        <v>1.93158953722334</v>
      </c>
      <c r="AT11" s="6">
        <f t="shared" si="45"/>
        <v>26</v>
      </c>
      <c r="AU11" s="5">
        <f t="shared" si="46"/>
        <v>0.78470824949698192</v>
      </c>
      <c r="AV11" s="6">
        <f t="shared" si="47"/>
        <v>38</v>
      </c>
      <c r="AW11" s="5">
        <f t="shared" si="48"/>
        <v>1.1468812877263581</v>
      </c>
      <c r="AX11" s="20">
        <f t="shared" si="49"/>
        <v>0.40625</v>
      </c>
      <c r="AY11" s="2">
        <f t="shared" si="50"/>
        <v>29</v>
      </c>
      <c r="AZ11" s="5">
        <f t="shared" si="51"/>
        <v>0.87525150905432592</v>
      </c>
      <c r="BA11" s="2">
        <f t="shared" si="52"/>
        <v>25</v>
      </c>
      <c r="BB11" s="12">
        <f t="shared" si="53"/>
        <v>0.13793103448275862</v>
      </c>
      <c r="BC11" s="6">
        <f t="shared" si="54"/>
        <v>182</v>
      </c>
      <c r="BD11" s="5">
        <f t="shared" si="55"/>
        <v>5.492957746478873</v>
      </c>
      <c r="BE11" s="6">
        <f t="shared" si="56"/>
        <v>49</v>
      </c>
      <c r="BF11" s="5">
        <f t="shared" si="57"/>
        <v>1.4788732394366197</v>
      </c>
      <c r="BG11" s="21">
        <f t="shared" si="58"/>
        <v>0.26923076923076922</v>
      </c>
      <c r="BH11" s="2">
        <f t="shared" si="59"/>
        <v>4</v>
      </c>
      <c r="BI11" s="2">
        <f t="shared" si="60"/>
        <v>0</v>
      </c>
      <c r="BJ11" s="2">
        <f t="shared" si="61"/>
        <v>4</v>
      </c>
      <c r="BK11" s="2">
        <f t="shared" si="62"/>
        <v>56</v>
      </c>
      <c r="BL11" s="2">
        <f t="shared" si="63"/>
        <v>27</v>
      </c>
      <c r="BM11" s="21">
        <f t="shared" si="64"/>
        <v>0.48214285714285715</v>
      </c>
      <c r="BN11" s="21">
        <f t="shared" si="65"/>
        <v>0.86206896551724133</v>
      </c>
      <c r="BO11" s="6">
        <f t="shared" si="66"/>
        <v>1</v>
      </c>
      <c r="BP11" s="5">
        <f t="shared" si="67"/>
        <v>3.0181086519114688E-2</v>
      </c>
      <c r="BQ11" s="181">
        <f t="shared" si="68"/>
        <v>32</v>
      </c>
      <c r="BR11" s="181">
        <f t="shared" si="69"/>
        <v>7</v>
      </c>
      <c r="BS11" s="182">
        <f t="shared" si="70"/>
        <v>0.21875</v>
      </c>
      <c r="BT11" s="6">
        <f t="shared" si="71"/>
        <v>1432</v>
      </c>
      <c r="BU11" s="6">
        <f t="shared" si="72"/>
        <v>1267</v>
      </c>
      <c r="BV11" s="5">
        <f t="shared" si="73"/>
        <v>33.259557344064383</v>
      </c>
      <c r="BW11" s="6">
        <f t="shared" si="74"/>
        <v>165</v>
      </c>
      <c r="BX11" s="21">
        <f t="shared" si="75"/>
        <v>0.88477653631284914</v>
      </c>
      <c r="BY11" s="6">
        <f t="shared" si="76"/>
        <v>121</v>
      </c>
      <c r="BZ11" s="5">
        <f t="shared" si="77"/>
        <v>3.6519114688128775</v>
      </c>
      <c r="CA11" s="6">
        <f t="shared" si="78"/>
        <v>42</v>
      </c>
      <c r="CB11" s="6">
        <f t="shared" si="79"/>
        <v>79</v>
      </c>
      <c r="CC11" s="20">
        <f t="shared" si="80"/>
        <v>0.34710743801652894</v>
      </c>
      <c r="CD11" s="5">
        <f t="shared" si="81"/>
        <v>54.356136820925556</v>
      </c>
      <c r="CE11" s="6">
        <f t="shared" si="82"/>
        <v>1971.47</v>
      </c>
      <c r="CF11" s="5">
        <f t="shared" si="83"/>
        <v>59.501106639839037</v>
      </c>
      <c r="CG11" s="6">
        <f t="shared" si="84"/>
        <v>1460</v>
      </c>
      <c r="CH11" s="5">
        <f t="shared" si="85"/>
        <v>44.064386317907449</v>
      </c>
      <c r="CI11" s="21">
        <f t="shared" si="86"/>
        <v>0.74056414756501487</v>
      </c>
      <c r="CJ11" s="6">
        <f t="shared" si="87"/>
        <v>94.47</v>
      </c>
      <c r="CK11" s="5">
        <f t="shared" si="88"/>
        <v>2.8512072434607645</v>
      </c>
      <c r="CL11" s="6">
        <f t="shared" si="89"/>
        <v>67</v>
      </c>
      <c r="CM11" s="5">
        <f t="shared" si="90"/>
        <v>2.0221327967806841</v>
      </c>
      <c r="CN11" s="5">
        <f t="shared" si="91"/>
        <v>16.75</v>
      </c>
      <c r="CO11" s="21">
        <f t="shared" si="92"/>
        <v>5.9701492537313432E-2</v>
      </c>
      <c r="CP11" s="5">
        <f t="shared" si="93"/>
        <v>9.6567164179104478E-2</v>
      </c>
      <c r="CQ11" s="329">
        <f t="shared" si="94"/>
        <v>9.6567164179104478E-2</v>
      </c>
      <c r="CR11" s="6">
        <f t="shared" si="95"/>
        <v>61.5</v>
      </c>
      <c r="CS11" s="5">
        <f t="shared" si="96"/>
        <v>1.8561368209255533</v>
      </c>
      <c r="CT11" s="6">
        <f t="shared" si="97"/>
        <v>75.5</v>
      </c>
      <c r="CU11" s="5">
        <f t="shared" si="98"/>
        <v>2.2786720321931591</v>
      </c>
      <c r="CV11" s="6">
        <f t="shared" si="99"/>
        <v>216</v>
      </c>
      <c r="CW11" s="5">
        <f t="shared" si="100"/>
        <v>6.5191146881287727</v>
      </c>
      <c r="CX11" s="154">
        <f t="shared" si="101"/>
        <v>392.6</v>
      </c>
      <c r="CY11" s="5">
        <f t="shared" si="102"/>
        <v>11.849094567404427</v>
      </c>
      <c r="CZ11" s="183">
        <f t="shared" si="103"/>
        <v>214</v>
      </c>
      <c r="DA11" s="117">
        <f t="shared" si="104"/>
        <v>6.4587525150905432</v>
      </c>
      <c r="DB11" s="117">
        <f t="shared" si="105"/>
        <v>13.4</v>
      </c>
      <c r="DC11" s="117">
        <f t="shared" si="106"/>
        <v>6.94</v>
      </c>
      <c r="DD11" s="312"/>
      <c r="DE11" s="309" t="s">
        <v>13</v>
      </c>
      <c r="DF11" s="309" t="s">
        <v>798</v>
      </c>
      <c r="DG11" s="309">
        <v>26</v>
      </c>
      <c r="DH11" s="309" t="s">
        <v>776</v>
      </c>
      <c r="DI11" s="309" t="s">
        <v>586</v>
      </c>
      <c r="DJ11" s="309" t="s">
        <v>643</v>
      </c>
      <c r="DK11" s="309" t="s">
        <v>799</v>
      </c>
      <c r="DL11" s="309" t="s">
        <v>640</v>
      </c>
      <c r="DM11" s="314">
        <v>47118</v>
      </c>
      <c r="DN11" s="309">
        <v>2982</v>
      </c>
      <c r="DO11" s="309" t="s">
        <v>774</v>
      </c>
      <c r="DP11" s="309">
        <v>1</v>
      </c>
      <c r="DQ11" s="309">
        <v>0</v>
      </c>
      <c r="DR11" s="309">
        <v>9</v>
      </c>
      <c r="DS11" s="309">
        <v>4</v>
      </c>
      <c r="DT11" s="309">
        <v>4</v>
      </c>
      <c r="DU11" s="309">
        <v>0</v>
      </c>
      <c r="DV11" s="309">
        <v>14</v>
      </c>
      <c r="DW11" s="309">
        <v>13.4</v>
      </c>
      <c r="DX11" s="309">
        <v>8.93</v>
      </c>
      <c r="DY11" s="309">
        <v>6.47</v>
      </c>
      <c r="DZ11" s="309">
        <v>29</v>
      </c>
      <c r="EA11" s="309">
        <v>35</v>
      </c>
      <c r="EB11" s="309">
        <v>121</v>
      </c>
      <c r="EC11" s="309">
        <v>42</v>
      </c>
      <c r="ED11" s="309">
        <v>0.1</v>
      </c>
      <c r="EE11" s="309">
        <v>1432</v>
      </c>
      <c r="EF11" s="309">
        <v>1267</v>
      </c>
      <c r="EG11" s="309">
        <v>67</v>
      </c>
      <c r="EH11" s="309">
        <v>103</v>
      </c>
      <c r="EI11" s="309">
        <v>50</v>
      </c>
      <c r="EJ11" s="309">
        <v>78</v>
      </c>
      <c r="EK11" s="309">
        <v>29</v>
      </c>
      <c r="EL11" s="309">
        <v>182</v>
      </c>
      <c r="EM11" s="309">
        <v>49</v>
      </c>
      <c r="EN11" s="309">
        <v>35</v>
      </c>
      <c r="EO11" s="309">
        <v>26</v>
      </c>
      <c r="EP11" s="309">
        <v>1</v>
      </c>
      <c r="EQ11" s="309">
        <v>5</v>
      </c>
      <c r="ER11" s="309">
        <v>42</v>
      </c>
      <c r="ES11" s="309">
        <v>3</v>
      </c>
      <c r="ET11" s="309">
        <v>11</v>
      </c>
      <c r="EU11" s="309">
        <v>10.5</v>
      </c>
      <c r="EV11" s="309">
        <v>0.9</v>
      </c>
      <c r="EW11" s="309">
        <v>32</v>
      </c>
      <c r="EX11" s="309">
        <v>7</v>
      </c>
      <c r="EY11" s="309">
        <v>0</v>
      </c>
      <c r="EZ11" s="309">
        <v>0</v>
      </c>
      <c r="FA11" s="309">
        <v>0</v>
      </c>
      <c r="FB11" s="309" t="s">
        <v>800</v>
      </c>
      <c r="FC11" s="341">
        <v>6.94</v>
      </c>
    </row>
    <row r="12" spans="1:159" ht="24.95" customHeight="1" x14ac:dyDescent="0.25"/>
    <row r="13" spans="1:159" ht="24.95" customHeight="1" x14ac:dyDescent="0.25"/>
    <row r="14" spans="1:159" ht="24.95" customHeight="1" x14ac:dyDescent="0.25"/>
    <row r="15" spans="1:159" ht="24.95" customHeight="1" x14ac:dyDescent="0.25"/>
    <row r="16" spans="1:159" ht="24.95" customHeight="1" x14ac:dyDescent="0.25"/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  <row r="26" ht="24.95" customHeight="1" x14ac:dyDescent="0.25"/>
    <row r="27" ht="24.95" customHeight="1" x14ac:dyDescent="0.25"/>
    <row r="28" ht="24.95" customHeight="1" x14ac:dyDescent="0.25"/>
    <row r="29" ht="24.95" customHeight="1" x14ac:dyDescent="0.25"/>
    <row r="30" ht="24.95" customHeight="1" x14ac:dyDescent="0.25"/>
    <row r="31" ht="24.95" customHeight="1" x14ac:dyDescent="0.25"/>
    <row r="3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  <row r="363" ht="24.95" customHeight="1" x14ac:dyDescent="0.25"/>
    <row r="364" ht="24.95" customHeight="1" x14ac:dyDescent="0.25"/>
    <row r="365" ht="24.95" customHeight="1" x14ac:dyDescent="0.25"/>
    <row r="366" ht="24.95" customHeight="1" x14ac:dyDescent="0.25"/>
    <row r="367" ht="24.95" customHeight="1" x14ac:dyDescent="0.25"/>
    <row r="368" ht="24.95" customHeight="1" x14ac:dyDescent="0.25"/>
    <row r="369" ht="24.95" customHeight="1" x14ac:dyDescent="0.25"/>
    <row r="370" ht="24.95" customHeight="1" x14ac:dyDescent="0.25"/>
    <row r="371" ht="24.95" customHeight="1" x14ac:dyDescent="0.25"/>
    <row r="372" ht="24.95" customHeight="1" x14ac:dyDescent="0.25"/>
    <row r="373" ht="24.95" customHeight="1" x14ac:dyDescent="0.25"/>
    <row r="374" ht="24.95" customHeight="1" x14ac:dyDescent="0.25"/>
    <row r="375" ht="24.95" customHeight="1" x14ac:dyDescent="0.25"/>
    <row r="376" ht="24.95" customHeight="1" x14ac:dyDescent="0.25"/>
    <row r="377" ht="24.95" customHeight="1" x14ac:dyDescent="0.25"/>
    <row r="378" ht="24.95" customHeight="1" x14ac:dyDescent="0.25"/>
    <row r="379" ht="24.95" customHeight="1" x14ac:dyDescent="0.25"/>
    <row r="380" ht="24.95" customHeight="1" x14ac:dyDescent="0.25"/>
    <row r="381" ht="24.95" customHeight="1" x14ac:dyDescent="0.25"/>
    <row r="382" ht="24.95" customHeight="1" x14ac:dyDescent="0.25"/>
    <row r="383" ht="24.95" customHeight="1" x14ac:dyDescent="0.25"/>
    <row r="384" ht="24.95" customHeight="1" x14ac:dyDescent="0.25"/>
    <row r="385" ht="24.95" customHeight="1" x14ac:dyDescent="0.25"/>
    <row r="386" ht="24.95" customHeight="1" x14ac:dyDescent="0.25"/>
    <row r="387" ht="24.95" customHeight="1" x14ac:dyDescent="0.25"/>
    <row r="388" ht="24.95" customHeight="1" x14ac:dyDescent="0.25"/>
    <row r="389" ht="24.95" customHeight="1" x14ac:dyDescent="0.25"/>
    <row r="390" ht="24.95" customHeight="1" x14ac:dyDescent="0.25"/>
    <row r="391" ht="24.95" customHeight="1" x14ac:dyDescent="0.25"/>
    <row r="392" ht="24.95" customHeight="1" x14ac:dyDescent="0.25"/>
    <row r="393" ht="24.95" customHeight="1" x14ac:dyDescent="0.25"/>
    <row r="394" ht="24.95" customHeight="1" x14ac:dyDescent="0.25"/>
    <row r="395" ht="24.95" customHeight="1" x14ac:dyDescent="0.25"/>
    <row r="396" ht="24.95" customHeight="1" x14ac:dyDescent="0.25"/>
    <row r="397" ht="24.95" customHeight="1" x14ac:dyDescent="0.25"/>
    <row r="398" ht="24.95" customHeight="1" x14ac:dyDescent="0.25"/>
    <row r="399" ht="24.95" customHeight="1" x14ac:dyDescent="0.25"/>
    <row r="400" ht="24.95" customHeight="1" x14ac:dyDescent="0.25"/>
    <row r="401" ht="24.95" customHeight="1" x14ac:dyDescent="0.25"/>
    <row r="402" ht="24.95" customHeight="1" x14ac:dyDescent="0.25"/>
    <row r="403" ht="24.95" customHeight="1" x14ac:dyDescent="0.25"/>
    <row r="404" ht="24.95" customHeight="1" x14ac:dyDescent="0.25"/>
    <row r="405" ht="24.95" customHeight="1" x14ac:dyDescent="0.25"/>
    <row r="406" ht="24.95" customHeight="1" x14ac:dyDescent="0.25"/>
    <row r="407" ht="24.95" customHeight="1" x14ac:dyDescent="0.25"/>
    <row r="408" ht="24.95" customHeight="1" x14ac:dyDescent="0.25"/>
    <row r="409" ht="24.95" customHeight="1" x14ac:dyDescent="0.25"/>
    <row r="410" ht="24.95" customHeight="1" x14ac:dyDescent="0.25"/>
    <row r="411" ht="24.95" customHeight="1" x14ac:dyDescent="0.25"/>
    <row r="412" ht="24.95" customHeight="1" x14ac:dyDescent="0.25"/>
    <row r="413" ht="24.95" customHeight="1" x14ac:dyDescent="0.25"/>
    <row r="414" ht="24.95" customHeight="1" x14ac:dyDescent="0.25"/>
    <row r="415" ht="24.95" customHeight="1" x14ac:dyDescent="0.25"/>
    <row r="416" ht="24.95" customHeight="1" x14ac:dyDescent="0.25"/>
    <row r="417" ht="24.95" customHeight="1" x14ac:dyDescent="0.25"/>
    <row r="418" ht="24.95" customHeight="1" x14ac:dyDescent="0.25"/>
    <row r="419" ht="24.95" customHeight="1" x14ac:dyDescent="0.25"/>
    <row r="420" ht="24.95" customHeight="1" x14ac:dyDescent="0.25"/>
    <row r="421" ht="24.95" customHeight="1" x14ac:dyDescent="0.25"/>
    <row r="422" ht="24.95" customHeight="1" x14ac:dyDescent="0.25"/>
    <row r="423" ht="24.95" customHeight="1" x14ac:dyDescent="0.25"/>
    <row r="424" ht="24.95" customHeight="1" x14ac:dyDescent="0.25"/>
    <row r="425" ht="24.95" customHeight="1" x14ac:dyDescent="0.25"/>
    <row r="426" ht="24.95" customHeight="1" x14ac:dyDescent="0.25"/>
    <row r="427" ht="24.95" customHeight="1" x14ac:dyDescent="0.25"/>
    <row r="428" ht="24.95" customHeight="1" x14ac:dyDescent="0.25"/>
    <row r="429" ht="24.95" customHeight="1" x14ac:dyDescent="0.25"/>
    <row r="430" ht="24.95" customHeight="1" x14ac:dyDescent="0.25"/>
    <row r="431" ht="24.95" customHeight="1" x14ac:dyDescent="0.25"/>
    <row r="432" ht="24.95" customHeight="1" x14ac:dyDescent="0.25"/>
    <row r="433" ht="24.95" customHeight="1" x14ac:dyDescent="0.25"/>
    <row r="434" ht="24.95" customHeight="1" x14ac:dyDescent="0.25"/>
    <row r="435" ht="24.95" customHeight="1" x14ac:dyDescent="0.25"/>
    <row r="436" ht="24.95" customHeight="1" x14ac:dyDescent="0.25"/>
    <row r="437" ht="24.95" customHeight="1" x14ac:dyDescent="0.25"/>
    <row r="438" ht="24.95" customHeight="1" x14ac:dyDescent="0.25"/>
    <row r="439" ht="24.95" customHeight="1" x14ac:dyDescent="0.25"/>
    <row r="440" ht="24.95" customHeight="1" x14ac:dyDescent="0.25"/>
    <row r="441" ht="24.95" customHeight="1" x14ac:dyDescent="0.25"/>
    <row r="442" ht="24.95" customHeight="1" x14ac:dyDescent="0.25"/>
    <row r="443" ht="24.95" customHeight="1" x14ac:dyDescent="0.25"/>
    <row r="444" ht="24.95" customHeight="1" x14ac:dyDescent="0.25"/>
    <row r="445" ht="24.95" customHeight="1" x14ac:dyDescent="0.25"/>
    <row r="446" ht="24.95" customHeight="1" x14ac:dyDescent="0.25"/>
    <row r="447" ht="24.95" customHeight="1" x14ac:dyDescent="0.25"/>
    <row r="448" ht="24.95" customHeight="1" x14ac:dyDescent="0.25"/>
    <row r="449" ht="24.95" customHeight="1" x14ac:dyDescent="0.25"/>
    <row r="450" ht="24.95" customHeight="1" x14ac:dyDescent="0.25"/>
    <row r="451" ht="24.95" customHeight="1" x14ac:dyDescent="0.25"/>
    <row r="452" ht="24.95" customHeight="1" x14ac:dyDescent="0.25"/>
    <row r="453" ht="24.95" customHeight="1" x14ac:dyDescent="0.25"/>
    <row r="454" ht="24.95" customHeight="1" x14ac:dyDescent="0.25"/>
    <row r="455" ht="24.95" customHeight="1" x14ac:dyDescent="0.25"/>
    <row r="456" ht="24.95" customHeight="1" x14ac:dyDescent="0.25"/>
    <row r="457" ht="24.95" customHeight="1" x14ac:dyDescent="0.25"/>
    <row r="458" ht="24.95" customHeight="1" x14ac:dyDescent="0.25"/>
    <row r="459" ht="24.95" customHeight="1" x14ac:dyDescent="0.25"/>
    <row r="460" ht="24.95" customHeight="1" x14ac:dyDescent="0.25"/>
    <row r="461" ht="24.95" customHeight="1" x14ac:dyDescent="0.25"/>
    <row r="462" ht="24.95" customHeight="1" x14ac:dyDescent="0.25"/>
    <row r="463" ht="24.95" customHeight="1" x14ac:dyDescent="0.25"/>
    <row r="464" ht="24.95" customHeight="1" x14ac:dyDescent="0.25"/>
    <row r="465" ht="24.95" customHeight="1" x14ac:dyDescent="0.25"/>
    <row r="466" ht="24.95" customHeight="1" x14ac:dyDescent="0.25"/>
    <row r="467" ht="24.95" customHeight="1" x14ac:dyDescent="0.25"/>
    <row r="468" ht="24.95" customHeight="1" x14ac:dyDescent="0.25"/>
    <row r="469" ht="24.95" customHeight="1" x14ac:dyDescent="0.25"/>
    <row r="470" ht="24.95" customHeight="1" x14ac:dyDescent="0.25"/>
    <row r="471" ht="24.95" customHeight="1" x14ac:dyDescent="0.25"/>
    <row r="472" ht="24.95" customHeight="1" x14ac:dyDescent="0.25"/>
    <row r="473" ht="24.95" customHeight="1" x14ac:dyDescent="0.25"/>
    <row r="474" ht="24.95" customHeight="1" x14ac:dyDescent="0.25"/>
    <row r="475" ht="24.95" customHeight="1" x14ac:dyDescent="0.25"/>
    <row r="476" ht="24.95" customHeight="1" x14ac:dyDescent="0.25"/>
    <row r="477" ht="24.95" customHeight="1" x14ac:dyDescent="0.25"/>
    <row r="478" ht="24.95" customHeight="1" x14ac:dyDescent="0.25"/>
    <row r="479" ht="24.95" customHeight="1" x14ac:dyDescent="0.25"/>
    <row r="480" ht="24.95" customHeight="1" x14ac:dyDescent="0.25"/>
    <row r="481" ht="24.95" customHeight="1" x14ac:dyDescent="0.25"/>
    <row r="482" ht="24.95" customHeight="1" x14ac:dyDescent="0.25"/>
    <row r="483" ht="24.95" customHeight="1" x14ac:dyDescent="0.25"/>
    <row r="484" ht="24.95" customHeight="1" x14ac:dyDescent="0.25"/>
    <row r="485" ht="24.95" customHeight="1" x14ac:dyDescent="0.25"/>
    <row r="486" ht="24.95" customHeight="1" x14ac:dyDescent="0.25"/>
    <row r="487" ht="24.95" customHeight="1" x14ac:dyDescent="0.25"/>
    <row r="488" ht="24.95" customHeight="1" x14ac:dyDescent="0.25"/>
    <row r="489" ht="24.95" customHeight="1" x14ac:dyDescent="0.25"/>
    <row r="490" ht="24.95" customHeight="1" x14ac:dyDescent="0.25"/>
    <row r="491" ht="24.95" customHeight="1" x14ac:dyDescent="0.25"/>
    <row r="492" ht="24.95" customHeight="1" x14ac:dyDescent="0.25"/>
    <row r="493" ht="24.95" customHeight="1" x14ac:dyDescent="0.25"/>
    <row r="494" ht="24.95" customHeight="1" x14ac:dyDescent="0.25"/>
    <row r="495" ht="24.95" customHeight="1" x14ac:dyDescent="0.25"/>
    <row r="496" ht="24.95" customHeight="1" x14ac:dyDescent="0.25"/>
    <row r="497" ht="24.95" customHeight="1" x14ac:dyDescent="0.25"/>
    <row r="498" ht="24.95" customHeight="1" x14ac:dyDescent="0.25"/>
    <row r="499" ht="24.95" customHeight="1" x14ac:dyDescent="0.25"/>
    <row r="500" ht="24.95" customHeight="1" x14ac:dyDescent="0.25"/>
    <row r="501" ht="24.95" customHeight="1" x14ac:dyDescent="0.25"/>
    <row r="502" ht="24.95" customHeight="1" x14ac:dyDescent="0.25"/>
    <row r="503" ht="24.95" customHeight="1" x14ac:dyDescent="0.25"/>
    <row r="504" ht="24.95" customHeight="1" x14ac:dyDescent="0.25"/>
    <row r="505" ht="24.95" customHeight="1" x14ac:dyDescent="0.25"/>
    <row r="506" ht="24.95" customHeight="1" x14ac:dyDescent="0.25"/>
    <row r="507" ht="24.95" customHeight="1" x14ac:dyDescent="0.25"/>
    <row r="508" ht="24.95" customHeight="1" x14ac:dyDescent="0.25"/>
    <row r="509" ht="24.95" customHeight="1" x14ac:dyDescent="0.25"/>
    <row r="510" ht="24.95" customHeight="1" x14ac:dyDescent="0.25"/>
    <row r="511" ht="24.95" customHeight="1" x14ac:dyDescent="0.25"/>
    <row r="512" ht="24.95" customHeight="1" x14ac:dyDescent="0.25"/>
    <row r="513" ht="24.95" customHeight="1" x14ac:dyDescent="0.25"/>
    <row r="514" ht="24.95" customHeight="1" x14ac:dyDescent="0.25"/>
    <row r="515" ht="24.95" customHeight="1" x14ac:dyDescent="0.25"/>
    <row r="516" ht="24.95" customHeight="1" x14ac:dyDescent="0.25"/>
    <row r="517" ht="24.95" customHeight="1" x14ac:dyDescent="0.25"/>
    <row r="518" ht="24.95" customHeight="1" x14ac:dyDescent="0.25"/>
    <row r="519" ht="24.95" customHeight="1" x14ac:dyDescent="0.25"/>
    <row r="520" ht="24.95" customHeight="1" x14ac:dyDescent="0.25"/>
    <row r="521" ht="24.95" customHeight="1" x14ac:dyDescent="0.25"/>
    <row r="522" ht="24.95" customHeight="1" x14ac:dyDescent="0.25"/>
    <row r="523" ht="24.95" customHeight="1" x14ac:dyDescent="0.25"/>
    <row r="524" ht="24.95" customHeight="1" x14ac:dyDescent="0.25"/>
    <row r="525" ht="24.95" customHeight="1" x14ac:dyDescent="0.25"/>
    <row r="526" ht="24.95" customHeight="1" x14ac:dyDescent="0.25"/>
    <row r="527" ht="24.95" customHeight="1" x14ac:dyDescent="0.25"/>
    <row r="528" ht="24.95" customHeight="1" x14ac:dyDescent="0.25"/>
    <row r="529" ht="24.95" customHeight="1" x14ac:dyDescent="0.25"/>
    <row r="530" ht="24.95" customHeight="1" x14ac:dyDescent="0.25"/>
    <row r="531" ht="24.95" customHeight="1" x14ac:dyDescent="0.25"/>
    <row r="532" ht="24.95" customHeight="1" x14ac:dyDescent="0.25"/>
    <row r="533" ht="24.95" customHeight="1" x14ac:dyDescent="0.25"/>
    <row r="534" ht="24.95" customHeight="1" x14ac:dyDescent="0.25"/>
    <row r="535" ht="24.95" customHeight="1" x14ac:dyDescent="0.25"/>
    <row r="536" ht="24.95" customHeight="1" x14ac:dyDescent="0.25"/>
    <row r="537" ht="24.95" customHeight="1" x14ac:dyDescent="0.25"/>
    <row r="538" ht="24.95" customHeight="1" x14ac:dyDescent="0.25"/>
    <row r="539" ht="24.95" customHeight="1" x14ac:dyDescent="0.25"/>
    <row r="540" ht="24.95" customHeight="1" x14ac:dyDescent="0.25"/>
    <row r="541" ht="24.95" customHeight="1" x14ac:dyDescent="0.25"/>
    <row r="542" ht="24.95" customHeight="1" x14ac:dyDescent="0.25"/>
    <row r="543" ht="24.95" customHeight="1" x14ac:dyDescent="0.25"/>
    <row r="544" ht="24.95" customHeight="1" x14ac:dyDescent="0.25"/>
    <row r="545" ht="24.95" customHeight="1" x14ac:dyDescent="0.25"/>
    <row r="546" ht="24.95" customHeight="1" x14ac:dyDescent="0.25"/>
    <row r="547" ht="24.95" customHeight="1" x14ac:dyDescent="0.25"/>
    <row r="548" ht="24.95" customHeight="1" x14ac:dyDescent="0.25"/>
    <row r="549" ht="24.95" customHeight="1" x14ac:dyDescent="0.25"/>
    <row r="550" ht="24.95" customHeight="1" x14ac:dyDescent="0.25"/>
    <row r="551" ht="24.95" customHeight="1" x14ac:dyDescent="0.25"/>
    <row r="552" ht="24.95" customHeight="1" x14ac:dyDescent="0.25"/>
    <row r="553" ht="24.95" customHeight="1" x14ac:dyDescent="0.25"/>
    <row r="554" ht="24.95" customHeight="1" x14ac:dyDescent="0.25"/>
    <row r="555" ht="24.95" customHeight="1" x14ac:dyDescent="0.25"/>
    <row r="556" ht="24.95" customHeight="1" x14ac:dyDescent="0.25"/>
    <row r="557" ht="24.95" customHeight="1" x14ac:dyDescent="0.25"/>
    <row r="558" ht="24.95" customHeight="1" x14ac:dyDescent="0.25"/>
    <row r="559" ht="24.95" customHeight="1" x14ac:dyDescent="0.25"/>
    <row r="560" ht="24.95" customHeight="1" x14ac:dyDescent="0.25"/>
    <row r="561" ht="24.95" customHeight="1" x14ac:dyDescent="0.25"/>
    <row r="562" ht="24.95" customHeight="1" x14ac:dyDescent="0.25"/>
    <row r="563" ht="24.95" customHeight="1" x14ac:dyDescent="0.25"/>
    <row r="564" ht="24.95" customHeight="1" x14ac:dyDescent="0.25"/>
    <row r="565" ht="24.95" customHeight="1" x14ac:dyDescent="0.25"/>
    <row r="566" ht="24.95" customHeight="1" x14ac:dyDescent="0.25"/>
    <row r="567" ht="24.95" customHeight="1" x14ac:dyDescent="0.25"/>
    <row r="568" ht="24.95" customHeight="1" x14ac:dyDescent="0.25"/>
    <row r="569" ht="24.95" customHeight="1" x14ac:dyDescent="0.25"/>
    <row r="570" ht="24.95" customHeight="1" x14ac:dyDescent="0.25"/>
    <row r="571" ht="24.95" customHeight="1" x14ac:dyDescent="0.25"/>
    <row r="572" ht="24.95" customHeight="1" x14ac:dyDescent="0.25"/>
    <row r="573" ht="24.95" customHeight="1" x14ac:dyDescent="0.25"/>
    <row r="574" ht="24.95" customHeight="1" x14ac:dyDescent="0.25"/>
    <row r="575" ht="24.95" customHeight="1" x14ac:dyDescent="0.25"/>
    <row r="576" ht="24.95" customHeight="1" x14ac:dyDescent="0.25"/>
    <row r="577" ht="24.95" customHeight="1" x14ac:dyDescent="0.25"/>
    <row r="578" ht="24.95" customHeight="1" x14ac:dyDescent="0.25"/>
    <row r="579" ht="24.95" customHeight="1" x14ac:dyDescent="0.25"/>
    <row r="580" ht="24.95" customHeight="1" x14ac:dyDescent="0.25"/>
    <row r="581" ht="24.95" customHeight="1" x14ac:dyDescent="0.25"/>
    <row r="582" ht="24.95" customHeight="1" x14ac:dyDescent="0.25"/>
    <row r="583" ht="24.95" customHeight="1" x14ac:dyDescent="0.25"/>
    <row r="584" ht="24.95" customHeight="1" x14ac:dyDescent="0.25"/>
    <row r="585" ht="24.95" customHeight="1" x14ac:dyDescent="0.25"/>
    <row r="586" ht="24.95" customHeight="1" x14ac:dyDescent="0.25"/>
    <row r="587" ht="24.95" customHeight="1" x14ac:dyDescent="0.25"/>
    <row r="588" ht="24.95" customHeight="1" x14ac:dyDescent="0.25"/>
    <row r="589" ht="24.95" customHeight="1" x14ac:dyDescent="0.25"/>
    <row r="590" ht="24.95" customHeight="1" x14ac:dyDescent="0.25"/>
    <row r="591" ht="24.95" customHeight="1" x14ac:dyDescent="0.25"/>
    <row r="592" ht="24.95" customHeight="1" x14ac:dyDescent="0.25"/>
    <row r="593" ht="24.95" customHeight="1" x14ac:dyDescent="0.25"/>
    <row r="594" ht="24.95" customHeight="1" x14ac:dyDescent="0.25"/>
    <row r="595" ht="24.95" customHeight="1" x14ac:dyDescent="0.25"/>
    <row r="596" ht="24.95" customHeight="1" x14ac:dyDescent="0.25"/>
    <row r="597" ht="24.95" customHeight="1" x14ac:dyDescent="0.25"/>
    <row r="598" ht="24.95" customHeight="1" x14ac:dyDescent="0.25"/>
    <row r="599" ht="24.95" customHeight="1" x14ac:dyDescent="0.25"/>
    <row r="600" ht="24.95" customHeight="1" x14ac:dyDescent="0.25"/>
    <row r="601" ht="24.95" customHeight="1" x14ac:dyDescent="0.25"/>
    <row r="602" ht="24.95" customHeight="1" x14ac:dyDescent="0.25"/>
    <row r="603" ht="24.95" customHeight="1" x14ac:dyDescent="0.25"/>
    <row r="604" ht="24.95" customHeight="1" x14ac:dyDescent="0.25"/>
    <row r="605" ht="24.95" customHeight="1" x14ac:dyDescent="0.25"/>
    <row r="606" ht="24.95" customHeight="1" x14ac:dyDescent="0.25"/>
    <row r="607" ht="24.95" customHeight="1" x14ac:dyDescent="0.25"/>
    <row r="608" ht="24.95" customHeight="1" x14ac:dyDescent="0.25"/>
    <row r="609" ht="24.95" customHeight="1" x14ac:dyDescent="0.25"/>
    <row r="610" ht="24.95" customHeight="1" x14ac:dyDescent="0.25"/>
    <row r="611" ht="24.95" customHeight="1" x14ac:dyDescent="0.25"/>
    <row r="612" ht="24.95" customHeight="1" x14ac:dyDescent="0.25"/>
    <row r="613" ht="24.95" customHeight="1" x14ac:dyDescent="0.25"/>
    <row r="614" ht="24.95" customHeight="1" x14ac:dyDescent="0.25"/>
    <row r="615" ht="24.95" customHeight="1" x14ac:dyDescent="0.25"/>
    <row r="616" ht="24.95" customHeight="1" x14ac:dyDescent="0.25"/>
    <row r="617" ht="24.95" customHeight="1" x14ac:dyDescent="0.25"/>
    <row r="618" ht="24.95" customHeight="1" x14ac:dyDescent="0.25"/>
    <row r="619" ht="24.95" customHeight="1" x14ac:dyDescent="0.25"/>
    <row r="620" ht="24.95" customHeight="1" x14ac:dyDescent="0.25"/>
    <row r="621" ht="24.95" customHeight="1" x14ac:dyDescent="0.25"/>
    <row r="622" ht="24.95" customHeight="1" x14ac:dyDescent="0.25"/>
    <row r="623" ht="24.95" customHeight="1" x14ac:dyDescent="0.25"/>
    <row r="624" ht="24.95" customHeight="1" x14ac:dyDescent="0.25"/>
    <row r="625" ht="24.95" customHeight="1" x14ac:dyDescent="0.25"/>
    <row r="626" ht="24.95" customHeight="1" x14ac:dyDescent="0.25"/>
    <row r="627" ht="24.95" customHeight="1" x14ac:dyDescent="0.25"/>
    <row r="628" ht="24.95" customHeight="1" x14ac:dyDescent="0.25"/>
    <row r="629" ht="24.95" customHeight="1" x14ac:dyDescent="0.25"/>
    <row r="630" ht="24.95" customHeight="1" x14ac:dyDescent="0.25"/>
    <row r="631" ht="24.95" customHeight="1" x14ac:dyDescent="0.25"/>
    <row r="632" ht="24.95" customHeight="1" x14ac:dyDescent="0.25"/>
    <row r="633" ht="24.95" customHeight="1" x14ac:dyDescent="0.25"/>
    <row r="634" ht="24.95" customHeight="1" x14ac:dyDescent="0.25"/>
    <row r="635" ht="24.95" customHeight="1" x14ac:dyDescent="0.25"/>
    <row r="636" ht="24.95" customHeight="1" x14ac:dyDescent="0.25"/>
    <row r="637" ht="24.95" customHeight="1" x14ac:dyDescent="0.25"/>
    <row r="638" ht="24.95" customHeight="1" x14ac:dyDescent="0.25"/>
    <row r="639" ht="24.95" customHeight="1" x14ac:dyDescent="0.25"/>
    <row r="640" ht="24.95" customHeight="1" x14ac:dyDescent="0.25"/>
    <row r="641" ht="24.95" customHeight="1" x14ac:dyDescent="0.25"/>
    <row r="642" ht="24.95" customHeight="1" x14ac:dyDescent="0.25"/>
    <row r="643" ht="24.95" customHeight="1" x14ac:dyDescent="0.25"/>
    <row r="644" ht="24.95" customHeight="1" x14ac:dyDescent="0.25"/>
    <row r="645" ht="24.95" customHeight="1" x14ac:dyDescent="0.25"/>
    <row r="646" ht="24.95" customHeight="1" x14ac:dyDescent="0.25"/>
    <row r="647" ht="24.95" customHeight="1" x14ac:dyDescent="0.25"/>
    <row r="648" ht="24.95" customHeight="1" x14ac:dyDescent="0.25"/>
    <row r="649" ht="24.95" customHeight="1" x14ac:dyDescent="0.25"/>
    <row r="650" ht="24.95" customHeight="1" x14ac:dyDescent="0.25"/>
    <row r="651" ht="24.95" customHeight="1" x14ac:dyDescent="0.25"/>
    <row r="652" ht="24.95" customHeight="1" x14ac:dyDescent="0.25"/>
    <row r="653" ht="24.95" customHeight="1" x14ac:dyDescent="0.25"/>
    <row r="654" ht="24.95" customHeight="1" x14ac:dyDescent="0.25"/>
    <row r="655" ht="24.95" customHeight="1" x14ac:dyDescent="0.25"/>
    <row r="656" ht="24.95" customHeight="1" x14ac:dyDescent="0.25"/>
    <row r="657" ht="24.95" customHeight="1" x14ac:dyDescent="0.25"/>
    <row r="658" ht="24.95" customHeight="1" x14ac:dyDescent="0.25"/>
    <row r="659" ht="24.95" customHeight="1" x14ac:dyDescent="0.25"/>
    <row r="660" ht="24.95" customHeight="1" x14ac:dyDescent="0.25"/>
    <row r="661" ht="24.95" customHeight="1" x14ac:dyDescent="0.25"/>
    <row r="662" ht="24.95" customHeight="1" x14ac:dyDescent="0.25"/>
    <row r="663" ht="24.95" customHeight="1" x14ac:dyDescent="0.25"/>
    <row r="664" ht="24.95" customHeight="1" x14ac:dyDescent="0.25"/>
    <row r="665" ht="24.95" customHeight="1" x14ac:dyDescent="0.25"/>
    <row r="666" ht="24.95" customHeight="1" x14ac:dyDescent="0.25"/>
    <row r="667" ht="24.95" customHeight="1" x14ac:dyDescent="0.25"/>
    <row r="668" ht="24.95" customHeight="1" x14ac:dyDescent="0.25"/>
    <row r="669" ht="24.95" customHeight="1" x14ac:dyDescent="0.25"/>
    <row r="670" ht="24.95" customHeight="1" x14ac:dyDescent="0.25"/>
    <row r="671" ht="24.95" customHeight="1" x14ac:dyDescent="0.25"/>
    <row r="672" ht="24.95" customHeight="1" x14ac:dyDescent="0.25"/>
    <row r="673" ht="24.95" customHeight="1" x14ac:dyDescent="0.25"/>
    <row r="674" ht="24.95" customHeight="1" x14ac:dyDescent="0.25"/>
    <row r="675" ht="24.95" customHeight="1" x14ac:dyDescent="0.25"/>
    <row r="676" ht="24.95" customHeight="1" x14ac:dyDescent="0.25"/>
    <row r="677" ht="24.95" customHeight="1" x14ac:dyDescent="0.25"/>
    <row r="678" ht="24.95" customHeight="1" x14ac:dyDescent="0.25"/>
    <row r="679" ht="24.95" customHeight="1" x14ac:dyDescent="0.25"/>
    <row r="680" ht="24.95" customHeight="1" x14ac:dyDescent="0.25"/>
    <row r="681" ht="24.95" customHeight="1" x14ac:dyDescent="0.25"/>
    <row r="682" ht="24.95" customHeight="1" x14ac:dyDescent="0.25"/>
    <row r="683" ht="24.95" customHeight="1" x14ac:dyDescent="0.25"/>
    <row r="684" ht="24.95" customHeight="1" x14ac:dyDescent="0.25"/>
    <row r="685" ht="24.95" customHeight="1" x14ac:dyDescent="0.25"/>
    <row r="686" ht="24.95" customHeight="1" x14ac:dyDescent="0.25"/>
    <row r="687" ht="24.95" customHeight="1" x14ac:dyDescent="0.25"/>
    <row r="688" ht="24.95" customHeight="1" x14ac:dyDescent="0.25"/>
    <row r="689" ht="24.95" customHeight="1" x14ac:dyDescent="0.25"/>
    <row r="690" ht="24.95" customHeight="1" x14ac:dyDescent="0.25"/>
    <row r="691" ht="24.95" customHeight="1" x14ac:dyDescent="0.25"/>
    <row r="692" ht="24.95" customHeight="1" x14ac:dyDescent="0.25"/>
    <row r="693" ht="24.95" customHeight="1" x14ac:dyDescent="0.25"/>
    <row r="694" ht="24.95" customHeight="1" x14ac:dyDescent="0.25"/>
    <row r="695" ht="24.95" customHeight="1" x14ac:dyDescent="0.25"/>
    <row r="696" ht="24.95" customHeight="1" x14ac:dyDescent="0.25"/>
    <row r="697" ht="24.95" customHeight="1" x14ac:dyDescent="0.25"/>
    <row r="698" ht="24.95" customHeight="1" x14ac:dyDescent="0.25"/>
    <row r="699" ht="24.95" customHeight="1" x14ac:dyDescent="0.25"/>
    <row r="700" ht="24.95" customHeight="1" x14ac:dyDescent="0.25"/>
    <row r="701" ht="24.95" customHeight="1" x14ac:dyDescent="0.25"/>
    <row r="702" ht="24.95" customHeight="1" x14ac:dyDescent="0.25"/>
    <row r="703" ht="24.95" customHeight="1" x14ac:dyDescent="0.25"/>
    <row r="704" ht="24.95" customHeight="1" x14ac:dyDescent="0.25"/>
    <row r="705" ht="24.95" customHeight="1" x14ac:dyDescent="0.25"/>
    <row r="706" ht="24.95" customHeight="1" x14ac:dyDescent="0.25"/>
    <row r="707" ht="24.95" customHeight="1" x14ac:dyDescent="0.25"/>
    <row r="708" ht="24.95" customHeight="1" x14ac:dyDescent="0.25"/>
    <row r="709" ht="24.95" customHeight="1" x14ac:dyDescent="0.25"/>
    <row r="710" ht="24.95" customHeight="1" x14ac:dyDescent="0.25"/>
    <row r="711" ht="24.95" customHeight="1" x14ac:dyDescent="0.25"/>
    <row r="712" ht="24.95" customHeight="1" x14ac:dyDescent="0.25"/>
    <row r="713" ht="24.95" customHeight="1" x14ac:dyDescent="0.25"/>
    <row r="714" ht="24.95" customHeight="1" x14ac:dyDescent="0.25"/>
    <row r="715" ht="24.95" customHeight="1" x14ac:dyDescent="0.25"/>
    <row r="716" ht="24.95" customHeight="1" x14ac:dyDescent="0.25"/>
    <row r="717" ht="24.95" customHeight="1" x14ac:dyDescent="0.25"/>
    <row r="718" ht="24.95" customHeight="1" x14ac:dyDescent="0.25"/>
    <row r="719" ht="24.95" customHeight="1" x14ac:dyDescent="0.25"/>
    <row r="720" ht="24.95" customHeight="1" x14ac:dyDescent="0.25"/>
    <row r="721" ht="24.95" customHeight="1" x14ac:dyDescent="0.25"/>
    <row r="722" ht="24.95" customHeight="1" x14ac:dyDescent="0.25"/>
    <row r="723" ht="24.95" customHeight="1" x14ac:dyDescent="0.25"/>
    <row r="724" ht="24.95" customHeight="1" x14ac:dyDescent="0.25"/>
    <row r="725" ht="24.95" customHeight="1" x14ac:dyDescent="0.25"/>
    <row r="726" ht="24.95" customHeight="1" x14ac:dyDescent="0.25"/>
    <row r="727" ht="24.95" customHeight="1" x14ac:dyDescent="0.25"/>
    <row r="728" ht="24.95" customHeight="1" x14ac:dyDescent="0.25"/>
    <row r="729" ht="24.95" customHeight="1" x14ac:dyDescent="0.25"/>
    <row r="730" ht="24.95" customHeight="1" x14ac:dyDescent="0.25"/>
    <row r="731" ht="24.95" customHeight="1" x14ac:dyDescent="0.25"/>
    <row r="732" ht="24.95" customHeight="1" x14ac:dyDescent="0.25"/>
    <row r="733" ht="24.95" customHeight="1" x14ac:dyDescent="0.25"/>
    <row r="734" ht="24.95" customHeight="1" x14ac:dyDescent="0.25"/>
    <row r="735" ht="24.95" customHeight="1" x14ac:dyDescent="0.25"/>
    <row r="736" ht="24.95" customHeight="1" x14ac:dyDescent="0.25"/>
    <row r="737" ht="24.95" customHeight="1" x14ac:dyDescent="0.25"/>
    <row r="738" ht="24.95" customHeight="1" x14ac:dyDescent="0.25"/>
    <row r="739" ht="24.95" customHeight="1" x14ac:dyDescent="0.25"/>
    <row r="740" ht="24.95" customHeight="1" x14ac:dyDescent="0.25"/>
    <row r="741" ht="24.95" customHeight="1" x14ac:dyDescent="0.25"/>
    <row r="742" ht="24.95" customHeight="1" x14ac:dyDescent="0.25"/>
    <row r="743" ht="24.95" customHeight="1" x14ac:dyDescent="0.25"/>
    <row r="744" ht="24.95" customHeight="1" x14ac:dyDescent="0.25"/>
    <row r="745" ht="24.95" customHeight="1" x14ac:dyDescent="0.25"/>
    <row r="746" ht="24.95" customHeight="1" x14ac:dyDescent="0.25"/>
    <row r="747" ht="24.95" customHeight="1" x14ac:dyDescent="0.25"/>
    <row r="748" ht="24.95" customHeight="1" x14ac:dyDescent="0.25"/>
    <row r="749" ht="24.95" customHeight="1" x14ac:dyDescent="0.25"/>
    <row r="750" ht="24.95" customHeight="1" x14ac:dyDescent="0.25"/>
    <row r="751" ht="24.95" customHeight="1" x14ac:dyDescent="0.25"/>
    <row r="752" ht="24.95" customHeight="1" x14ac:dyDescent="0.25"/>
    <row r="753" ht="24.95" customHeight="1" x14ac:dyDescent="0.25"/>
    <row r="754" ht="24.95" customHeight="1" x14ac:dyDescent="0.25"/>
    <row r="755" ht="24.95" customHeight="1" x14ac:dyDescent="0.25"/>
    <row r="756" ht="24.95" customHeight="1" x14ac:dyDescent="0.25"/>
    <row r="757" ht="24.95" customHeight="1" x14ac:dyDescent="0.25"/>
    <row r="758" ht="24.95" customHeight="1" x14ac:dyDescent="0.25"/>
    <row r="759" ht="24.95" customHeight="1" x14ac:dyDescent="0.25"/>
    <row r="760" ht="24.95" customHeight="1" x14ac:dyDescent="0.25"/>
    <row r="761" ht="24.95" customHeight="1" x14ac:dyDescent="0.25"/>
    <row r="762" ht="24.95" customHeight="1" x14ac:dyDescent="0.25"/>
    <row r="763" ht="24.95" customHeight="1" x14ac:dyDescent="0.25"/>
    <row r="764" ht="24.95" customHeight="1" x14ac:dyDescent="0.25"/>
    <row r="765" ht="24.95" customHeight="1" x14ac:dyDescent="0.25"/>
    <row r="766" ht="24.95" customHeight="1" x14ac:dyDescent="0.25"/>
    <row r="767" ht="24.95" customHeight="1" x14ac:dyDescent="0.25"/>
    <row r="768" ht="24.95" customHeight="1" x14ac:dyDescent="0.25"/>
    <row r="769" ht="24.95" customHeight="1" x14ac:dyDescent="0.25"/>
    <row r="770" ht="24.95" customHeight="1" x14ac:dyDescent="0.25"/>
    <row r="771" ht="24.95" customHeight="1" x14ac:dyDescent="0.25"/>
    <row r="772" ht="24.95" customHeight="1" x14ac:dyDescent="0.25"/>
    <row r="773" ht="24.95" customHeight="1" x14ac:dyDescent="0.25"/>
    <row r="774" ht="24.95" customHeight="1" x14ac:dyDescent="0.25"/>
    <row r="775" ht="24.95" customHeight="1" x14ac:dyDescent="0.25"/>
    <row r="776" ht="24.95" customHeight="1" x14ac:dyDescent="0.25"/>
    <row r="777" ht="24.95" customHeight="1" x14ac:dyDescent="0.25"/>
    <row r="778" ht="24.95" customHeight="1" x14ac:dyDescent="0.25"/>
    <row r="779" ht="24.95" customHeight="1" x14ac:dyDescent="0.25"/>
    <row r="780" ht="24.95" customHeight="1" x14ac:dyDescent="0.25"/>
    <row r="781" ht="24.95" customHeight="1" x14ac:dyDescent="0.25"/>
    <row r="782" ht="24.95" customHeight="1" x14ac:dyDescent="0.25"/>
    <row r="783" ht="24.95" customHeight="1" x14ac:dyDescent="0.25"/>
    <row r="784" ht="24.95" customHeight="1" x14ac:dyDescent="0.25"/>
    <row r="785" ht="24.95" customHeight="1" x14ac:dyDescent="0.25"/>
    <row r="786" ht="24.95" customHeight="1" x14ac:dyDescent="0.25"/>
    <row r="787" ht="24.95" customHeight="1" x14ac:dyDescent="0.25"/>
    <row r="788" ht="24.95" customHeight="1" x14ac:dyDescent="0.25"/>
    <row r="789" ht="24.95" customHeight="1" x14ac:dyDescent="0.25"/>
    <row r="790" ht="24.95" customHeight="1" x14ac:dyDescent="0.25"/>
    <row r="791" ht="24.95" customHeight="1" x14ac:dyDescent="0.25"/>
    <row r="792" ht="24.95" customHeight="1" x14ac:dyDescent="0.25"/>
    <row r="793" ht="24.95" customHeight="1" x14ac:dyDescent="0.25"/>
    <row r="794" ht="24.95" customHeight="1" x14ac:dyDescent="0.25"/>
    <row r="795" ht="24.95" customHeight="1" x14ac:dyDescent="0.25"/>
    <row r="796" ht="24.95" customHeight="1" x14ac:dyDescent="0.25"/>
    <row r="797" ht="24.95" customHeight="1" x14ac:dyDescent="0.25"/>
    <row r="798" ht="24.95" customHeight="1" x14ac:dyDescent="0.25"/>
    <row r="799" ht="24.95" customHeight="1" x14ac:dyDescent="0.25"/>
    <row r="800" ht="24.95" customHeight="1" x14ac:dyDescent="0.25"/>
    <row r="801" ht="24.95" customHeight="1" x14ac:dyDescent="0.25"/>
    <row r="802" ht="24.95" customHeight="1" x14ac:dyDescent="0.25"/>
    <row r="803" ht="24.95" customHeight="1" x14ac:dyDescent="0.25"/>
    <row r="804" ht="24.95" customHeight="1" x14ac:dyDescent="0.25"/>
    <row r="805" ht="24.95" customHeight="1" x14ac:dyDescent="0.25"/>
    <row r="806" ht="24.95" customHeight="1" x14ac:dyDescent="0.25"/>
    <row r="807" ht="24.95" customHeight="1" x14ac:dyDescent="0.25"/>
    <row r="808" ht="24.95" customHeight="1" x14ac:dyDescent="0.25"/>
    <row r="809" ht="24.95" customHeight="1" x14ac:dyDescent="0.25"/>
    <row r="810" ht="24.95" customHeight="1" x14ac:dyDescent="0.25"/>
    <row r="811" ht="24.95" customHeight="1" x14ac:dyDescent="0.25"/>
    <row r="812" ht="24.95" customHeight="1" x14ac:dyDescent="0.25"/>
    <row r="813" ht="24.95" customHeight="1" x14ac:dyDescent="0.25"/>
    <row r="814" ht="24.95" customHeight="1" x14ac:dyDescent="0.25"/>
    <row r="815" ht="24.95" customHeight="1" x14ac:dyDescent="0.25"/>
    <row r="816" ht="24.95" customHeight="1" x14ac:dyDescent="0.25"/>
    <row r="817" ht="24.95" customHeight="1" x14ac:dyDescent="0.25"/>
    <row r="818" ht="24.95" customHeight="1" x14ac:dyDescent="0.25"/>
    <row r="819" ht="24.95" customHeight="1" x14ac:dyDescent="0.25"/>
    <row r="820" ht="24.95" customHeight="1" x14ac:dyDescent="0.25"/>
    <row r="821" ht="24.95" customHeight="1" x14ac:dyDescent="0.25"/>
    <row r="822" ht="24.95" customHeight="1" x14ac:dyDescent="0.25"/>
    <row r="823" ht="24.95" customHeight="1" x14ac:dyDescent="0.25"/>
    <row r="824" ht="24.95" customHeight="1" x14ac:dyDescent="0.25"/>
    <row r="825" ht="24.95" customHeight="1" x14ac:dyDescent="0.25"/>
    <row r="826" ht="24.95" customHeight="1" x14ac:dyDescent="0.25"/>
    <row r="827" ht="24.95" customHeight="1" x14ac:dyDescent="0.25"/>
    <row r="828" ht="24.95" customHeight="1" x14ac:dyDescent="0.25"/>
    <row r="829" ht="24.95" customHeight="1" x14ac:dyDescent="0.25"/>
    <row r="830" ht="24.95" customHeight="1" x14ac:dyDescent="0.25"/>
    <row r="831" ht="24.95" customHeight="1" x14ac:dyDescent="0.25"/>
    <row r="832" ht="24.95" customHeight="1" x14ac:dyDescent="0.25"/>
    <row r="833" ht="24.95" customHeight="1" x14ac:dyDescent="0.25"/>
    <row r="834" ht="24.95" customHeight="1" x14ac:dyDescent="0.25"/>
    <row r="835" ht="24.95" customHeight="1" x14ac:dyDescent="0.25"/>
    <row r="836" ht="24.95" customHeight="1" x14ac:dyDescent="0.25"/>
    <row r="837" ht="24.95" customHeight="1" x14ac:dyDescent="0.25"/>
    <row r="838" ht="24.95" customHeight="1" x14ac:dyDescent="0.25"/>
    <row r="839" ht="24.95" customHeight="1" x14ac:dyDescent="0.25"/>
    <row r="840" ht="24.95" customHeight="1" x14ac:dyDescent="0.25"/>
    <row r="841" ht="24.95" customHeight="1" x14ac:dyDescent="0.25"/>
    <row r="842" ht="24.95" customHeight="1" x14ac:dyDescent="0.25"/>
    <row r="843" ht="24.95" customHeight="1" x14ac:dyDescent="0.25"/>
    <row r="844" ht="24.95" customHeight="1" x14ac:dyDescent="0.25"/>
    <row r="845" ht="24.95" customHeight="1" x14ac:dyDescent="0.25"/>
    <row r="846" ht="24.95" customHeight="1" x14ac:dyDescent="0.25"/>
    <row r="847" ht="24.95" customHeight="1" x14ac:dyDescent="0.25"/>
    <row r="848" ht="24.95" customHeight="1" x14ac:dyDescent="0.25"/>
    <row r="849" ht="24.95" customHeight="1" x14ac:dyDescent="0.25"/>
    <row r="850" ht="24.95" customHeight="1" x14ac:dyDescent="0.25"/>
    <row r="851" ht="24.95" customHeight="1" x14ac:dyDescent="0.25"/>
    <row r="852" ht="24.95" customHeight="1" x14ac:dyDescent="0.25"/>
    <row r="853" ht="24.95" customHeight="1" x14ac:dyDescent="0.25"/>
    <row r="854" ht="24.95" customHeight="1" x14ac:dyDescent="0.25"/>
    <row r="855" ht="24.95" customHeight="1" x14ac:dyDescent="0.25"/>
    <row r="856" ht="24.95" customHeight="1" x14ac:dyDescent="0.25"/>
    <row r="857" ht="24.95" customHeight="1" x14ac:dyDescent="0.25"/>
    <row r="858" ht="24.95" customHeight="1" x14ac:dyDescent="0.25"/>
    <row r="859" ht="24.95" customHeight="1" x14ac:dyDescent="0.25"/>
    <row r="860" ht="24.95" customHeight="1" x14ac:dyDescent="0.25"/>
    <row r="861" ht="24.95" customHeight="1" x14ac:dyDescent="0.25"/>
    <row r="862" ht="24.95" customHeight="1" x14ac:dyDescent="0.25"/>
    <row r="863" ht="24.95" customHeight="1" x14ac:dyDescent="0.25"/>
    <row r="864" ht="24.95" customHeight="1" x14ac:dyDescent="0.25"/>
    <row r="865" ht="24.95" customHeight="1" x14ac:dyDescent="0.25"/>
    <row r="866" ht="24.95" customHeight="1" x14ac:dyDescent="0.25"/>
    <row r="867" ht="24.95" customHeight="1" x14ac:dyDescent="0.25"/>
    <row r="868" ht="24.95" customHeight="1" x14ac:dyDescent="0.25"/>
    <row r="869" ht="24.95" customHeight="1" x14ac:dyDescent="0.25"/>
    <row r="870" ht="24.95" customHeight="1" x14ac:dyDescent="0.25"/>
    <row r="871" ht="24.95" customHeight="1" x14ac:dyDescent="0.25"/>
    <row r="872" ht="24.95" customHeight="1" x14ac:dyDescent="0.25"/>
    <row r="873" ht="24.95" customHeight="1" x14ac:dyDescent="0.25"/>
    <row r="874" ht="24.95" customHeight="1" x14ac:dyDescent="0.25"/>
    <row r="875" ht="24.95" customHeight="1" x14ac:dyDescent="0.25"/>
    <row r="876" ht="24.95" customHeight="1" x14ac:dyDescent="0.25"/>
    <row r="877" ht="24.95" customHeight="1" x14ac:dyDescent="0.25"/>
    <row r="878" ht="24.95" customHeight="1" x14ac:dyDescent="0.25"/>
    <row r="879" ht="24.95" customHeight="1" x14ac:dyDescent="0.25"/>
    <row r="880" ht="24.95" customHeight="1" x14ac:dyDescent="0.25"/>
    <row r="881" ht="24.95" customHeight="1" x14ac:dyDescent="0.25"/>
    <row r="882" ht="24.95" customHeight="1" x14ac:dyDescent="0.25"/>
    <row r="883" ht="24.95" customHeight="1" x14ac:dyDescent="0.25"/>
    <row r="884" ht="24.95" customHeight="1" x14ac:dyDescent="0.25"/>
    <row r="885" ht="24.95" customHeight="1" x14ac:dyDescent="0.25"/>
    <row r="886" ht="24.95" customHeight="1" x14ac:dyDescent="0.25"/>
    <row r="887" ht="24.95" customHeight="1" x14ac:dyDescent="0.25"/>
    <row r="888" ht="24.95" customHeight="1" x14ac:dyDescent="0.25"/>
    <row r="889" ht="24.95" customHeight="1" x14ac:dyDescent="0.25"/>
    <row r="890" ht="24.95" customHeight="1" x14ac:dyDescent="0.25"/>
    <row r="891" ht="24.95" customHeight="1" x14ac:dyDescent="0.25"/>
    <row r="892" ht="24.95" customHeight="1" x14ac:dyDescent="0.25"/>
    <row r="893" ht="24.95" customHeight="1" x14ac:dyDescent="0.25"/>
    <row r="894" ht="24.95" customHeight="1" x14ac:dyDescent="0.25"/>
    <row r="895" ht="24.95" customHeight="1" x14ac:dyDescent="0.25"/>
    <row r="896" ht="24.95" customHeight="1" x14ac:dyDescent="0.25"/>
    <row r="897" ht="24.95" customHeight="1" x14ac:dyDescent="0.25"/>
    <row r="898" ht="24.95" customHeight="1" x14ac:dyDescent="0.25"/>
    <row r="899" ht="24.95" customHeight="1" x14ac:dyDescent="0.25"/>
    <row r="900" ht="24.95" customHeight="1" x14ac:dyDescent="0.25"/>
    <row r="901" ht="24.95" customHeight="1" x14ac:dyDescent="0.25"/>
    <row r="902" ht="24.95" customHeight="1" x14ac:dyDescent="0.25"/>
    <row r="903" ht="24.95" customHeight="1" x14ac:dyDescent="0.25"/>
    <row r="904" ht="24.95" customHeight="1" x14ac:dyDescent="0.25"/>
    <row r="905" ht="24.95" customHeight="1" x14ac:dyDescent="0.25"/>
    <row r="906" ht="24.95" customHeight="1" x14ac:dyDescent="0.25"/>
    <row r="907" ht="24.95" customHeight="1" x14ac:dyDescent="0.25"/>
    <row r="908" ht="24.95" customHeight="1" x14ac:dyDescent="0.25"/>
    <row r="909" ht="24.95" customHeight="1" x14ac:dyDescent="0.25"/>
    <row r="910" ht="24.95" customHeight="1" x14ac:dyDescent="0.25"/>
    <row r="911" ht="24.95" customHeight="1" x14ac:dyDescent="0.25"/>
    <row r="912" ht="24.95" customHeight="1" x14ac:dyDescent="0.25"/>
    <row r="913" ht="24.95" customHeight="1" x14ac:dyDescent="0.25"/>
    <row r="914" ht="24.95" customHeight="1" x14ac:dyDescent="0.25"/>
    <row r="915" ht="24.95" customHeight="1" x14ac:dyDescent="0.25"/>
    <row r="916" ht="24.95" customHeight="1" x14ac:dyDescent="0.25"/>
    <row r="917" ht="24.95" customHeight="1" x14ac:dyDescent="0.25"/>
    <row r="918" ht="24.95" customHeight="1" x14ac:dyDescent="0.25"/>
    <row r="919" ht="24.95" customHeight="1" x14ac:dyDescent="0.25"/>
    <row r="920" ht="24.95" customHeight="1" x14ac:dyDescent="0.25"/>
    <row r="921" ht="24.95" customHeight="1" x14ac:dyDescent="0.25"/>
    <row r="922" ht="24.95" customHeight="1" x14ac:dyDescent="0.25"/>
    <row r="923" ht="24.95" customHeight="1" x14ac:dyDescent="0.25"/>
    <row r="924" ht="24.95" customHeight="1" x14ac:dyDescent="0.25"/>
    <row r="925" ht="24.95" customHeight="1" x14ac:dyDescent="0.25"/>
    <row r="926" ht="24.95" customHeight="1" x14ac:dyDescent="0.25"/>
    <row r="927" ht="24.95" customHeight="1" x14ac:dyDescent="0.25"/>
    <row r="928" ht="24.95" customHeight="1" x14ac:dyDescent="0.25"/>
    <row r="929" ht="24.95" customHeight="1" x14ac:dyDescent="0.25"/>
    <row r="930" ht="24.95" customHeight="1" x14ac:dyDescent="0.25"/>
    <row r="931" ht="24.95" customHeight="1" x14ac:dyDescent="0.25"/>
    <row r="932" ht="24.95" customHeight="1" x14ac:dyDescent="0.25"/>
    <row r="933" ht="24.95" customHeight="1" x14ac:dyDescent="0.25"/>
    <row r="934" ht="24.95" customHeight="1" x14ac:dyDescent="0.25"/>
    <row r="935" ht="24.95" customHeight="1" x14ac:dyDescent="0.25"/>
    <row r="936" ht="24.95" customHeight="1" x14ac:dyDescent="0.25"/>
    <row r="937" ht="24.95" customHeight="1" x14ac:dyDescent="0.25"/>
    <row r="938" ht="24.95" customHeight="1" x14ac:dyDescent="0.25"/>
    <row r="939" ht="24.95" customHeight="1" x14ac:dyDescent="0.25"/>
    <row r="940" ht="24.95" customHeight="1" x14ac:dyDescent="0.25"/>
    <row r="941" ht="24.95" customHeight="1" x14ac:dyDescent="0.25"/>
    <row r="942" ht="24.95" customHeight="1" x14ac:dyDescent="0.25"/>
    <row r="943" ht="24.95" customHeight="1" x14ac:dyDescent="0.25"/>
    <row r="944" ht="24.95" customHeight="1" x14ac:dyDescent="0.25"/>
    <row r="945" ht="24.95" customHeight="1" x14ac:dyDescent="0.25"/>
    <row r="946" ht="24.95" customHeight="1" x14ac:dyDescent="0.25"/>
    <row r="947" ht="24.95" customHeight="1" x14ac:dyDescent="0.25"/>
    <row r="948" ht="24.95" customHeight="1" x14ac:dyDescent="0.25"/>
    <row r="949" ht="24.95" customHeight="1" x14ac:dyDescent="0.25"/>
    <row r="950" ht="24.95" customHeight="1" x14ac:dyDescent="0.25"/>
    <row r="951" ht="24.95" customHeight="1" x14ac:dyDescent="0.25"/>
    <row r="952" ht="24.95" customHeight="1" x14ac:dyDescent="0.25"/>
    <row r="953" ht="24.95" customHeight="1" x14ac:dyDescent="0.25"/>
    <row r="954" ht="24.95" customHeight="1" x14ac:dyDescent="0.25"/>
    <row r="955" ht="24.95" customHeight="1" x14ac:dyDescent="0.25"/>
    <row r="956" ht="24.95" customHeight="1" x14ac:dyDescent="0.25"/>
    <row r="957" ht="24.95" customHeight="1" x14ac:dyDescent="0.25"/>
    <row r="958" ht="24.95" customHeight="1" x14ac:dyDescent="0.25"/>
    <row r="959" ht="24.95" customHeight="1" x14ac:dyDescent="0.25"/>
    <row r="960" ht="24.95" customHeight="1" x14ac:dyDescent="0.25"/>
    <row r="961" ht="24.95" customHeight="1" x14ac:dyDescent="0.25"/>
    <row r="962" ht="24.95" customHeight="1" x14ac:dyDescent="0.25"/>
    <row r="963" ht="24.95" customHeight="1" x14ac:dyDescent="0.25"/>
    <row r="964" ht="24.95" customHeight="1" x14ac:dyDescent="0.25"/>
    <row r="965" ht="24.95" customHeight="1" x14ac:dyDescent="0.25"/>
    <row r="966" ht="24.95" customHeight="1" x14ac:dyDescent="0.25"/>
    <row r="967" ht="24.95" customHeight="1" x14ac:dyDescent="0.25"/>
    <row r="968" ht="24.95" customHeight="1" x14ac:dyDescent="0.25"/>
    <row r="969" ht="24.95" customHeight="1" x14ac:dyDescent="0.25"/>
    <row r="970" ht="24.95" customHeight="1" x14ac:dyDescent="0.25"/>
    <row r="971" ht="24.95" customHeight="1" x14ac:dyDescent="0.25"/>
    <row r="972" ht="24.95" customHeight="1" x14ac:dyDescent="0.25"/>
    <row r="973" ht="24.95" customHeight="1" x14ac:dyDescent="0.25"/>
    <row r="974" ht="24.95" customHeight="1" x14ac:dyDescent="0.25"/>
    <row r="975" ht="24.95" customHeight="1" x14ac:dyDescent="0.25"/>
    <row r="976" ht="24.95" customHeight="1" x14ac:dyDescent="0.25"/>
    <row r="977" ht="24.95" customHeight="1" x14ac:dyDescent="0.25"/>
    <row r="978" ht="24.95" customHeight="1" x14ac:dyDescent="0.25"/>
    <row r="979" ht="24.95" customHeight="1" x14ac:dyDescent="0.25"/>
    <row r="980" ht="24.95" customHeight="1" x14ac:dyDescent="0.25"/>
    <row r="981" ht="24.95" customHeight="1" x14ac:dyDescent="0.25"/>
    <row r="982" ht="24.95" customHeight="1" x14ac:dyDescent="0.25"/>
    <row r="983" ht="24.95" customHeight="1" x14ac:dyDescent="0.25"/>
    <row r="984" ht="24.95" customHeight="1" x14ac:dyDescent="0.25"/>
    <row r="985" ht="24.95" customHeight="1" x14ac:dyDescent="0.25"/>
    <row r="986" ht="24.95" customHeight="1" x14ac:dyDescent="0.25"/>
    <row r="987" ht="24.95" customHeight="1" x14ac:dyDescent="0.25"/>
    <row r="988" ht="24.95" customHeight="1" x14ac:dyDescent="0.25"/>
    <row r="989" ht="24.95" customHeight="1" x14ac:dyDescent="0.25"/>
    <row r="990" ht="24.95" customHeight="1" x14ac:dyDescent="0.25"/>
    <row r="991" ht="24.95" customHeight="1" x14ac:dyDescent="0.25"/>
    <row r="992" ht="24.95" customHeight="1" x14ac:dyDescent="0.25"/>
    <row r="993" ht="24.95" customHeight="1" x14ac:dyDescent="0.25"/>
    <row r="994" ht="24.95" customHeight="1" x14ac:dyDescent="0.25"/>
    <row r="995" ht="24.95" customHeight="1" x14ac:dyDescent="0.25"/>
    <row r="996" ht="24.95" customHeight="1" x14ac:dyDescent="0.25"/>
    <row r="997" ht="24.95" customHeight="1" x14ac:dyDescent="0.25"/>
    <row r="998" ht="24.95" customHeight="1" x14ac:dyDescent="0.25"/>
    <row r="999" ht="24.95" customHeight="1" x14ac:dyDescent="0.25"/>
    <row r="1000" ht="24.95" customHeight="1" x14ac:dyDescent="0.25"/>
    <row r="1001" ht="24.95" customHeight="1" x14ac:dyDescent="0.25"/>
  </sheetData>
  <autoFilter ref="B1:FC939" xr:uid="{00000000-0001-0000-0400-000000000000}">
    <sortState xmlns:xlrd2="http://schemas.microsoft.com/office/spreadsheetml/2017/richdata2" ref="B2:FC939">
      <sortCondition ref="B1:B939"/>
    </sortState>
  </autoFilter>
  <phoneticPr fontId="53" type="noConversion"/>
  <conditionalFormatting sqref="BH1:BH1048576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1:BI1048576">
    <cfRule type="colorScale" priority="239">
      <colorScale>
        <cfvo type="min"/>
        <cfvo type="max"/>
        <color rgb="FFFCFCFF"/>
        <color rgb="FFF8696B"/>
      </colorScale>
    </cfRule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1:BJ1048576">
    <cfRule type="colorScale" priority="238">
      <colorScale>
        <cfvo type="min"/>
        <cfvo type="max"/>
        <color rgb="FFFCFCFF"/>
        <color rgb="FFF8696B"/>
      </colorScale>
    </cfRule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1:BW1048576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1:BV1048576">
    <cfRule type="colorScale" priority="4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:AX1048576">
    <cfRule type="iconSet" priority="6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:BM1048576">
    <cfRule type="colorScale" priority="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1:BK1048576">
    <cfRule type="iconSet" priority="18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0">
      <colorScale>
        <cfvo type="min"/>
        <cfvo type="max"/>
        <color rgb="FFFFEF9C"/>
        <color rgb="FF63BE7B"/>
      </colorScale>
    </cfRule>
  </conditionalFormatting>
  <conditionalFormatting sqref="BL1:BL1048576">
    <cfRule type="iconSet" priority="18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:BU1048576">
    <cfRule type="colorScale" priority="4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048576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447">
      <colorScale>
        <cfvo type="num" val="23"/>
        <cfvo type="num" val="28"/>
        <cfvo type="num" val="30"/>
        <color rgb="FF63BE7B"/>
        <color rgb="FFFFEB84"/>
        <color rgb="FFF8696B"/>
      </colorScale>
    </cfRule>
  </conditionalFormatting>
  <conditionalFormatting sqref="AB1:AC1048576 AE2:AG1048576"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:AH1048576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:AL1048576">
    <cfRule type="colorScale" priority="4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2:CC1048576">
    <cfRule type="colorScale" priority="2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20">
      <colorScale>
        <cfvo type="min"/>
        <cfvo type="max"/>
        <color rgb="FFFFEF9C"/>
        <color rgb="FF63BE7B"/>
      </colorScale>
    </cfRule>
  </conditionalFormatting>
  <conditionalFormatting sqref="CE1:CF1048576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:CD1048576">
    <cfRule type="colorScale" priority="4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I1:CI1048576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1048576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">
    <cfRule type="colorScale" priority="4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">
    <cfRule type="colorScale" priority="3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9">
      <colorScale>
        <cfvo type="min"/>
        <cfvo type="max"/>
        <color rgb="FFFFEF9C"/>
        <color rgb="FF63BE7B"/>
      </colorScale>
    </cfRule>
  </conditionalFormatting>
  <conditionalFormatting sqref="R1">
    <cfRule type="colorScale" priority="387">
      <colorScale>
        <cfvo type="min"/>
        <cfvo type="max"/>
        <color rgb="FFFCFCFF"/>
        <color rgb="FFF8696B"/>
      </colorScale>
    </cfRule>
  </conditionalFormatting>
  <conditionalFormatting sqref="P1">
    <cfRule type="colorScale" priority="385">
      <colorScale>
        <cfvo type="min"/>
        <cfvo type="max"/>
        <color rgb="FFFFEF9C"/>
        <color rgb="FF63BE7B"/>
      </colorScale>
    </cfRule>
  </conditionalFormatting>
  <conditionalFormatting sqref="P1">
    <cfRule type="colorScale" priority="382">
      <colorScale>
        <cfvo type="min"/>
        <cfvo type="max"/>
        <color rgb="FFFFEF9C"/>
        <color rgb="FF63BE7B"/>
      </colorScale>
    </cfRule>
  </conditionalFormatting>
  <conditionalFormatting sqref="Q1">
    <cfRule type="colorScale" priority="3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363">
      <colorScale>
        <cfvo type="min"/>
        <cfvo type="max"/>
        <color rgb="FFFCFCFF"/>
        <color rgb="FFF8696B"/>
      </colorScale>
    </cfRule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AA1048576">
    <cfRule type="colorScale" priority="3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1:AA1048576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8">
      <colorScale>
        <cfvo type="min"/>
        <cfvo type="max"/>
        <color rgb="FFFFEF9C"/>
        <color rgb="FF63BE7B"/>
      </colorScale>
    </cfRule>
  </conditionalFormatting>
  <conditionalFormatting sqref="BN1:BN1048576"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1:CE1048576">
    <cfRule type="iconSet" priority="12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1:CF1048576">
    <cfRule type="iconSet" priority="12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1:CG1048576">
    <cfRule type="colorScale" priority="3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1">
    <cfRule type="colorScale" priority="3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1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1"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1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1">
    <cfRule type="colorScale" priority="3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1">
    <cfRule type="colorScale" priority="3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1:DC1048576">
    <cfRule type="iconSet" priority="229">
      <iconSet iconSet="3Arrows">
        <cfvo type="percent" val="0"/>
        <cfvo type="num" val="6.7"/>
        <cfvo type="num" val="7"/>
      </iconSet>
    </cfRule>
    <cfRule type="colorScale" priority="342">
      <colorScale>
        <cfvo type="num" val="6.69"/>
        <cfvo type="num" val="6.97"/>
        <cfvo type="num" val="7"/>
        <color rgb="FFF8696B"/>
        <color rgb="FFFFEB84"/>
        <color rgb="FF63BE7B"/>
      </colorScale>
    </cfRule>
  </conditionalFormatting>
  <conditionalFormatting sqref="CD1:CI1 CC2:CI1048576">
    <cfRule type="colorScale" priority="4848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:CI1048576">
    <cfRule type="colorScale" priority="4849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1:CH1048576">
    <cfRule type="colorScale" priority="484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1:CH1048576">
    <cfRule type="colorScale" priority="3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3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:Z1048576"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8">
      <colorScale>
        <cfvo type="min"/>
        <cfvo type="max"/>
        <color rgb="FFFFEF9C"/>
        <color rgb="FF63BE7B"/>
      </colorScale>
    </cfRule>
  </conditionalFormatting>
  <conditionalFormatting sqref="AE2:AE1048576"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:AF1048576"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2:AG1048576"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:AI1048576">
    <cfRule type="colorScale" priority="3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:AL1048576"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L1">
    <cfRule type="colorScale" priority="3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L1"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L1"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L1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L1">
    <cfRule type="colorScale" priority="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:AL1048576">
    <cfRule type="colorScale" priority="3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:AJ1048576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{0BEE6840-99D9-4160-BA1B-72FACB87E6F4}</x14:id>
        </ext>
      </extLst>
    </cfRule>
    <cfRule type="colorScale" priority="223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:AL1"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1:AL1048576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{E9EFC9C9-0CAE-406B-9CD0-E96A3814585E}</x14:id>
        </ext>
      </extLst>
    </cfRule>
    <cfRule type="colorScale" priority="221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colorScale" priority="3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1048576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{735C0E13-374C-47B7-92B3-49D157C4AB5C}</x14:id>
        </ext>
      </extLst>
    </cfRule>
    <cfRule type="colorScale" priority="228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:AB1048576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:AF1048576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{9564D87C-A908-44E0-9614-D4C1C9B4DC8D}</x14:id>
        </ext>
      </extLst>
    </cfRule>
    <cfRule type="colorScale" priority="227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:Y1048576">
    <cfRule type="colorScale" priority="2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9">
      <colorScale>
        <cfvo type="min"/>
        <cfvo type="max"/>
        <color rgb="FFFFEF9C"/>
        <color rgb="FF63BE7B"/>
      </colorScale>
    </cfRule>
  </conditionalFormatting>
  <conditionalFormatting sqref="BY1:CA1">
    <cfRule type="colorScale" priority="2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0">
      <colorScale>
        <cfvo type="min"/>
        <cfvo type="max"/>
        <color rgb="FFFFEF9C"/>
        <color rgb="FF63BE7B"/>
      </colorScale>
    </cfRule>
  </conditionalFormatting>
  <conditionalFormatting sqref="BY1:CA1">
    <cfRule type="colorScale" priority="2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1:CA1">
    <cfRule type="colorScale" priority="2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1">
    <cfRule type="colorScale" priority="2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6">
      <colorScale>
        <cfvo type="min"/>
        <cfvo type="max"/>
        <color rgb="FFFFEF9C"/>
        <color rgb="FF63BE7B"/>
      </colorScale>
    </cfRule>
  </conditionalFormatting>
  <conditionalFormatting sqref="CB1">
    <cfRule type="colorScale" priority="2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1">
    <cfRule type="colorScale" priority="2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1:CB1048576">
    <cfRule type="colorScale" priority="274">
      <colorScale>
        <cfvo type="min"/>
        <cfvo type="max"/>
        <color rgb="FFFCFCFF"/>
        <color rgb="FFF8696B"/>
      </colorScale>
    </cfRule>
  </conditionalFormatting>
  <conditionalFormatting sqref="CC1">
    <cfRule type="colorScale" priority="2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0">
      <colorScale>
        <cfvo type="min"/>
        <cfvo type="max"/>
        <color rgb="FFFFEF9C"/>
        <color rgb="FF63BE7B"/>
      </colorScale>
    </cfRule>
  </conditionalFormatting>
  <conditionalFormatting sqref="CC1">
    <cfRule type="colorScale" priority="2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1">
    <cfRule type="colorScale" priority="2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1:CC1048576">
    <cfRule type="colorScale" priority="2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1:CA1048576">
    <cfRule type="colorScale" priority="2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Z1:BZ1048576">
    <cfRule type="colorScale" priority="269">
      <colorScale>
        <cfvo type="min"/>
        <cfvo type="max"/>
        <color rgb="FFFFEF9C"/>
        <color rgb="FF63BE7B"/>
      </colorScale>
    </cfRule>
    <cfRule type="colorScale" priority="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1:BY1048576">
    <cfRule type="colorScale" priority="2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1:CK1048576">
    <cfRule type="colorScale" priority="2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">
    <cfRule type="colorScale" priority="2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1">
    <cfRule type="colorScale" priority="2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1"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">
    <cfRule type="colorScale" priority="2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"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:BG1">
    <cfRule type="colorScale" priority="2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:BG1">
    <cfRule type="colorScale" priority="2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:BG1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1:BG1">
    <cfRule type="colorScale" priority="2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:BG1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1:BG1"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:BG1">
    <cfRule type="colorScale" priority="2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:BC1048576">
    <cfRule type="iconSet" priority="13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1:BD1048576">
    <cfRule type="iconSet" priority="13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1:BE1048576">
    <cfRule type="iconSet" priority="13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:BF1048576">
    <cfRule type="iconSet" priority="12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:BG1048576"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2:BS1048576 BP1">
    <cfRule type="colorScale" priority="2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:AG1048576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{894C061B-733F-4E6D-ADBF-F218639729C4}</x14:id>
        </ext>
      </extLst>
    </cfRule>
    <cfRule type="colorScale" priority="226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H1:AH1048576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{B7EFE5DE-0AE2-435C-B0DE-FE6F77F733C1}</x14:id>
        </ext>
      </extLst>
    </cfRule>
    <cfRule type="colorScale" priority="225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I1:AI1048576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{0DF6CD23-CEEB-4074-ACD1-A2C08491358A}</x14:id>
        </ext>
      </extLst>
    </cfRule>
    <cfRule type="colorScale" priority="224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K1:AK1048576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{A3BC3AC7-14A9-4364-9107-F74DF2124DD3}</x14:id>
        </ext>
      </extLst>
    </cfRule>
    <cfRule type="colorScale" priority="222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BQ1">
    <cfRule type="iconSet" priority="20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1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1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1:BS1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1:BS1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2">
      <colorScale>
        <cfvo type="min"/>
        <cfvo type="max"/>
        <color rgb="FFFFEF9C"/>
        <color rgb="FF63BE7B"/>
      </colorScale>
    </cfRule>
  </conditionalFormatting>
  <conditionalFormatting sqref="BS1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1">
    <cfRule type="iconSet" priority="19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1:BQ1048576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{B6818099-FC14-42BA-B46E-6CFFD247E357}</x14:id>
        </ext>
      </extLst>
    </cfRule>
    <cfRule type="colorScale" priority="149">
      <colorScale>
        <cfvo type="min"/>
        <cfvo type="percentile" val="50"/>
        <cfvo type="max"/>
        <color rgb="FFF8696B"/>
        <color rgb="FFFCFCFF"/>
        <color rgb="FF5A8AC6"/>
      </colorScale>
    </cfRule>
    <cfRule type="iconSet" priority="19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iconSet" priority="192">
      <iconSet iconSet="3Arrows">
        <cfvo type="percent" val="0"/>
        <cfvo type="percent" val="33"/>
        <cfvo type="percent" val="67"/>
      </iconSet>
    </cfRule>
  </conditionalFormatting>
  <conditionalFormatting sqref="BR1:BR1048576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{C5A2172C-C906-4F46-B782-516E132FED96}</x14:id>
        </ext>
      </extLst>
    </cfRule>
    <cfRule type="colorScale" priority="148">
      <colorScale>
        <cfvo type="min"/>
        <cfvo type="percentile" val="50"/>
        <cfvo type="max"/>
        <color rgb="FFF8696B"/>
        <color rgb="FFFCFCFF"/>
        <color rgb="FF5A8AC6"/>
      </colorScale>
    </cfRule>
    <cfRule type="iconSet" priority="190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T1:BT1048576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:BS1048576">
    <cfRule type="dataBar" priority="7">
      <dataBar>
        <cfvo type="min"/>
        <cfvo type="max"/>
        <color rgb="FFB0C5E2"/>
      </dataBar>
      <extLst>
        <ext xmlns:x14="http://schemas.microsoft.com/office/spreadsheetml/2009/9/main" uri="{B025F937-C7B1-47D3-B67F-A62EFF666E3E}">
          <x14:id>{DE283332-3E2D-474B-923C-9D2DDC605911}</x14:id>
        </ext>
      </extLst>
    </cfRule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{561122CD-B5E5-4210-806A-062E043B6727}</x14:id>
        </ext>
      </extLst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P1:BP1048576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1:BO1048576">
    <cfRule type="iconSet" priority="189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2:CJ11">
    <cfRule type="colorScale" priority="186">
      <colorScale>
        <cfvo type="num" val="0"/>
        <cfvo type="num" val="31"/>
        <cfvo type="num" val="32"/>
        <color theme="7" tint="0.79998168889431442"/>
        <color rgb="FFFFEB84"/>
        <color rgb="FFFF0000"/>
      </colorScale>
    </cfRule>
  </conditionalFormatting>
  <conditionalFormatting sqref="CJ2:CJ1048576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1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1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1:CJ1048576">
    <cfRule type="iconSet" priority="12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1:CK1048576">
    <cfRule type="iconSet" priority="12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:AP1048576">
    <cfRule type="iconSet" priority="11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AQ1048576">
    <cfRule type="iconSet" priority="12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">
    <cfRule type="iconSet" priority="115">
      <iconSet iconSet="3ArrowsGray">
        <cfvo type="percent" val="0"/>
        <cfvo type="percent" val="33"/>
        <cfvo type="percent" val="67"/>
      </iconSet>
    </cfRule>
    <cfRule type="colorScale" priority="118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sqref="AO1">
    <cfRule type="iconSet" priority="113">
      <iconSet iconSet="3ArrowsGray">
        <cfvo type="percent" val="0"/>
        <cfvo type="percent" val="33"/>
        <cfvo type="percent" val="67"/>
      </iconSet>
    </cfRule>
    <cfRule type="colorScale" priority="116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sqref="AM1:AM1048576">
    <cfRule type="colorScale" priority="108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112">
      <iconSet iconSet="3ArrowsGray">
        <cfvo type="percent" val="0"/>
        <cfvo type="percent" val="33"/>
        <cfvo type="percent" val="67"/>
      </iconSet>
    </cfRule>
  </conditionalFormatting>
  <conditionalFormatting sqref="AO1:AO1048576">
    <cfRule type="colorScale" priority="106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110">
      <iconSet iconSet="3ArrowsGray">
        <cfvo type="percent" val="0"/>
        <cfvo type="percent" val="33"/>
        <cfvo type="percent" val="67"/>
      </iconSet>
    </cfRule>
  </conditionalFormatting>
  <conditionalFormatting sqref="AN1:AN1048576">
    <cfRule type="colorScale" priority="107">
      <colorScale>
        <cfvo type="min"/>
        <cfvo type="percentile" val="50"/>
        <cfvo type="max"/>
        <color theme="5" tint="-0.249977111117893"/>
        <color theme="5" tint="0.39997558519241921"/>
        <color theme="5" tint="0.79998168889431442"/>
      </colorScale>
    </cfRule>
    <cfRule type="iconSet" priority="109">
      <iconSet iconSet="3ArrowsGray" reverse="1">
        <cfvo type="percent" val="0"/>
        <cfvo type="percent" val="33"/>
        <cfvo type="percent" val="67"/>
      </iconSet>
    </cfRule>
  </conditionalFormatting>
  <conditionalFormatting sqref="CX1:CX1048576">
    <cfRule type="colorScale" priority="103">
      <colorScale>
        <cfvo type="min"/>
        <cfvo type="percentile" val="50"/>
        <cfvo type="max"/>
        <color rgb="FFF8696B"/>
        <color theme="8" tint="0.79998168889431442"/>
        <color rgb="FF00B0F0"/>
      </colorScale>
    </cfRule>
    <cfRule type="iconSet" priority="104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Y1:CY1048576">
    <cfRule type="iconSet" priority="95">
      <iconSet iconSet="3Arrows">
        <cfvo type="percent" val="0"/>
        <cfvo type="percent" val="33"/>
        <cfvo type="percent" val="67"/>
      </iconSet>
    </cfRule>
    <cfRule type="colorScale" priority="96">
      <colorScale>
        <cfvo type="min"/>
        <cfvo type="percentile" val="50"/>
        <cfvo type="max"/>
        <color rgb="FFF8696B"/>
        <color theme="8" tint="0.79998168889431442"/>
        <color rgb="FF00B0F0"/>
      </colorScale>
    </cfRule>
  </conditionalFormatting>
  <conditionalFormatting sqref="CZ1:CZ1048576">
    <cfRule type="iconSet" priority="93">
      <iconSet iconSet="3Arrows" reverse="1">
        <cfvo type="percent" val="0"/>
        <cfvo type="percent" val="33"/>
        <cfvo type="percent" val="67"/>
      </iconSet>
    </cfRule>
    <cfRule type="colorScale" priority="94">
      <colorScale>
        <cfvo type="min"/>
        <cfvo type="max"/>
        <color rgb="FFFCFCFF"/>
        <color rgb="FFF8696B"/>
      </colorScale>
    </cfRule>
  </conditionalFormatting>
  <conditionalFormatting sqref="DA1:DA1048576">
    <cfRule type="iconSet" priority="91">
      <iconSet iconSet="3Arrows" reverse="1">
        <cfvo type="percent" val="0"/>
        <cfvo type="percent" val="33"/>
        <cfvo type="percent" val="67"/>
      </iconSet>
    </cfRule>
    <cfRule type="colorScale" priority="92">
      <colorScale>
        <cfvo type="min"/>
        <cfvo type="max"/>
        <color rgb="FFFCFCFF"/>
        <color rgb="FFF8696B"/>
      </colorScale>
    </cfRule>
  </conditionalFormatting>
  <conditionalFormatting sqref="DB1:DB1048576">
    <cfRule type="iconSet" priority="89">
      <iconSet iconSet="3Arrows" reverse="1">
        <cfvo type="percent" val="0"/>
        <cfvo type="percent" val="33"/>
        <cfvo type="percent" val="67"/>
      </iconSet>
    </cfRule>
    <cfRule type="colorScale" priority="90">
      <colorScale>
        <cfvo type="min"/>
        <cfvo type="max"/>
        <color rgb="FFFCFCFF"/>
        <color rgb="FFF8696B"/>
      </colorScale>
    </cfRule>
  </conditionalFormatting>
  <conditionalFormatting sqref="W1:W1048576">
    <cfRule type="iconSet" priority="8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1048576">
    <cfRule type="iconSet" priority="8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:S104857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:T104857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U1048576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104857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1:BM1048576">
    <cfRule type="colorScale" priority="2076819">
      <colorScale>
        <cfvo type="min"/>
        <cfvo type="max"/>
        <color rgb="FFFFEF9C"/>
        <color rgb="FF63BE7B"/>
      </colorScale>
    </cfRule>
  </conditionalFormatting>
  <conditionalFormatting sqref="AR1:AR1048576">
    <cfRule type="iconSet" priority="7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5">
      <colorScale>
        <cfvo type="min"/>
        <cfvo type="max"/>
        <color rgb="FFFFEF9C"/>
        <color rgb="FF63BE7B"/>
      </colorScale>
    </cfRule>
  </conditionalFormatting>
  <conditionalFormatting sqref="AS1:AS1048576">
    <cfRule type="iconSet" priority="7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3">
      <colorScale>
        <cfvo type="min"/>
        <cfvo type="max"/>
        <color rgb="FFFFEF9C"/>
        <color rgb="FF63BE7B"/>
      </colorScale>
    </cfRule>
  </conditionalFormatting>
  <conditionalFormatting sqref="AT1:AT1048576">
    <cfRule type="iconSet" priority="7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1:AY1048576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{86E95E8D-E0B4-4D9A-AA27-0ECF26914EFE}</x14:id>
        </ext>
      </extLst>
    </cfRule>
    <cfRule type="colorScale" priority="69">
      <colorScale>
        <cfvo type="min"/>
        <cfvo type="max"/>
        <color rgb="FFFCFCFF"/>
        <color rgb="FFF8696B"/>
      </colorScale>
    </cfRule>
  </conditionalFormatting>
  <conditionalFormatting sqref="AZ1:AZ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{442FCEE9-C163-4406-9C75-ED9168CEF606}</x14:id>
        </ext>
      </extLst>
    </cfRule>
    <cfRule type="colorScale" priority="68">
      <colorScale>
        <cfvo type="min"/>
        <cfvo type="max"/>
        <color rgb="FFFCFCFF"/>
        <color rgb="FFF8696B"/>
      </colorScale>
    </cfRule>
  </conditionalFormatting>
  <conditionalFormatting sqref="BA1:BA1048576">
    <cfRule type="colorScale" priority="67">
      <colorScale>
        <cfvo type="min"/>
        <cfvo type="max"/>
        <color rgb="FFFFEF9C"/>
        <color rgb="FF63BE7B"/>
      </colorScale>
    </cfRule>
  </conditionalFormatting>
  <conditionalFormatting sqref="BB1:BB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{F45F5E5B-CAEF-48E2-9502-82F3EF8ED100}</x14:id>
        </ext>
      </extLst>
    </cfRule>
    <cfRule type="colorScale" priority="66">
      <colorScale>
        <cfvo type="min"/>
        <cfvo type="max"/>
        <color rgb="FFFCFCFF"/>
        <color rgb="FFF8696B"/>
      </colorScale>
    </cfRule>
  </conditionalFormatting>
  <conditionalFormatting sqref="AU1:AU1048576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:AW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{4FAB539C-D42F-4DB9-B6AC-481FEF821EBB}</x14:id>
        </ext>
      </extLst>
    </cfRule>
    <cfRule type="iconSet" priority="61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62">
      <colorScale>
        <cfvo type="min"/>
        <cfvo type="max"/>
        <color rgb="FFFCFCFF"/>
        <color rgb="FFF8696B"/>
      </colorScale>
    </cfRule>
  </conditionalFormatting>
  <conditionalFormatting sqref="AV1:AV1048576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{48BFB06A-434A-4772-A325-4C015B737757}</x14:id>
        </ext>
      </extLst>
    </cfRule>
    <cfRule type="iconSet" priority="59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60">
      <colorScale>
        <cfvo type="min"/>
        <cfvo type="max"/>
        <color rgb="FFFCFCFF"/>
        <color rgb="FFF8696B"/>
      </colorScale>
    </cfRule>
  </conditionalFormatting>
  <conditionalFormatting sqref="CR1:CR1048576">
    <cfRule type="iconSet" priority="5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S1:CS1048576">
    <cfRule type="iconSet" priority="5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CT1048576">
    <cfRule type="iconSet" priority="5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U1:CU1048576">
    <cfRule type="iconSet" priority="5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V1:CV1048576">
    <cfRule type="iconSet" priority="4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W1:CW1048576">
    <cfRule type="iconSet" priority="4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1:CO10485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:CP1048576">
    <cfRule type="colorScale" priority="30">
      <colorScale>
        <cfvo type="num" val="-1"/>
        <cfvo type="num" val="0"/>
        <cfvo type="max"/>
        <color rgb="FF63BE7B"/>
        <color rgb="FFFFEB84"/>
        <color rgb="FFF8696B"/>
      </colorScale>
    </cfRule>
  </conditionalFormatting>
  <conditionalFormatting sqref="CL1:CL1048576">
    <cfRule type="iconSet" priority="2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1:CM1048576">
    <cfRule type="iconSet" priority="2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1:CN1048576">
    <cfRule type="iconSet" priority="19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1048576">
    <cfRule type="colorScale" priority="23953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Q1:CQ1048576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{3C6D9AB0-9EF5-47E4-A747-8E9A53086777}</x14:id>
        </ext>
      </extLst>
    </cfRule>
  </conditionalFormatting>
  <conditionalFormatting sqref="AD1:AD1048576">
    <cfRule type="dataBar" priority="6">
      <dataBar>
        <cfvo type="min"/>
        <cfvo type="max"/>
        <color rgb="FF00589A"/>
      </dataBar>
      <extLst>
        <ext xmlns:x14="http://schemas.microsoft.com/office/spreadsheetml/2009/9/main" uri="{B025F937-C7B1-47D3-B67F-A62EFF666E3E}">
          <x14:id>{BBC81912-40CE-4D27-891B-357B2262B56C}</x14:id>
        </ext>
      </extLst>
    </cfRule>
  </conditionalFormatting>
  <conditionalFormatting sqref="BN12:BS1048576 BN1:BP1 BN2:BN11">
    <cfRule type="colorScale" priority="23990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12:BX1048576 BX1">
    <cfRule type="colorScale" priority="23990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12:BV1048576 BT1:BT11 BV1:BV11">
    <cfRule type="colorScale" priority="23990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12:BU1048576 BT1:BT11">
    <cfRule type="colorScale" priority="23990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12:BV1048576 BT1:BT11 BV1:BV11">
    <cfRule type="colorScale" priority="2399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12:BS1048576 BK1:BP1 BK2:BN11">
    <cfRule type="colorScale" priority="2399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12:BS1048576 BK1:BP1 BK2:BN11">
    <cfRule type="colorScale" priority="23990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2:AA1048576 Y1:AA1 Y2:AC11 AE2:AL11">
    <cfRule type="colorScale" priority="23990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2:Y1048576 Y1 Y2:AC11 AE2:AL11">
    <cfRule type="colorScale" priority="23990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2:AX11">
    <cfRule type="colorScale" priority="23990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2:BZ11">
    <cfRule type="colorScale" priority="23990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2:CA11">
    <cfRule type="colorScale" priority="23990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2:CB11">
    <cfRule type="colorScale" priority="23990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2:BT11 BV2:BV11">
    <cfRule type="colorScale" priority="23990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2:BX11">
    <cfRule type="colorScale" priority="23990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2:BG11">
    <cfRule type="colorScale" priority="23990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:BU11">
    <cfRule type="colorScale" priority="2399096">
      <colorScale>
        <cfvo type="min"/>
        <cfvo type="max"/>
        <color rgb="FFFFEF9C"/>
        <color rgb="FF63BE7B"/>
      </colorScale>
    </cfRule>
  </conditionalFormatting>
  <conditionalFormatting sqref="BO2:BO11">
    <cfRule type="colorScale" priority="23990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2:BO11">
    <cfRule type="colorScale" priority="2399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2:BS11">
    <cfRule type="colorScale" priority="23990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2:BS11">
    <cfRule type="colorScale" priority="2399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2:DC11">
    <cfRule type="colorScale" priority="2399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2:DC11">
    <cfRule type="colorScale" priority="2399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2:DC11">
    <cfRule type="colorScale" priority="2399103">
      <colorScale>
        <cfvo type="min"/>
        <cfvo type="max"/>
        <color rgb="FFFFEF9C"/>
        <color rgb="FF63BE7B"/>
      </colorScale>
    </cfRule>
  </conditionalFormatting>
  <conditionalFormatting sqref="CC2:CI11">
    <cfRule type="colorScale" priority="2399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2:CI11">
    <cfRule type="colorScale" priority="2399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2:CI11">
    <cfRule type="colorScale" priority="2399106">
      <colorScale>
        <cfvo type="min"/>
        <cfvo type="max"/>
        <color rgb="FFFFEF9C"/>
        <color rgb="FF63BE7B"/>
      </colorScale>
    </cfRule>
  </conditionalFormatting>
  <conditionalFormatting sqref="CH1:CH11">
    <cfRule type="colorScale" priority="2399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:AC11 AE2:AG11">
    <cfRule type="colorScale" priority="2399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C11 AE2:AG11">
    <cfRule type="colorScale" priority="2399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:AC11 AE2:AG11">
    <cfRule type="colorScale" priority="2399112">
      <colorScale>
        <cfvo type="min"/>
        <cfvo type="max"/>
        <color rgb="FFFFEF9C"/>
        <color rgb="FF63BE7B"/>
      </colorScale>
    </cfRule>
  </conditionalFormatting>
  <conditionalFormatting sqref="CJ2:CJ11">
    <cfRule type="colorScale" priority="2399114">
      <colorScale>
        <cfvo type="min"/>
        <cfvo type="max"/>
        <color rgb="FFFFEF9C"/>
        <color rgb="FF63BE7B"/>
      </colorScale>
    </cfRule>
  </conditionalFormatting>
  <conditionalFormatting sqref="CJ2:CJ11">
    <cfRule type="colorScale" priority="2399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2:BN11">
    <cfRule type="colorScale" priority="2399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2:BN11">
    <cfRule type="colorScale" priority="2399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11">
    <cfRule type="colorScale" priority="2399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1">
    <cfRule type="iconSet" priority="239911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99120">
      <colorScale>
        <cfvo type="min"/>
        <cfvo type="num" val="75"/>
        <cfvo type="num" val="90"/>
        <color rgb="FFF8696B"/>
        <color rgb="FFFFEB84"/>
        <color rgb="FF63BE7B"/>
      </colorScale>
    </cfRule>
  </conditionalFormatting>
  <conditionalFormatting sqref="O2:O11">
    <cfRule type="dataBar" priority="2399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{BB8606C0-344E-457D-8F38-C8487DBEC240}</x14:id>
        </ext>
      </extLst>
    </cfRule>
    <cfRule type="colorScale" priority="2399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1">
    <cfRule type="colorScale" priority="2399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BEE6840-99D9-4160-BA1B-72FACB87E6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AJ1:AJ1048576</xm:sqref>
        </x14:conditionalFormatting>
        <x14:conditionalFormatting xmlns:xm="http://schemas.microsoft.com/office/excel/2006/main">
          <x14:cfRule type="dataBar" id="{E9EFC9C9-0CAE-406B-9CD0-E96A381458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AL1:AL1048576</xm:sqref>
        </x14:conditionalFormatting>
        <x14:conditionalFormatting xmlns:xm="http://schemas.microsoft.com/office/excel/2006/main">
          <x14:cfRule type="dataBar" id="{735C0E13-374C-47B7-92B3-49D157C4AB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AE1:AE1048576</xm:sqref>
        </x14:conditionalFormatting>
        <x14:conditionalFormatting xmlns:xm="http://schemas.microsoft.com/office/excel/2006/main">
          <x14:cfRule type="dataBar" id="{9564D87C-A908-44E0-9614-D4C1C9B4DC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AF1:AF1048576</xm:sqref>
        </x14:conditionalFormatting>
        <x14:conditionalFormatting xmlns:xm="http://schemas.microsoft.com/office/excel/2006/main">
          <x14:cfRule type="dataBar" id="{894C061B-733F-4E6D-ADBF-F218639729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AG1:AG1048576</xm:sqref>
        </x14:conditionalFormatting>
        <x14:conditionalFormatting xmlns:xm="http://schemas.microsoft.com/office/excel/2006/main">
          <x14:cfRule type="dataBar" id="{B7EFE5DE-0AE2-435C-B0DE-FE6F77F733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AH1:AH1048576</xm:sqref>
        </x14:conditionalFormatting>
        <x14:conditionalFormatting xmlns:xm="http://schemas.microsoft.com/office/excel/2006/main">
          <x14:cfRule type="dataBar" id="{0DF6CD23-CEEB-4074-ACD1-A2C0849135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AI1:AI1048576</xm:sqref>
        </x14:conditionalFormatting>
        <x14:conditionalFormatting xmlns:xm="http://schemas.microsoft.com/office/excel/2006/main">
          <x14:cfRule type="dataBar" id="{A3BC3AC7-14A9-4364-9107-F74DF2124D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AK1:AK1048576</xm:sqref>
        </x14:conditionalFormatting>
        <x14:conditionalFormatting xmlns:xm="http://schemas.microsoft.com/office/excel/2006/main">
          <x14:cfRule type="dataBar" id="{B6818099-FC14-42BA-B46E-6CFFD247E3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BQ1:BQ1048576</xm:sqref>
        </x14:conditionalFormatting>
        <x14:conditionalFormatting xmlns:xm="http://schemas.microsoft.com/office/excel/2006/main">
          <x14:cfRule type="dataBar" id="{C5A2172C-C906-4F46-B782-516E132FED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BR1:BR1048576</xm:sqref>
        </x14:conditionalFormatting>
        <x14:conditionalFormatting xmlns:xm="http://schemas.microsoft.com/office/excel/2006/main">
          <x14:cfRule type="dataBar" id="{DE283332-3E2D-474B-923C-9D2DDC60591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61122CD-B5E5-4210-806A-062E043B67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BS1:BS1048576</xm:sqref>
        </x14:conditionalFormatting>
        <x14:conditionalFormatting xmlns:xm="http://schemas.microsoft.com/office/excel/2006/main">
          <x14:cfRule type="dataBar" id="{86E95E8D-E0B4-4D9A-AA27-0ECF26914E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AY1:AY1048576</xm:sqref>
        </x14:conditionalFormatting>
        <x14:conditionalFormatting xmlns:xm="http://schemas.microsoft.com/office/excel/2006/main">
          <x14:cfRule type="dataBar" id="{442FCEE9-C163-4406-9C75-ED9168CEF60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AZ1:AZ1048576</xm:sqref>
        </x14:conditionalFormatting>
        <x14:conditionalFormatting xmlns:xm="http://schemas.microsoft.com/office/excel/2006/main">
          <x14:cfRule type="dataBar" id="{F45F5E5B-CAEF-48E2-9502-82F3EF8ED1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BB1:BB1048576</xm:sqref>
        </x14:conditionalFormatting>
        <x14:conditionalFormatting xmlns:xm="http://schemas.microsoft.com/office/excel/2006/main">
          <x14:cfRule type="dataBar" id="{4FAB539C-D42F-4DB9-B6AC-481FEF821E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AW1:AW1048576</xm:sqref>
        </x14:conditionalFormatting>
        <x14:conditionalFormatting xmlns:xm="http://schemas.microsoft.com/office/excel/2006/main">
          <x14:cfRule type="dataBar" id="{48BFB06A-434A-4772-A325-4C015B737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AV1:AV1048576</xm:sqref>
        </x14:conditionalFormatting>
        <x14:conditionalFormatting xmlns:xm="http://schemas.microsoft.com/office/excel/2006/main">
          <x14:cfRule type="dataBar" id="{3C6D9AB0-9EF5-47E4-A747-8E9A530867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CQ1:CQ1048576</xm:sqref>
        </x14:conditionalFormatting>
        <x14:conditionalFormatting xmlns:xm="http://schemas.microsoft.com/office/excel/2006/main">
          <x14:cfRule type="dataBar" id="{BBC81912-40CE-4D27-891B-357B2262B5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dataBar" id="{BB8606C0-344E-457D-8F38-C8487DBEC2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O2:O11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theme="9" tint="-0.249977111117893"/>
  </sheetPr>
  <dimension ref="A1:EU1001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27.95" customHeight="1" x14ac:dyDescent="0.25"/>
  <cols>
    <col min="2" max="2" width="30.7109375" customWidth="1"/>
    <col min="3" max="3" width="12.5703125" customWidth="1"/>
    <col min="4" max="4" width="21.7109375" customWidth="1"/>
    <col min="5" max="5" width="24.42578125" bestFit="1" customWidth="1"/>
    <col min="6" max="6" width="14.7109375" customWidth="1"/>
    <col min="7" max="7" width="18.28515625" customWidth="1"/>
    <col min="8" max="8" width="15.7109375" customWidth="1"/>
    <col min="9" max="9" width="15.85546875" style="13" customWidth="1"/>
    <col min="10" max="10" width="17.28515625" bestFit="1" customWidth="1"/>
    <col min="11" max="11" width="11.140625" customWidth="1"/>
    <col min="12" max="12" width="15.28515625" customWidth="1"/>
    <col min="13" max="25" width="18.7109375" customWidth="1"/>
    <col min="26" max="26" width="20.5703125" customWidth="1"/>
    <col min="27" max="65" width="18.7109375" customWidth="1"/>
    <col min="66" max="67" width="18.7109375" style="1" customWidth="1"/>
    <col min="68" max="71" width="18.7109375" customWidth="1"/>
    <col min="72" max="78" width="18.7109375" style="1" customWidth="1"/>
    <col min="79" max="81" width="18.7109375" style="206" customWidth="1"/>
    <col min="82" max="82" width="18.7109375" style="352" customWidth="1"/>
    <col min="83" max="108" width="18.7109375" customWidth="1"/>
    <col min="109" max="109" width="18.7109375" style="103" customWidth="1"/>
    <col min="110" max="110" width="8.7109375" style="1" customWidth="1"/>
    <col min="111" max="120" width="11.7109375" style="1" customWidth="1"/>
    <col min="121" max="121" width="11.7109375" style="206" customWidth="1"/>
    <col min="122" max="141" width="11.7109375" style="1" customWidth="1"/>
    <col min="142" max="143" width="9.140625" style="1"/>
    <col min="144" max="150" width="11.7109375" style="1" customWidth="1"/>
    <col min="151" max="151" width="11.7109375" style="206" customWidth="1"/>
  </cols>
  <sheetData>
    <row r="1" spans="1:151" ht="50.1" customHeight="1" thickBot="1" x14ac:dyDescent="0.3">
      <c r="A1" s="112"/>
      <c r="B1" s="4" t="s">
        <v>20</v>
      </c>
      <c r="C1" s="4" t="s">
        <v>214</v>
      </c>
      <c r="D1" s="94" t="s">
        <v>232</v>
      </c>
      <c r="E1" s="4" t="s">
        <v>28</v>
      </c>
      <c r="F1" s="4" t="s">
        <v>29</v>
      </c>
      <c r="G1" s="4" t="s">
        <v>88</v>
      </c>
      <c r="H1" s="4" t="s">
        <v>1</v>
      </c>
      <c r="I1" s="85" t="s">
        <v>3</v>
      </c>
      <c r="J1" s="4" t="s">
        <v>21</v>
      </c>
      <c r="K1" s="4" t="s">
        <v>231</v>
      </c>
      <c r="L1" s="30" t="s">
        <v>121</v>
      </c>
      <c r="M1" s="30" t="s">
        <v>420</v>
      </c>
      <c r="N1" s="30" t="s">
        <v>421</v>
      </c>
      <c r="O1" s="30" t="s">
        <v>424</v>
      </c>
      <c r="P1" s="224" t="s">
        <v>22</v>
      </c>
      <c r="Q1" s="224" t="s">
        <v>24</v>
      </c>
      <c r="R1" s="224" t="s">
        <v>66</v>
      </c>
      <c r="S1" s="98" t="s">
        <v>38</v>
      </c>
      <c r="T1" s="98" t="s">
        <v>417</v>
      </c>
      <c r="U1" s="98" t="s">
        <v>416</v>
      </c>
      <c r="V1" s="104" t="s">
        <v>822</v>
      </c>
      <c r="W1" s="104" t="s">
        <v>825</v>
      </c>
      <c r="X1" s="104" t="s">
        <v>816</v>
      </c>
      <c r="Y1" s="104" t="s">
        <v>826</v>
      </c>
      <c r="Z1" s="104" t="s">
        <v>823</v>
      </c>
      <c r="AA1" s="104" t="s">
        <v>817</v>
      </c>
      <c r="AB1" s="104" t="s">
        <v>241</v>
      </c>
      <c r="AC1" s="104" t="s">
        <v>238</v>
      </c>
      <c r="AD1" s="105" t="s">
        <v>239</v>
      </c>
      <c r="AE1" s="104" t="s">
        <v>240</v>
      </c>
      <c r="AF1" s="38" t="s">
        <v>22</v>
      </c>
      <c r="AG1" s="38" t="s">
        <v>65</v>
      </c>
      <c r="AH1" s="38" t="s">
        <v>66</v>
      </c>
      <c r="AI1" s="38" t="s">
        <v>54</v>
      </c>
      <c r="AJ1" s="38" t="s">
        <v>318</v>
      </c>
      <c r="AK1" s="38" t="s">
        <v>150</v>
      </c>
      <c r="AL1" s="38" t="s">
        <v>155</v>
      </c>
      <c r="AM1" s="38" t="s">
        <v>432</v>
      </c>
      <c r="AN1" s="351" t="s">
        <v>92</v>
      </c>
      <c r="AO1" s="351" t="s">
        <v>181</v>
      </c>
      <c r="AP1" s="46" t="s">
        <v>7</v>
      </c>
      <c r="AQ1" s="46" t="s">
        <v>475</v>
      </c>
      <c r="AR1" s="46" t="s">
        <v>476</v>
      </c>
      <c r="AS1" s="46" t="s">
        <v>169</v>
      </c>
      <c r="AT1" s="46" t="s">
        <v>337</v>
      </c>
      <c r="AU1" s="46" t="s">
        <v>345</v>
      </c>
      <c r="AV1" s="46" t="s">
        <v>346</v>
      </c>
      <c r="AW1" s="46" t="s">
        <v>542</v>
      </c>
      <c r="AX1" s="46" t="s">
        <v>541</v>
      </c>
      <c r="AY1" s="26" t="s">
        <v>390</v>
      </c>
      <c r="AZ1" s="26" t="s">
        <v>391</v>
      </c>
      <c r="BA1" s="4" t="s">
        <v>392</v>
      </c>
      <c r="BB1" s="17" t="s">
        <v>78</v>
      </c>
      <c r="BC1" s="17" t="s">
        <v>53</v>
      </c>
      <c r="BD1" s="17" t="s">
        <v>117</v>
      </c>
      <c r="BE1" s="17" t="s">
        <v>129</v>
      </c>
      <c r="BF1" s="17" t="s">
        <v>130</v>
      </c>
      <c r="BG1" s="17" t="s">
        <v>52</v>
      </c>
      <c r="BH1" s="17" t="s">
        <v>27</v>
      </c>
      <c r="BI1" s="17" t="s">
        <v>87</v>
      </c>
      <c r="BJ1" s="40" t="s">
        <v>442</v>
      </c>
      <c r="BK1" s="40" t="s">
        <v>434</v>
      </c>
      <c r="BL1" s="40" t="s">
        <v>444</v>
      </c>
      <c r="BM1" s="174" t="s">
        <v>445</v>
      </c>
      <c r="BN1" s="17" t="s">
        <v>443</v>
      </c>
      <c r="BO1" s="46" t="s">
        <v>450</v>
      </c>
      <c r="BP1" s="4" t="s">
        <v>350</v>
      </c>
      <c r="BQ1" s="4" t="s">
        <v>351</v>
      </c>
      <c r="BR1" s="4" t="s">
        <v>62</v>
      </c>
      <c r="BS1" s="4" t="s">
        <v>175</v>
      </c>
      <c r="BT1" s="41" t="s">
        <v>426</v>
      </c>
      <c r="BU1" s="41" t="s">
        <v>330</v>
      </c>
      <c r="BV1" s="41" t="s">
        <v>436</v>
      </c>
      <c r="BW1" s="16" t="s">
        <v>435</v>
      </c>
      <c r="BX1" s="40" t="s">
        <v>61</v>
      </c>
      <c r="BY1" s="40" t="s">
        <v>86</v>
      </c>
      <c r="BZ1" s="174" t="s">
        <v>399</v>
      </c>
      <c r="CA1" s="353" t="s">
        <v>828</v>
      </c>
      <c r="CB1" s="353" t="s">
        <v>318</v>
      </c>
      <c r="CC1" s="353" t="s">
        <v>829</v>
      </c>
      <c r="CD1" s="354" t="s">
        <v>827</v>
      </c>
      <c r="CE1" s="204" t="s">
        <v>26</v>
      </c>
      <c r="CF1" s="205" t="s">
        <v>120</v>
      </c>
      <c r="CG1" s="200" t="s">
        <v>488</v>
      </c>
      <c r="CH1" s="200" t="s">
        <v>489</v>
      </c>
      <c r="CI1" s="200" t="s">
        <v>487</v>
      </c>
      <c r="CJ1" s="200" t="s">
        <v>490</v>
      </c>
      <c r="CK1" s="200" t="s">
        <v>491</v>
      </c>
      <c r="CL1" s="22" t="s">
        <v>248</v>
      </c>
      <c r="CM1" s="22" t="s">
        <v>249</v>
      </c>
      <c r="CN1" s="34" t="s">
        <v>311</v>
      </c>
      <c r="CO1" s="34" t="s">
        <v>312</v>
      </c>
      <c r="CP1" s="141" t="s">
        <v>154</v>
      </c>
      <c r="CQ1" s="52" t="s">
        <v>134</v>
      </c>
      <c r="CR1" s="52" t="s">
        <v>313</v>
      </c>
      <c r="CS1" s="46" t="s">
        <v>314</v>
      </c>
      <c r="CT1" s="52" t="s">
        <v>393</v>
      </c>
      <c r="CU1" s="46" t="s">
        <v>208</v>
      </c>
      <c r="CV1" s="52" t="s">
        <v>207</v>
      </c>
      <c r="CW1" s="46" t="s">
        <v>135</v>
      </c>
      <c r="CX1" s="43" t="s">
        <v>414</v>
      </c>
      <c r="CY1" s="43" t="s">
        <v>415</v>
      </c>
      <c r="CZ1" s="43" t="s">
        <v>180</v>
      </c>
      <c r="DA1" s="45" t="s">
        <v>347</v>
      </c>
      <c r="DB1" s="45" t="s">
        <v>81</v>
      </c>
      <c r="DC1" s="40" t="s">
        <v>431</v>
      </c>
      <c r="DD1" s="40" t="s">
        <v>167</v>
      </c>
      <c r="DE1" s="110" t="s">
        <v>25</v>
      </c>
      <c r="DF1" s="292" t="s">
        <v>14</v>
      </c>
      <c r="DG1" s="293" t="s">
        <v>620</v>
      </c>
      <c r="DH1" s="293" t="s">
        <v>20</v>
      </c>
      <c r="DI1" s="293" t="s">
        <v>1</v>
      </c>
      <c r="DJ1" s="293" t="s">
        <v>0</v>
      </c>
      <c r="DK1" s="293" t="s">
        <v>29</v>
      </c>
      <c r="DL1" s="293" t="s">
        <v>40</v>
      </c>
      <c r="DM1" s="293" t="s">
        <v>2</v>
      </c>
      <c r="DN1" s="293" t="s">
        <v>3</v>
      </c>
      <c r="DO1" s="293" t="s">
        <v>89</v>
      </c>
      <c r="DP1" s="293" t="s">
        <v>621</v>
      </c>
      <c r="DQ1" s="293" t="s">
        <v>682</v>
      </c>
      <c r="DR1" s="293" t="s">
        <v>30</v>
      </c>
      <c r="DS1" s="293" t="s">
        <v>683</v>
      </c>
      <c r="DT1" s="293" t="s">
        <v>684</v>
      </c>
      <c r="DU1" s="293" t="s">
        <v>4</v>
      </c>
      <c r="DV1" s="293" t="s">
        <v>179</v>
      </c>
      <c r="DW1" s="293" t="s">
        <v>7</v>
      </c>
      <c r="DX1" s="293" t="s">
        <v>166</v>
      </c>
      <c r="DY1" s="293" t="s">
        <v>645</v>
      </c>
      <c r="DZ1" s="293" t="s">
        <v>646</v>
      </c>
      <c r="EA1" s="293" t="s">
        <v>15</v>
      </c>
      <c r="EB1" s="293" t="s">
        <v>16</v>
      </c>
      <c r="EC1" s="293" t="s">
        <v>648</v>
      </c>
      <c r="ED1" s="293" t="s">
        <v>647</v>
      </c>
      <c r="EE1" s="293" t="s">
        <v>10</v>
      </c>
      <c r="EF1" s="293" t="s">
        <v>8</v>
      </c>
      <c r="EG1" s="293" t="s">
        <v>9</v>
      </c>
      <c r="EH1" s="293" t="s">
        <v>189</v>
      </c>
      <c r="EI1" s="293" t="s">
        <v>190</v>
      </c>
      <c r="EJ1" s="293" t="s">
        <v>568</v>
      </c>
      <c r="EK1" s="293" t="s">
        <v>569</v>
      </c>
      <c r="EL1" s="293" t="s">
        <v>93</v>
      </c>
      <c r="EM1" s="293" t="s">
        <v>94</v>
      </c>
      <c r="EN1" s="293" t="s">
        <v>810</v>
      </c>
      <c r="EO1" s="293" t="s">
        <v>786</v>
      </c>
      <c r="EP1" s="293" t="s">
        <v>685</v>
      </c>
      <c r="EQ1" s="293" t="s">
        <v>5</v>
      </c>
      <c r="ER1" s="293" t="s">
        <v>103</v>
      </c>
      <c r="ES1" s="293" t="s">
        <v>167</v>
      </c>
      <c r="ET1" s="293" t="s">
        <v>18</v>
      </c>
      <c r="EU1" s="294" t="s">
        <v>642</v>
      </c>
    </row>
    <row r="2" spans="1:151" ht="24.95" customHeight="1" thickBot="1" x14ac:dyDescent="0.3">
      <c r="A2" s="29" t="str">
        <f t="shared" ref="A2:A11" si="0">ROW()-1 &amp; "º"</f>
        <v>1º</v>
      </c>
      <c r="B2" s="69" t="str">
        <f t="shared" ref="B2:B11" si="1">DH2</f>
        <v>Bruno Gomes</v>
      </c>
      <c r="C2" s="86" t="str">
        <f t="shared" ref="C2:C11" si="2">DG2</f>
        <v>BRA</v>
      </c>
      <c r="D2" s="99" t="str">
        <f t="shared" ref="D2:D11" si="3">DL2</f>
        <v>Pé Direito</v>
      </c>
      <c r="E2" s="9" t="str">
        <f t="shared" ref="E2:E11" si="4">DJ2</f>
        <v>Internacional</v>
      </c>
      <c r="F2" s="168">
        <f t="shared" ref="F2:F11" si="5">IFERROR(SUBSTITUTE(DK2," cm","")/100,0)</f>
        <v>1.75</v>
      </c>
      <c r="G2" s="35">
        <f t="shared" ref="G2:G11" si="6">IF(DO2="-", "Sem Data Final", DO2)</f>
        <v>46752</v>
      </c>
      <c r="H2" s="7">
        <f t="shared" ref="H2:H11" si="7">DI2</f>
        <v>25</v>
      </c>
      <c r="I2" s="344" t="str">
        <f t="shared" ref="I2:I11" si="8">DN2</f>
        <v>26,5m € p/m</v>
      </c>
      <c r="J2" s="3" t="str">
        <f t="shared" ref="J2:J11" si="9">DM2</f>
        <v>650m € - 8M €</v>
      </c>
      <c r="K2" s="96">
        <f t="shared" ref="K2:K11" si="10">AVERAGE(L:L)</f>
        <v>27.547777777777775</v>
      </c>
      <c r="L2" s="145">
        <f t="shared" ref="L2:L11" si="11">DP2/90</f>
        <v>33.5</v>
      </c>
      <c r="M2" s="146">
        <f t="shared" ref="M2:M11" si="12">IF(ISERROR(FIND("(",DQ2)), VALUE(DQ2), VALUE(LEFT(DQ2,FIND("(",DQ2)-2)) + VALUE(MID(DQ2,FIND("(",DQ2)+1,FIND(")",DQ2)-FIND("(",DQ2)-1)))</f>
        <v>39</v>
      </c>
      <c r="N2" s="146">
        <f t="shared" ref="N2:N11" si="13">IFERROR(DP2/M2,0)</f>
        <v>77.307692307692307</v>
      </c>
      <c r="O2" s="187">
        <f t="shared" ref="O2:O11" si="14">IFERROR(IF(ISERROR(FIND("(",DQ2)), "100%", TEXT(VALUE(LEFT(DQ2,FIND("(",DQ2)-2)) / (VALUE(LEFT(DQ2,FIND("(",DQ2)-2)) + VALUE(MID(DQ2,FIND("(",DQ2)+1,FIND(")",DQ2)-FIND("(",DQ2)-1))),"0%")),0)*1</f>
        <v>0.92</v>
      </c>
      <c r="P2" s="2">
        <f t="shared" ref="P2:P11" si="15">DS2</f>
        <v>2</v>
      </c>
      <c r="Q2" s="2">
        <f t="shared" ref="Q2:Q11" si="16">DT2</f>
        <v>6</v>
      </c>
      <c r="R2" s="2">
        <f t="shared" ref="R2:R11" si="17">P2+Q2</f>
        <v>8</v>
      </c>
      <c r="S2" s="6">
        <f t="shared" ref="S2:S11" si="18">DR2</f>
        <v>0</v>
      </c>
      <c r="T2" s="24">
        <f t="shared" ref="T2:T11" si="19">IFERROR(DP2/S2,5000)</f>
        <v>5000</v>
      </c>
      <c r="U2" s="21">
        <f t="shared" ref="U2:U11" si="20">(S2*1)/L2</f>
        <v>0</v>
      </c>
      <c r="V2" s="343">
        <f t="shared" ref="V2:V11" si="21">EL2-EJ2</f>
        <v>0</v>
      </c>
      <c r="W2" s="345">
        <f t="shared" ref="W2:W11" si="22">IFERROR(V2/L2,0)</f>
        <v>0</v>
      </c>
      <c r="X2" s="343">
        <f t="shared" ref="X2:X11" si="23">EM2-EK2</f>
        <v>0</v>
      </c>
      <c r="Y2" s="345">
        <f t="shared" ref="Y2:Y11" si="24">IFERROR(X2/L2,0)</f>
        <v>0</v>
      </c>
      <c r="Z2" s="332">
        <f t="shared" ref="Z2:Z11" si="25">IFERROR(X2/V2,0)</f>
        <v>0</v>
      </c>
      <c r="AA2" s="343">
        <f t="shared" ref="AA2:AA11" si="26">EP2</f>
        <v>1</v>
      </c>
      <c r="AB2" s="328">
        <f t="shared" ref="AB2:AB11" si="27">EQ2</f>
        <v>0</v>
      </c>
      <c r="AC2" s="328">
        <f t="shared" ref="AC2:AC11" si="28">ER2</f>
        <v>0</v>
      </c>
      <c r="AD2" s="328">
        <f t="shared" ref="AD2:AD11" si="29">EQ2-ER2</f>
        <v>0</v>
      </c>
      <c r="AE2" s="21">
        <f t="shared" ref="AE2:AE11" si="30">IFERROR((ER2*1)/EQ2,0.0000001)</f>
        <v>9.9999999999999995E-8</v>
      </c>
      <c r="AF2" s="6">
        <f t="shared" ref="AF2:AF11" si="31">DS2</f>
        <v>2</v>
      </c>
      <c r="AG2" s="6">
        <f t="shared" ref="AG2:AG11" si="32">DT2</f>
        <v>6</v>
      </c>
      <c r="AH2" s="6">
        <f t="shared" ref="AH2:AH11" si="33">AF2+AG2</f>
        <v>8</v>
      </c>
      <c r="AI2" s="6">
        <f t="shared" ref="AI2:AI11" si="34">AF2-ER2</f>
        <v>2</v>
      </c>
      <c r="AJ2" s="2">
        <f t="shared" ref="AJ2:AJ11" si="35">EN2</f>
        <v>1</v>
      </c>
      <c r="AK2" s="5">
        <f t="shared" ref="AK2:AK11" si="36">IFERROR((P2/L2),0)</f>
        <v>5.9701492537313432E-2</v>
      </c>
      <c r="AL2" s="5">
        <f t="shared" ref="AL2:AL11" si="37">IFERROR((Q2/L2),0)</f>
        <v>0.17910447761194029</v>
      </c>
      <c r="AM2" s="5">
        <f t="shared" ref="AM2:AM11" si="38">IFERROR((P2+Q2)/L2,0)</f>
        <v>0.23880597014925373</v>
      </c>
      <c r="AN2" s="349">
        <f t="shared" ref="AN2:AN11" si="39">EE2</f>
        <v>81</v>
      </c>
      <c r="AO2" s="350">
        <f t="shared" ref="AO2:AO11" si="40">IFERROR(AN2/L2,0)</f>
        <v>2.4179104477611939</v>
      </c>
      <c r="AP2" s="5">
        <f t="shared" ref="AP2:AP11" si="41">SUBSTITUTE(DW2,".","," )*1</f>
        <v>1.65</v>
      </c>
      <c r="AQ2" s="5">
        <f t="shared" ref="AQ2:AQ11" si="42">IFERROR(AP2-(EQ2*0.79),0)</f>
        <v>1.65</v>
      </c>
      <c r="AR2" s="5">
        <f t="shared" ref="AR2:AR11" si="43">IFERROR(AQ2/L2,0)</f>
        <v>4.9253731343283577E-2</v>
      </c>
      <c r="AS2" s="5">
        <f t="shared" ref="AS2:AS11" si="44">SUBSTITUTE(DX2,".","," )*1</f>
        <v>5.74</v>
      </c>
      <c r="AT2" s="5">
        <f t="shared" ref="AT2:AT11" si="45">IFERROR(AS2/L2,0)</f>
        <v>0.17134328358208956</v>
      </c>
      <c r="AU2" s="5">
        <f t="shared" ref="AU2:AU11" si="46">AQ2+AS2</f>
        <v>7.3900000000000006</v>
      </c>
      <c r="AV2" s="5">
        <f t="shared" ref="AV2:AV11" si="47">IFERROR(AU2/L2,0)</f>
        <v>0.22059701492537315</v>
      </c>
      <c r="AW2" s="21">
        <f t="shared" ref="AW2:AW11" si="48">IFERROR(AS2/(AS2+DT2),0)</f>
        <v>0.48892674616695059</v>
      </c>
      <c r="AX2" s="21">
        <f t="shared" ref="AX2:AX11" si="49">IFERROR(DS2/(DS2+AP2),0)</f>
        <v>0.54794520547945202</v>
      </c>
      <c r="AY2" s="6">
        <f t="shared" ref="AY2:AY11" si="50">EJ2</f>
        <v>188</v>
      </c>
      <c r="AZ2" s="6">
        <f t="shared" ref="AZ2:AZ11" si="51">EK2</f>
        <v>36</v>
      </c>
      <c r="BA2" s="21">
        <f t="shared" ref="BA2:BA11" si="52">IFERROR((AZ2*1)/AY2,0)</f>
        <v>0.19148936170212766</v>
      </c>
      <c r="BB2" s="6">
        <f t="shared" ref="BB2:BB11" si="53">EA2</f>
        <v>1687</v>
      </c>
      <c r="BC2" s="6">
        <f t="shared" ref="BC2:BC11" si="54">EB2</f>
        <v>1510</v>
      </c>
      <c r="BD2" s="24">
        <f t="shared" ref="BD2:BD11" si="55">IFERROR(EA2/L2,0)</f>
        <v>50.35820895522388</v>
      </c>
      <c r="BE2" s="24">
        <f t="shared" ref="BE2:BE11" si="56">IFERROR(EB2/L2,0)</f>
        <v>45.07462686567164</v>
      </c>
      <c r="BF2" s="24">
        <f t="shared" ref="BF2:BF11" si="57">IFERROR(BD2-BE2,0)</f>
        <v>5.2835820895522403</v>
      </c>
      <c r="BG2" s="20">
        <f t="shared" ref="BG2:BG11" si="58">IFERROR((EB2*1)/EA2,0)</f>
        <v>0.89508002371072914</v>
      </c>
      <c r="BH2" s="6">
        <f t="shared" ref="BH2:BH11" si="59">IFERROR(EA2-EB2,0)</f>
        <v>177</v>
      </c>
      <c r="BI2" s="21">
        <f t="shared" ref="BI2:BI11" si="60">100%-BG2</f>
        <v>0.10491997628927086</v>
      </c>
      <c r="BJ2" s="211">
        <f t="shared" ref="BJ2:BJ11" si="61">IFERROR(EC2,0)</f>
        <v>62</v>
      </c>
      <c r="BK2" s="199">
        <f t="shared" ref="BK2:BK11" si="62">IFERROR(BJ2/L2,0)</f>
        <v>1.8507462686567164</v>
      </c>
      <c r="BL2" s="5">
        <f t="shared" ref="BL2:BL11" si="63">IFERROR(EC2/DT2,25)</f>
        <v>10.333333333333334</v>
      </c>
      <c r="BM2" s="21">
        <f t="shared" ref="BM2:BM11" si="64">IFERROR(DT2/EC2,0)</f>
        <v>9.6774193548387094E-2</v>
      </c>
      <c r="BN2" s="5">
        <f t="shared" ref="BN2:BN11" si="65">IFERROR((AS2-DT2),0)</f>
        <v>-0.25999999999999979</v>
      </c>
      <c r="BO2" s="5">
        <f t="shared" ref="BO2:BO11" si="66">IFERROR(AS2/EC2,0)</f>
        <v>9.2580645161290331E-2</v>
      </c>
      <c r="BP2" s="24">
        <f t="shared" ref="BP2:BP11" si="67">IFERROR(DP2/EC2,0)</f>
        <v>48.62903225806452</v>
      </c>
      <c r="BQ2" s="5">
        <f t="shared" ref="BQ2:BQ11" si="68">IFERROR(DP2/((DU2-EQ2)+EG2+EC2),0)</f>
        <v>34.261363636363633</v>
      </c>
      <c r="BR2" s="5">
        <f t="shared" ref="BR2:BR11" si="69">IFERROR(DS2-AP2,0)</f>
        <v>0.35000000000000009</v>
      </c>
      <c r="BS2" s="5">
        <f t="shared" ref="BS2:BS11" si="70">IFERROR(BR2-(ER2*0.79),0)</f>
        <v>0.35000000000000009</v>
      </c>
      <c r="BT2" s="6">
        <f t="shared" ref="BT2:BT11" si="71">IFERROR(EF2-EQ2,0)</f>
        <v>22</v>
      </c>
      <c r="BU2" s="5">
        <f t="shared" ref="BU2:BU11" si="72">IFERROR(BT2/L2,0)</f>
        <v>0.65671641791044777</v>
      </c>
      <c r="BV2" s="5">
        <f t="shared" ref="BV2:BV11" si="73">IFERROR((EG2-ER2)/L2,0)</f>
        <v>0.26865671641791045</v>
      </c>
      <c r="BW2" s="21">
        <f t="shared" ref="BW2:BW11" si="74">IFERROR(((EG2-ER2)/(EF2-EQ2)),0)</f>
        <v>0.40909090909090912</v>
      </c>
      <c r="BX2" s="5">
        <f t="shared" ref="BX2:BX11" si="75">IFERROR(BT2/(DS2-ER2),50)</f>
        <v>11</v>
      </c>
      <c r="BY2" s="5">
        <f t="shared" ref="BY2:BY11" si="76">IFERROR(EG2/DS2,50)</f>
        <v>4.5</v>
      </c>
      <c r="BZ2" s="21">
        <f t="shared" ref="BZ2:BZ11" si="77">IFERROR(AI2/BT2,0)</f>
        <v>9.0909090909090912E-2</v>
      </c>
      <c r="CA2" s="343">
        <f t="shared" ref="CA2:CA11" si="78">DS2-EN2-EQ2</f>
        <v>1</v>
      </c>
      <c r="CB2" s="343">
        <f t="shared" ref="CB2:CB11" si="79">EN2</f>
        <v>1</v>
      </c>
      <c r="CC2" s="343">
        <f t="shared" ref="CC2:CC11" si="80">EQ2</f>
        <v>0</v>
      </c>
      <c r="CD2" s="21">
        <f t="shared" ref="CD2:CD11" si="81">(EN2/L2)/EO2</f>
        <v>7.4626865671641784E-2</v>
      </c>
      <c r="CE2" s="6">
        <f t="shared" ref="CE2:CE11" si="82">DV2</f>
        <v>13.8</v>
      </c>
      <c r="CF2" s="5">
        <f t="shared" ref="CF2:CF11" si="83">IFERROR(CE2/L2,0)</f>
        <v>0.41194029850746272</v>
      </c>
      <c r="CG2" s="181">
        <f t="shared" ref="CG2:CG11" si="84">IFERROR(EJ2+EF2+EE2+EC2,0)</f>
        <v>353</v>
      </c>
      <c r="CH2" s="5">
        <f t="shared" ref="CH2:CH11" si="85">IFERROR(CG2/L2,0)</f>
        <v>10.537313432835822</v>
      </c>
      <c r="CI2" s="6">
        <f t="shared" ref="CI2:CI11" si="86">IFERROR(EK2+EG2+EE2+EC2,0)</f>
        <v>188</v>
      </c>
      <c r="CJ2" s="5">
        <f t="shared" ref="CJ2:CJ11" si="87">IFERROR(CI2/L2,0)</f>
        <v>5.6119402985074629</v>
      </c>
      <c r="CK2" s="21">
        <f t="shared" ref="CK2:CK11" si="88">IFERROR(CI2/CG2,0)</f>
        <v>0.53257790368271951</v>
      </c>
      <c r="CL2" s="6">
        <f t="shared" ref="CL2:CL11" si="89">IFERROR(EG2+AS2+(DU2-EQ2)+EC2+EN2+EK2+(DS2*0.5)+(DT2*0.5),0)</f>
        <v>134.74</v>
      </c>
      <c r="CM2" s="5">
        <f t="shared" ref="CM2:CM11" si="90">IFERROR(CL2/L2,0)</f>
        <v>4.022089552238806</v>
      </c>
      <c r="CN2" s="6">
        <f t="shared" ref="CN2:CN11" si="91">IFERROR((EC2+(DU2-EQ2)+AS2)+(DS2*0.75)+(DT2*0.75)+EG2+EK2,0)</f>
        <v>135.74</v>
      </c>
      <c r="CO2" s="5">
        <f t="shared" ref="CO2:CO11" si="92">IFERROR(CN2/L2,0)</f>
        <v>4.0519402985074633</v>
      </c>
      <c r="CP2" s="5">
        <f t="shared" ref="CP2:CP11" si="93">IFERROR((EA2+EE2+EK2+EM2+EP2+ER2+EI2+EF2+DU2+EC2+ED2)/L2,0)</f>
        <v>65.731343283582092</v>
      </c>
      <c r="CQ2" s="5">
        <f t="shared" ref="CQ2:CQ11" si="94">IFERROR((EB2+EC2+DU2+ED2)/L2,0)</f>
        <v>52.895522388059703</v>
      </c>
      <c r="CR2" s="6">
        <f t="shared" ref="CR2:CR11" si="95">IFERROR((EC2+ED2),0)</f>
        <v>245</v>
      </c>
      <c r="CS2" s="5">
        <f t="shared" ref="CS2:CS11" si="96">IFERROR(CR2/L2,0)</f>
        <v>7.3134328358208958</v>
      </c>
      <c r="CT2" s="6">
        <f t="shared" ref="CT2:CT11" si="97">IFERROR(EE2+EF2+EC2+(DU2-EQ2)+ED2+EJ2,0)</f>
        <v>553</v>
      </c>
      <c r="CU2" s="5">
        <f t="shared" ref="CU2:CU11" si="98">IFERROR(CT2/L2,0)</f>
        <v>16.507462686567163</v>
      </c>
      <c r="CV2" s="6">
        <f t="shared" ref="CV2:CV11" si="99">IFERROR(EC2+DU2+EF2,0)</f>
        <v>101</v>
      </c>
      <c r="CW2" s="5">
        <f t="shared" ref="CW2:CW11" si="100">IFERROR(CV2/L2,0)</f>
        <v>3.0149253731343282</v>
      </c>
      <c r="CX2" s="6">
        <f t="shared" ref="CX2:CX11" si="101">(EF2-EG2)+(EA2-EB2)+(EJ2-EK2)</f>
        <v>342</v>
      </c>
      <c r="CY2" s="5">
        <f t="shared" ref="CY2:CY11" si="102">IFERROR(CX2/L2,0)</f>
        <v>10.208955223880597</v>
      </c>
      <c r="CZ2" s="5">
        <f t="shared" ref="CZ2:CZ11" si="103">DV2</f>
        <v>13.8</v>
      </c>
      <c r="DA2" s="5">
        <f t="shared" ref="DA2:DA11" si="104">VALUE(SUBSTITUTE(ET2, " km", ""))</f>
        <v>420.3</v>
      </c>
      <c r="DB2" s="5">
        <f t="shared" ref="DB2:DB11" si="105">IFERROR(DA2/L2,0)</f>
        <v>12.546268656716418</v>
      </c>
      <c r="DC2" s="328">
        <f t="shared" ref="DC2:DC11" si="106">DD2*L2</f>
        <v>770.5</v>
      </c>
      <c r="DD2" s="329">
        <f t="shared" ref="DD2:DD11" si="107">ES2</f>
        <v>23</v>
      </c>
      <c r="DE2" s="62">
        <f t="shared" ref="DE2:DE11" si="108">IFERROR(VALUE(SUBSTITUTE(EU2, ".", ",")),0)</f>
        <v>6.92</v>
      </c>
      <c r="DF2" s="301"/>
      <c r="DG2" s="297" t="s">
        <v>13</v>
      </c>
      <c r="DH2" s="297" t="s">
        <v>628</v>
      </c>
      <c r="DI2" s="297">
        <v>25</v>
      </c>
      <c r="DJ2" s="297" t="s">
        <v>584</v>
      </c>
      <c r="DK2" s="297" t="s">
        <v>588</v>
      </c>
      <c r="DL2" s="297" t="s">
        <v>643</v>
      </c>
      <c r="DM2" s="297" t="s">
        <v>629</v>
      </c>
      <c r="DN2" s="297" t="s">
        <v>630</v>
      </c>
      <c r="DO2" s="298">
        <v>46752</v>
      </c>
      <c r="DP2" s="297">
        <v>3015</v>
      </c>
      <c r="DQ2" s="297" t="s">
        <v>849</v>
      </c>
      <c r="DR2" s="297">
        <v>0</v>
      </c>
      <c r="DS2" s="297">
        <v>2</v>
      </c>
      <c r="DT2" s="297">
        <v>6</v>
      </c>
      <c r="DU2" s="297">
        <v>17</v>
      </c>
      <c r="DV2" s="297">
        <v>13.8</v>
      </c>
      <c r="DW2" s="297" t="s">
        <v>914</v>
      </c>
      <c r="DX2" s="297" t="s">
        <v>974</v>
      </c>
      <c r="DY2" s="297">
        <v>56</v>
      </c>
      <c r="DZ2" s="297">
        <v>25</v>
      </c>
      <c r="EA2" s="297">
        <v>1687</v>
      </c>
      <c r="EB2" s="297">
        <v>1510</v>
      </c>
      <c r="EC2" s="297">
        <v>62</v>
      </c>
      <c r="ED2" s="297">
        <v>183</v>
      </c>
      <c r="EE2" s="297">
        <v>81</v>
      </c>
      <c r="EF2" s="297">
        <v>22</v>
      </c>
      <c r="EG2" s="297">
        <v>9</v>
      </c>
      <c r="EH2" s="297">
        <v>293</v>
      </c>
      <c r="EI2" s="297">
        <v>77</v>
      </c>
      <c r="EJ2" s="297">
        <v>188</v>
      </c>
      <c r="EK2" s="297">
        <v>36</v>
      </c>
      <c r="EL2" s="297">
        <v>188</v>
      </c>
      <c r="EM2" s="297">
        <v>36</v>
      </c>
      <c r="EN2" s="297">
        <v>1</v>
      </c>
      <c r="EO2" s="297">
        <v>0.4</v>
      </c>
      <c r="EP2" s="297">
        <v>1</v>
      </c>
      <c r="EQ2" s="297">
        <v>0</v>
      </c>
      <c r="ER2" s="297">
        <v>0</v>
      </c>
      <c r="ES2" s="297">
        <v>23</v>
      </c>
      <c r="ET2" s="297" t="s">
        <v>1049</v>
      </c>
      <c r="EU2" s="302">
        <v>6.92</v>
      </c>
    </row>
    <row r="3" spans="1:151" ht="24.95" customHeight="1" thickBot="1" x14ac:dyDescent="0.3">
      <c r="A3" s="29" t="str">
        <f t="shared" si="0"/>
        <v>2º</v>
      </c>
      <c r="B3" s="69" t="str">
        <f t="shared" si="1"/>
        <v>David Terans</v>
      </c>
      <c r="C3" s="86" t="str">
        <f t="shared" si="2"/>
        <v>URU</v>
      </c>
      <c r="D3" s="99" t="str">
        <f t="shared" si="3"/>
        <v>Pé Esquerdo</v>
      </c>
      <c r="E3" s="9" t="str">
        <f t="shared" si="4"/>
        <v>Fluminense</v>
      </c>
      <c r="F3" s="168">
        <f t="shared" si="5"/>
        <v>1.71</v>
      </c>
      <c r="G3" s="35">
        <f t="shared" si="6"/>
        <v>46752</v>
      </c>
      <c r="H3" s="7">
        <f t="shared" si="7"/>
        <v>32</v>
      </c>
      <c r="I3" s="344" t="str">
        <f t="shared" si="8"/>
        <v>48m € p/m</v>
      </c>
      <c r="J3" s="3" t="str">
        <f t="shared" si="9"/>
        <v>160m € - 1,6M €</v>
      </c>
      <c r="K3" s="96">
        <f t="shared" si="10"/>
        <v>27.547777777777775</v>
      </c>
      <c r="L3" s="145">
        <f t="shared" si="11"/>
        <v>19.7</v>
      </c>
      <c r="M3" s="146">
        <f t="shared" si="12"/>
        <v>35</v>
      </c>
      <c r="N3" s="146">
        <f t="shared" si="13"/>
        <v>50.657142857142858</v>
      </c>
      <c r="O3" s="187">
        <f t="shared" si="14"/>
        <v>0.49</v>
      </c>
      <c r="P3" s="2">
        <f t="shared" si="15"/>
        <v>10</v>
      </c>
      <c r="Q3" s="2">
        <f t="shared" si="16"/>
        <v>5</v>
      </c>
      <c r="R3" s="2">
        <f t="shared" si="17"/>
        <v>15</v>
      </c>
      <c r="S3" s="6">
        <f t="shared" si="18"/>
        <v>1</v>
      </c>
      <c r="T3" s="24">
        <f t="shared" si="19"/>
        <v>1773</v>
      </c>
      <c r="U3" s="21">
        <f t="shared" si="20"/>
        <v>5.0761421319796954E-2</v>
      </c>
      <c r="V3" s="343">
        <f t="shared" si="21"/>
        <v>119</v>
      </c>
      <c r="W3" s="345">
        <f t="shared" si="22"/>
        <v>6.0406091370558377</v>
      </c>
      <c r="X3" s="343">
        <f t="shared" si="23"/>
        <v>16</v>
      </c>
      <c r="Y3" s="345">
        <f t="shared" si="24"/>
        <v>0.81218274111675126</v>
      </c>
      <c r="Z3" s="332">
        <f t="shared" si="25"/>
        <v>0.13445378151260504</v>
      </c>
      <c r="AA3" s="343">
        <f t="shared" si="26"/>
        <v>12</v>
      </c>
      <c r="AB3" s="328">
        <f t="shared" si="27"/>
        <v>4</v>
      </c>
      <c r="AC3" s="328">
        <f t="shared" si="28"/>
        <v>4</v>
      </c>
      <c r="AD3" s="328">
        <f t="shared" si="29"/>
        <v>0</v>
      </c>
      <c r="AE3" s="21">
        <f t="shared" si="30"/>
        <v>1</v>
      </c>
      <c r="AF3" s="6">
        <f t="shared" si="31"/>
        <v>10</v>
      </c>
      <c r="AG3" s="6">
        <f t="shared" si="32"/>
        <v>5</v>
      </c>
      <c r="AH3" s="6">
        <f t="shared" si="33"/>
        <v>15</v>
      </c>
      <c r="AI3" s="6">
        <f t="shared" si="34"/>
        <v>6</v>
      </c>
      <c r="AJ3" s="2">
        <f t="shared" si="35"/>
        <v>1</v>
      </c>
      <c r="AK3" s="5">
        <f t="shared" si="36"/>
        <v>0.50761421319796951</v>
      </c>
      <c r="AL3" s="5">
        <f t="shared" si="37"/>
        <v>0.25380710659898476</v>
      </c>
      <c r="AM3" s="5">
        <f t="shared" si="38"/>
        <v>0.76142131979695438</v>
      </c>
      <c r="AN3" s="349">
        <f t="shared" si="39"/>
        <v>40</v>
      </c>
      <c r="AO3" s="350">
        <f t="shared" si="40"/>
        <v>2.030456852791878</v>
      </c>
      <c r="AP3" s="5">
        <f t="shared" si="41"/>
        <v>11.24</v>
      </c>
      <c r="AQ3" s="5">
        <f t="shared" si="42"/>
        <v>8.08</v>
      </c>
      <c r="AR3" s="5">
        <f t="shared" si="43"/>
        <v>0.41015228426395939</v>
      </c>
      <c r="AS3" s="5">
        <f t="shared" si="44"/>
        <v>5.92</v>
      </c>
      <c r="AT3" s="5">
        <f t="shared" si="45"/>
        <v>0.30050761421319799</v>
      </c>
      <c r="AU3" s="5">
        <f t="shared" si="46"/>
        <v>14</v>
      </c>
      <c r="AV3" s="5">
        <f t="shared" si="47"/>
        <v>0.71065989847715738</v>
      </c>
      <c r="AW3" s="21">
        <f t="shared" si="48"/>
        <v>0.54212454212454209</v>
      </c>
      <c r="AX3" s="21">
        <f t="shared" si="49"/>
        <v>0.47080979284369112</v>
      </c>
      <c r="AY3" s="6">
        <f t="shared" si="50"/>
        <v>62</v>
      </c>
      <c r="AZ3" s="6">
        <f t="shared" si="51"/>
        <v>13</v>
      </c>
      <c r="BA3" s="21">
        <f t="shared" si="52"/>
        <v>0.20967741935483872</v>
      </c>
      <c r="BB3" s="6">
        <f t="shared" si="53"/>
        <v>872</v>
      </c>
      <c r="BC3" s="6">
        <f t="shared" si="54"/>
        <v>766</v>
      </c>
      <c r="BD3" s="24">
        <f t="shared" si="55"/>
        <v>44.263959390862944</v>
      </c>
      <c r="BE3" s="24">
        <f t="shared" si="56"/>
        <v>38.883248730964468</v>
      </c>
      <c r="BF3" s="24">
        <f t="shared" si="57"/>
        <v>5.380710659898476</v>
      </c>
      <c r="BG3" s="20">
        <f t="shared" si="58"/>
        <v>0.87844036697247707</v>
      </c>
      <c r="BH3" s="6">
        <f t="shared" si="59"/>
        <v>106</v>
      </c>
      <c r="BI3" s="21">
        <f t="shared" si="60"/>
        <v>0.12155963302752293</v>
      </c>
      <c r="BJ3" s="211">
        <f t="shared" si="61"/>
        <v>63</v>
      </c>
      <c r="BK3" s="199">
        <f t="shared" si="62"/>
        <v>3.1979695431472082</v>
      </c>
      <c r="BL3" s="5">
        <f t="shared" si="63"/>
        <v>12.6</v>
      </c>
      <c r="BM3" s="21">
        <f t="shared" si="64"/>
        <v>7.9365079365079361E-2</v>
      </c>
      <c r="BN3" s="5">
        <f t="shared" si="65"/>
        <v>0.91999999999999993</v>
      </c>
      <c r="BO3" s="5">
        <f t="shared" si="66"/>
        <v>9.3968253968253965E-2</v>
      </c>
      <c r="BP3" s="24">
        <f t="shared" si="67"/>
        <v>28.142857142857142</v>
      </c>
      <c r="BQ3" s="5">
        <f t="shared" si="68"/>
        <v>15.552631578947368</v>
      </c>
      <c r="BR3" s="5">
        <f t="shared" si="69"/>
        <v>-1.2400000000000002</v>
      </c>
      <c r="BS3" s="5">
        <f t="shared" si="70"/>
        <v>-4.4000000000000004</v>
      </c>
      <c r="BT3" s="6">
        <f t="shared" si="71"/>
        <v>70</v>
      </c>
      <c r="BU3" s="5">
        <f t="shared" si="72"/>
        <v>3.5532994923857868</v>
      </c>
      <c r="BV3" s="5">
        <f t="shared" si="73"/>
        <v>1.9796954314720814</v>
      </c>
      <c r="BW3" s="21">
        <f t="shared" si="74"/>
        <v>0.55714285714285716</v>
      </c>
      <c r="BX3" s="5">
        <f t="shared" si="75"/>
        <v>11.666666666666666</v>
      </c>
      <c r="BY3" s="5">
        <f t="shared" si="76"/>
        <v>4.3</v>
      </c>
      <c r="BZ3" s="21">
        <f t="shared" si="77"/>
        <v>8.5714285714285715E-2</v>
      </c>
      <c r="CA3" s="343">
        <f t="shared" si="78"/>
        <v>5</v>
      </c>
      <c r="CB3" s="343">
        <f t="shared" si="79"/>
        <v>1</v>
      </c>
      <c r="CC3" s="343">
        <f t="shared" si="80"/>
        <v>4</v>
      </c>
      <c r="CD3" s="21">
        <f t="shared" si="81"/>
        <v>2.2070183182520416E-2</v>
      </c>
      <c r="CE3" s="6">
        <f t="shared" si="82"/>
        <v>13.1</v>
      </c>
      <c r="CF3" s="5">
        <f t="shared" si="83"/>
        <v>0.6649746192893401</v>
      </c>
      <c r="CG3" s="181">
        <f t="shared" si="84"/>
        <v>239</v>
      </c>
      <c r="CH3" s="5">
        <f t="shared" si="85"/>
        <v>12.131979695431472</v>
      </c>
      <c r="CI3" s="6">
        <f t="shared" si="86"/>
        <v>159</v>
      </c>
      <c r="CJ3" s="5">
        <f t="shared" si="87"/>
        <v>8.0710659898477157</v>
      </c>
      <c r="CK3" s="21">
        <f t="shared" si="88"/>
        <v>0.66527196652719667</v>
      </c>
      <c r="CL3" s="6">
        <f t="shared" si="89"/>
        <v>141.42000000000002</v>
      </c>
      <c r="CM3" s="5">
        <f t="shared" si="90"/>
        <v>7.178680203045686</v>
      </c>
      <c r="CN3" s="6">
        <f t="shared" si="91"/>
        <v>144.17000000000002</v>
      </c>
      <c r="CO3" s="5">
        <f t="shared" si="92"/>
        <v>7.3182741116751275</v>
      </c>
      <c r="CP3" s="5">
        <f t="shared" si="93"/>
        <v>61.979695431472081</v>
      </c>
      <c r="CQ3" s="5">
        <f t="shared" si="94"/>
        <v>46.649746192893403</v>
      </c>
      <c r="CR3" s="6">
        <f t="shared" si="95"/>
        <v>141</v>
      </c>
      <c r="CS3" s="5">
        <f t="shared" si="96"/>
        <v>7.1573604060913709</v>
      </c>
      <c r="CT3" s="6">
        <f t="shared" si="97"/>
        <v>325</v>
      </c>
      <c r="CU3" s="5">
        <f t="shared" si="98"/>
        <v>16.497461928934012</v>
      </c>
      <c r="CV3" s="6">
        <f t="shared" si="99"/>
        <v>149</v>
      </c>
      <c r="CW3" s="5">
        <f t="shared" si="100"/>
        <v>7.5634517766497469</v>
      </c>
      <c r="CX3" s="6">
        <f t="shared" si="101"/>
        <v>186</v>
      </c>
      <c r="CY3" s="5">
        <f t="shared" si="102"/>
        <v>9.4416243654822338</v>
      </c>
      <c r="CZ3" s="5">
        <f t="shared" si="103"/>
        <v>13.1</v>
      </c>
      <c r="DA3" s="5">
        <f t="shared" si="104"/>
        <v>242.2</v>
      </c>
      <c r="DB3" s="5">
        <f t="shared" si="105"/>
        <v>12.294416243654823</v>
      </c>
      <c r="DC3" s="328">
        <f t="shared" si="106"/>
        <v>204.88</v>
      </c>
      <c r="DD3" s="329">
        <f t="shared" si="107"/>
        <v>10.4</v>
      </c>
      <c r="DE3" s="62">
        <f t="shared" si="108"/>
        <v>6.98</v>
      </c>
      <c r="DF3" s="299" t="s">
        <v>19</v>
      </c>
      <c r="DG3" s="295" t="s">
        <v>594</v>
      </c>
      <c r="DH3" s="295" t="s">
        <v>813</v>
      </c>
      <c r="DI3" s="295">
        <v>32</v>
      </c>
      <c r="DJ3" s="295" t="s">
        <v>582</v>
      </c>
      <c r="DK3" s="295" t="s">
        <v>781</v>
      </c>
      <c r="DL3" s="295" t="s">
        <v>651</v>
      </c>
      <c r="DM3" s="295" t="s">
        <v>619</v>
      </c>
      <c r="DN3" s="295" t="s">
        <v>814</v>
      </c>
      <c r="DO3" s="296">
        <v>46752</v>
      </c>
      <c r="DP3" s="295">
        <v>1773</v>
      </c>
      <c r="DQ3" s="295" t="s">
        <v>1087</v>
      </c>
      <c r="DR3" s="295">
        <v>1</v>
      </c>
      <c r="DS3" s="295">
        <v>10</v>
      </c>
      <c r="DT3" s="295">
        <v>5</v>
      </c>
      <c r="DU3" s="295">
        <v>12</v>
      </c>
      <c r="DV3" s="295">
        <v>13.1</v>
      </c>
      <c r="DW3" s="295" t="s">
        <v>1088</v>
      </c>
      <c r="DX3" s="295" t="s">
        <v>1089</v>
      </c>
      <c r="DY3" s="295">
        <v>16</v>
      </c>
      <c r="DZ3" s="295">
        <v>23</v>
      </c>
      <c r="EA3" s="295">
        <v>872</v>
      </c>
      <c r="EB3" s="295">
        <v>766</v>
      </c>
      <c r="EC3" s="295">
        <v>63</v>
      </c>
      <c r="ED3" s="295">
        <v>78</v>
      </c>
      <c r="EE3" s="295">
        <v>40</v>
      </c>
      <c r="EF3" s="295">
        <v>74</v>
      </c>
      <c r="EG3" s="295">
        <v>43</v>
      </c>
      <c r="EH3" s="295">
        <v>123</v>
      </c>
      <c r="EI3" s="295">
        <v>24</v>
      </c>
      <c r="EJ3" s="295">
        <v>62</v>
      </c>
      <c r="EK3" s="295">
        <v>13</v>
      </c>
      <c r="EL3" s="295">
        <v>181</v>
      </c>
      <c r="EM3" s="295">
        <v>29</v>
      </c>
      <c r="EN3" s="295">
        <v>1</v>
      </c>
      <c r="EO3" s="295">
        <v>2.2999999999999998</v>
      </c>
      <c r="EP3" s="295">
        <v>12</v>
      </c>
      <c r="EQ3" s="295">
        <v>4</v>
      </c>
      <c r="ER3" s="295">
        <v>4</v>
      </c>
      <c r="ES3" s="295">
        <v>10.4</v>
      </c>
      <c r="ET3" s="295" t="s">
        <v>709</v>
      </c>
      <c r="EU3" s="300">
        <v>6.98</v>
      </c>
    </row>
    <row r="4" spans="1:151" ht="24.95" customHeight="1" thickBot="1" x14ac:dyDescent="0.3">
      <c r="A4" s="29" t="str">
        <f t="shared" si="0"/>
        <v>3º</v>
      </c>
      <c r="B4" s="69" t="str">
        <f t="shared" si="1"/>
        <v>Jean Lucas</v>
      </c>
      <c r="C4" s="86" t="str">
        <f t="shared" si="2"/>
        <v>BRA</v>
      </c>
      <c r="D4" s="99" t="str">
        <f t="shared" si="3"/>
        <v>Pé Direito</v>
      </c>
      <c r="E4" s="9" t="str">
        <f t="shared" si="4"/>
        <v>Bahia</v>
      </c>
      <c r="F4" s="168">
        <f t="shared" si="5"/>
        <v>1.81</v>
      </c>
      <c r="G4" s="35">
        <f t="shared" si="6"/>
        <v>47118</v>
      </c>
      <c r="H4" s="7">
        <f t="shared" si="7"/>
        <v>28</v>
      </c>
      <c r="I4" s="344" t="str">
        <f t="shared" si="8"/>
        <v>141m € p/m</v>
      </c>
      <c r="J4" s="3" t="str">
        <f t="shared" si="9"/>
        <v>850m € - 8,4M €</v>
      </c>
      <c r="K4" s="96">
        <f t="shared" si="10"/>
        <v>27.547777777777775</v>
      </c>
      <c r="L4" s="145">
        <f t="shared" si="11"/>
        <v>38.611111111111114</v>
      </c>
      <c r="M4" s="146">
        <f t="shared" si="12"/>
        <v>48</v>
      </c>
      <c r="N4" s="146">
        <f t="shared" si="13"/>
        <v>72.395833333333329</v>
      </c>
      <c r="O4" s="187">
        <f t="shared" si="14"/>
        <v>0.92</v>
      </c>
      <c r="P4" s="2">
        <f t="shared" si="15"/>
        <v>6</v>
      </c>
      <c r="Q4" s="2">
        <f t="shared" si="16"/>
        <v>4</v>
      </c>
      <c r="R4" s="2">
        <f t="shared" si="17"/>
        <v>10</v>
      </c>
      <c r="S4" s="6">
        <f t="shared" si="18"/>
        <v>2</v>
      </c>
      <c r="T4" s="24">
        <f t="shared" si="19"/>
        <v>1737.5</v>
      </c>
      <c r="U4" s="21">
        <f t="shared" si="20"/>
        <v>5.1798561151079135E-2</v>
      </c>
      <c r="V4" s="343">
        <f t="shared" si="21"/>
        <v>1</v>
      </c>
      <c r="W4" s="345">
        <f t="shared" si="22"/>
        <v>2.5899280575539568E-2</v>
      </c>
      <c r="X4" s="343">
        <f t="shared" si="23"/>
        <v>1</v>
      </c>
      <c r="Y4" s="345">
        <f t="shared" si="24"/>
        <v>2.5899280575539568E-2</v>
      </c>
      <c r="Z4" s="332">
        <f t="shared" si="25"/>
        <v>1</v>
      </c>
      <c r="AA4" s="343">
        <f t="shared" si="26"/>
        <v>1</v>
      </c>
      <c r="AB4" s="328">
        <f t="shared" si="27"/>
        <v>0</v>
      </c>
      <c r="AC4" s="328">
        <f t="shared" si="28"/>
        <v>0</v>
      </c>
      <c r="AD4" s="328">
        <f t="shared" si="29"/>
        <v>0</v>
      </c>
      <c r="AE4" s="21">
        <f t="shared" si="30"/>
        <v>9.9999999999999995E-8</v>
      </c>
      <c r="AF4" s="6">
        <f t="shared" si="31"/>
        <v>6</v>
      </c>
      <c r="AG4" s="6">
        <f t="shared" si="32"/>
        <v>4</v>
      </c>
      <c r="AH4" s="6">
        <f t="shared" si="33"/>
        <v>10</v>
      </c>
      <c r="AI4" s="6">
        <f t="shared" si="34"/>
        <v>6</v>
      </c>
      <c r="AJ4" s="2">
        <f t="shared" si="35"/>
        <v>1</v>
      </c>
      <c r="AK4" s="5">
        <f t="shared" si="36"/>
        <v>0.1553956834532374</v>
      </c>
      <c r="AL4" s="5">
        <f t="shared" si="37"/>
        <v>0.10359712230215827</v>
      </c>
      <c r="AM4" s="5">
        <f t="shared" si="38"/>
        <v>0.25899280575539568</v>
      </c>
      <c r="AN4" s="349">
        <f t="shared" si="39"/>
        <v>12</v>
      </c>
      <c r="AO4" s="350">
        <f t="shared" si="40"/>
        <v>0.3107913669064748</v>
      </c>
      <c r="AP4" s="5">
        <f t="shared" si="41"/>
        <v>4.4000000000000004</v>
      </c>
      <c r="AQ4" s="5">
        <f t="shared" si="42"/>
        <v>4.4000000000000004</v>
      </c>
      <c r="AR4" s="5">
        <f t="shared" si="43"/>
        <v>0.1139568345323741</v>
      </c>
      <c r="AS4" s="5">
        <f t="shared" si="44"/>
        <v>4.53</v>
      </c>
      <c r="AT4" s="5">
        <f t="shared" si="45"/>
        <v>0.11732374100719424</v>
      </c>
      <c r="AU4" s="5">
        <f t="shared" si="46"/>
        <v>8.93</v>
      </c>
      <c r="AV4" s="5">
        <f t="shared" si="47"/>
        <v>0.23128057553956832</v>
      </c>
      <c r="AW4" s="21">
        <f t="shared" si="48"/>
        <v>0.53106682297772567</v>
      </c>
      <c r="AX4" s="21">
        <f t="shared" si="49"/>
        <v>0.57692307692307687</v>
      </c>
      <c r="AY4" s="6">
        <f t="shared" si="50"/>
        <v>16</v>
      </c>
      <c r="AZ4" s="6">
        <f t="shared" si="51"/>
        <v>6</v>
      </c>
      <c r="BA4" s="21">
        <f t="shared" si="52"/>
        <v>0.375</v>
      </c>
      <c r="BB4" s="6">
        <f t="shared" si="53"/>
        <v>2225</v>
      </c>
      <c r="BC4" s="6">
        <f t="shared" si="54"/>
        <v>2024</v>
      </c>
      <c r="BD4" s="24">
        <f t="shared" si="55"/>
        <v>57.625899280575538</v>
      </c>
      <c r="BE4" s="24">
        <f t="shared" si="56"/>
        <v>52.420143884892084</v>
      </c>
      <c r="BF4" s="24">
        <f t="shared" si="57"/>
        <v>5.2057553956834539</v>
      </c>
      <c r="BG4" s="20">
        <f t="shared" si="58"/>
        <v>0.90966292134831461</v>
      </c>
      <c r="BH4" s="6">
        <f t="shared" si="59"/>
        <v>201</v>
      </c>
      <c r="BI4" s="21">
        <f t="shared" si="60"/>
        <v>9.0337078651685387E-2</v>
      </c>
      <c r="BJ4" s="211">
        <f t="shared" si="61"/>
        <v>44</v>
      </c>
      <c r="BK4" s="199">
        <f t="shared" si="62"/>
        <v>1.1395683453237409</v>
      </c>
      <c r="BL4" s="5">
        <f t="shared" si="63"/>
        <v>11</v>
      </c>
      <c r="BM4" s="21">
        <f t="shared" si="64"/>
        <v>9.0909090909090912E-2</v>
      </c>
      <c r="BN4" s="5">
        <f t="shared" si="65"/>
        <v>0.53000000000000025</v>
      </c>
      <c r="BO4" s="5">
        <f t="shared" si="66"/>
        <v>0.10295454545454547</v>
      </c>
      <c r="BP4" s="24">
        <f t="shared" si="67"/>
        <v>78.977272727272734</v>
      </c>
      <c r="BQ4" s="5">
        <f t="shared" si="68"/>
        <v>47.602739726027394</v>
      </c>
      <c r="BR4" s="5">
        <f t="shared" si="69"/>
        <v>1.5999999999999996</v>
      </c>
      <c r="BS4" s="5">
        <f t="shared" si="70"/>
        <v>1.5999999999999996</v>
      </c>
      <c r="BT4" s="6">
        <f t="shared" si="71"/>
        <v>66</v>
      </c>
      <c r="BU4" s="5">
        <f t="shared" si="72"/>
        <v>1.7093525179856113</v>
      </c>
      <c r="BV4" s="5">
        <f t="shared" si="73"/>
        <v>0.4661870503597122</v>
      </c>
      <c r="BW4" s="21">
        <f t="shared" si="74"/>
        <v>0.27272727272727271</v>
      </c>
      <c r="BX4" s="5">
        <f t="shared" si="75"/>
        <v>11</v>
      </c>
      <c r="BY4" s="5">
        <f t="shared" si="76"/>
        <v>3</v>
      </c>
      <c r="BZ4" s="21">
        <f t="shared" si="77"/>
        <v>9.0909090909090912E-2</v>
      </c>
      <c r="CA4" s="343">
        <f t="shared" si="78"/>
        <v>5</v>
      </c>
      <c r="CB4" s="343">
        <f t="shared" si="79"/>
        <v>1</v>
      </c>
      <c r="CC4" s="343">
        <f t="shared" si="80"/>
        <v>0</v>
      </c>
      <c r="CD4" s="21">
        <f t="shared" si="81"/>
        <v>2.5899280575539568E-2</v>
      </c>
      <c r="CE4" s="6">
        <f t="shared" si="82"/>
        <v>6.6</v>
      </c>
      <c r="CF4" s="5">
        <f t="shared" si="83"/>
        <v>0.17093525179856112</v>
      </c>
      <c r="CG4" s="181">
        <f t="shared" si="84"/>
        <v>138</v>
      </c>
      <c r="CH4" s="5">
        <f t="shared" si="85"/>
        <v>3.5741007194244601</v>
      </c>
      <c r="CI4" s="6">
        <f t="shared" si="86"/>
        <v>80</v>
      </c>
      <c r="CJ4" s="5">
        <f t="shared" si="87"/>
        <v>2.0719424460431655</v>
      </c>
      <c r="CK4" s="21">
        <f t="shared" si="88"/>
        <v>0.57971014492753625</v>
      </c>
      <c r="CL4" s="6">
        <f t="shared" si="89"/>
        <v>89.53</v>
      </c>
      <c r="CM4" s="5">
        <f t="shared" si="90"/>
        <v>2.3187625899280575</v>
      </c>
      <c r="CN4" s="6">
        <f t="shared" si="91"/>
        <v>91.03</v>
      </c>
      <c r="CO4" s="5">
        <f t="shared" si="92"/>
        <v>2.3576115107913669</v>
      </c>
      <c r="CP4" s="5">
        <f t="shared" si="93"/>
        <v>70.601438848920864</v>
      </c>
      <c r="CQ4" s="5">
        <f t="shared" si="94"/>
        <v>61.407194244604312</v>
      </c>
      <c r="CR4" s="6">
        <f t="shared" si="95"/>
        <v>336</v>
      </c>
      <c r="CS4" s="5">
        <f t="shared" si="96"/>
        <v>8.7021582733812934</v>
      </c>
      <c r="CT4" s="6">
        <f t="shared" si="97"/>
        <v>441</v>
      </c>
      <c r="CU4" s="5">
        <f t="shared" si="98"/>
        <v>11.421582733812949</v>
      </c>
      <c r="CV4" s="6">
        <f t="shared" si="99"/>
        <v>121</v>
      </c>
      <c r="CW4" s="5">
        <f t="shared" si="100"/>
        <v>3.1338129496402876</v>
      </c>
      <c r="CX4" s="6">
        <f t="shared" si="101"/>
        <v>259</v>
      </c>
      <c r="CY4" s="5">
        <f t="shared" si="102"/>
        <v>6.7079136690647481</v>
      </c>
      <c r="CZ4" s="5">
        <f t="shared" si="103"/>
        <v>6.6</v>
      </c>
      <c r="DA4" s="5">
        <f t="shared" si="104"/>
        <v>469.6</v>
      </c>
      <c r="DB4" s="5">
        <f t="shared" si="105"/>
        <v>12.162302158273381</v>
      </c>
      <c r="DC4" s="328">
        <f t="shared" si="106"/>
        <v>459.47222222222229</v>
      </c>
      <c r="DD4" s="329">
        <f t="shared" si="107"/>
        <v>11.9</v>
      </c>
      <c r="DE4" s="62">
        <f t="shared" si="108"/>
        <v>7</v>
      </c>
      <c r="DF4" s="301" t="s">
        <v>927</v>
      </c>
      <c r="DG4" s="297" t="s">
        <v>13</v>
      </c>
      <c r="DH4" s="297" t="s">
        <v>1053</v>
      </c>
      <c r="DI4" s="297">
        <v>28</v>
      </c>
      <c r="DJ4" s="297" t="s">
        <v>580</v>
      </c>
      <c r="DK4" s="297" t="s">
        <v>606</v>
      </c>
      <c r="DL4" s="297" t="s">
        <v>643</v>
      </c>
      <c r="DM4" s="297" t="s">
        <v>942</v>
      </c>
      <c r="DN4" s="297" t="s">
        <v>926</v>
      </c>
      <c r="DO4" s="298">
        <v>47118</v>
      </c>
      <c r="DP4" s="297">
        <v>3475</v>
      </c>
      <c r="DQ4" s="297" t="s">
        <v>1093</v>
      </c>
      <c r="DR4" s="297">
        <v>2</v>
      </c>
      <c r="DS4" s="297">
        <v>6</v>
      </c>
      <c r="DT4" s="297">
        <v>4</v>
      </c>
      <c r="DU4" s="297">
        <v>11</v>
      </c>
      <c r="DV4" s="297">
        <v>6.6</v>
      </c>
      <c r="DW4" s="297" t="s">
        <v>1094</v>
      </c>
      <c r="DX4" s="297" t="s">
        <v>949</v>
      </c>
      <c r="DY4" s="297">
        <v>40</v>
      </c>
      <c r="DZ4" s="297">
        <v>16</v>
      </c>
      <c r="EA4" s="297">
        <v>2225</v>
      </c>
      <c r="EB4" s="297">
        <v>2024</v>
      </c>
      <c r="EC4" s="297">
        <v>44</v>
      </c>
      <c r="ED4" s="297">
        <v>292</v>
      </c>
      <c r="EE4" s="297">
        <v>12</v>
      </c>
      <c r="EF4" s="297">
        <v>66</v>
      </c>
      <c r="EG4" s="297">
        <v>18</v>
      </c>
      <c r="EH4" s="297">
        <v>288</v>
      </c>
      <c r="EI4" s="297">
        <v>62</v>
      </c>
      <c r="EJ4" s="297">
        <v>16</v>
      </c>
      <c r="EK4" s="297">
        <v>6</v>
      </c>
      <c r="EL4" s="297">
        <v>17</v>
      </c>
      <c r="EM4" s="297">
        <v>7</v>
      </c>
      <c r="EN4" s="297">
        <v>1</v>
      </c>
      <c r="EO4" s="297">
        <v>1</v>
      </c>
      <c r="EP4" s="297">
        <v>1</v>
      </c>
      <c r="EQ4" s="297">
        <v>0</v>
      </c>
      <c r="ER4" s="297">
        <v>0</v>
      </c>
      <c r="ES4" s="297">
        <v>11.9</v>
      </c>
      <c r="ET4" s="297" t="s">
        <v>1054</v>
      </c>
      <c r="EU4" s="302">
        <v>7</v>
      </c>
    </row>
    <row r="5" spans="1:151" ht="24.95" customHeight="1" thickBot="1" x14ac:dyDescent="0.3">
      <c r="A5" s="29" t="str">
        <f t="shared" si="0"/>
        <v>4º</v>
      </c>
      <c r="B5" s="69" t="str">
        <f t="shared" si="1"/>
        <v>Matheuzinho</v>
      </c>
      <c r="C5" s="86" t="str">
        <f t="shared" si="2"/>
        <v>BRA</v>
      </c>
      <c r="D5" s="99" t="str">
        <f t="shared" si="3"/>
        <v>Pé Esquerdo</v>
      </c>
      <c r="E5" s="9" t="str">
        <f t="shared" si="4"/>
        <v>Vitória</v>
      </c>
      <c r="F5" s="168">
        <f t="shared" si="5"/>
        <v>1.65</v>
      </c>
      <c r="G5" s="35">
        <f t="shared" si="6"/>
        <v>47483</v>
      </c>
      <c r="H5" s="7">
        <f t="shared" si="7"/>
        <v>28</v>
      </c>
      <c r="I5" s="344" t="str">
        <f t="shared" si="8"/>
        <v>56,5m € p/m</v>
      </c>
      <c r="J5" s="3" t="str">
        <f t="shared" si="9"/>
        <v>1M € - 2,3M €</v>
      </c>
      <c r="K5" s="96">
        <f t="shared" si="10"/>
        <v>27.547777777777775</v>
      </c>
      <c r="L5" s="145">
        <f t="shared" si="11"/>
        <v>26.755555555555556</v>
      </c>
      <c r="M5" s="146">
        <f t="shared" si="12"/>
        <v>33</v>
      </c>
      <c r="N5" s="146">
        <f t="shared" si="13"/>
        <v>72.969696969696969</v>
      </c>
      <c r="O5" s="187">
        <f t="shared" si="14"/>
        <v>0.91</v>
      </c>
      <c r="P5" s="2">
        <f t="shared" si="15"/>
        <v>6</v>
      </c>
      <c r="Q5" s="2">
        <f t="shared" si="16"/>
        <v>7</v>
      </c>
      <c r="R5" s="2">
        <f t="shared" si="17"/>
        <v>13</v>
      </c>
      <c r="S5" s="6">
        <f t="shared" si="18"/>
        <v>0</v>
      </c>
      <c r="T5" s="24">
        <f t="shared" si="19"/>
        <v>5000</v>
      </c>
      <c r="U5" s="21">
        <f t="shared" si="20"/>
        <v>0</v>
      </c>
      <c r="V5" s="343">
        <f t="shared" si="21"/>
        <v>120</v>
      </c>
      <c r="W5" s="345">
        <f t="shared" si="22"/>
        <v>4.485049833887043</v>
      </c>
      <c r="X5" s="343">
        <f t="shared" si="23"/>
        <v>18</v>
      </c>
      <c r="Y5" s="345">
        <f t="shared" si="24"/>
        <v>0.6727574750830565</v>
      </c>
      <c r="Z5" s="332">
        <f t="shared" si="25"/>
        <v>0.15</v>
      </c>
      <c r="AA5" s="343">
        <f t="shared" si="26"/>
        <v>3</v>
      </c>
      <c r="AB5" s="328">
        <f t="shared" si="27"/>
        <v>0</v>
      </c>
      <c r="AC5" s="328">
        <f t="shared" si="28"/>
        <v>0</v>
      </c>
      <c r="AD5" s="328">
        <f t="shared" si="29"/>
        <v>0</v>
      </c>
      <c r="AE5" s="21">
        <f t="shared" si="30"/>
        <v>9.9999999999999995E-8</v>
      </c>
      <c r="AF5" s="6">
        <f t="shared" si="31"/>
        <v>6</v>
      </c>
      <c r="AG5" s="6">
        <f t="shared" si="32"/>
        <v>7</v>
      </c>
      <c r="AH5" s="6">
        <f t="shared" si="33"/>
        <v>13</v>
      </c>
      <c r="AI5" s="6">
        <f t="shared" si="34"/>
        <v>6</v>
      </c>
      <c r="AJ5" s="2">
        <f t="shared" si="35"/>
        <v>2</v>
      </c>
      <c r="AK5" s="5">
        <f t="shared" si="36"/>
        <v>0.22425249169435216</v>
      </c>
      <c r="AL5" s="5">
        <f t="shared" si="37"/>
        <v>0.26162790697674415</v>
      </c>
      <c r="AM5" s="5">
        <f t="shared" si="38"/>
        <v>0.48588039867109634</v>
      </c>
      <c r="AN5" s="349">
        <f t="shared" si="39"/>
        <v>59</v>
      </c>
      <c r="AO5" s="350">
        <f t="shared" si="40"/>
        <v>2.2051495016611296</v>
      </c>
      <c r="AP5" s="5">
        <f t="shared" si="41"/>
        <v>7.48</v>
      </c>
      <c r="AQ5" s="5">
        <f t="shared" si="42"/>
        <v>7.48</v>
      </c>
      <c r="AR5" s="5">
        <f t="shared" si="43"/>
        <v>0.27956810631229234</v>
      </c>
      <c r="AS5" s="5">
        <f t="shared" si="44"/>
        <v>7.01</v>
      </c>
      <c r="AT5" s="5">
        <f t="shared" si="45"/>
        <v>0.26200166112956808</v>
      </c>
      <c r="AU5" s="5">
        <f t="shared" si="46"/>
        <v>14.49</v>
      </c>
      <c r="AV5" s="5">
        <f t="shared" si="47"/>
        <v>0.54156976744186047</v>
      </c>
      <c r="AW5" s="21">
        <f t="shared" si="48"/>
        <v>0.50035688793718769</v>
      </c>
      <c r="AX5" s="21">
        <f t="shared" si="49"/>
        <v>0.44510385756676557</v>
      </c>
      <c r="AY5" s="6">
        <f t="shared" si="50"/>
        <v>48</v>
      </c>
      <c r="AZ5" s="6">
        <f t="shared" si="51"/>
        <v>11</v>
      </c>
      <c r="BA5" s="21">
        <f t="shared" si="52"/>
        <v>0.22916666666666666</v>
      </c>
      <c r="BB5" s="6">
        <f t="shared" si="53"/>
        <v>1156</v>
      </c>
      <c r="BC5" s="6">
        <f t="shared" si="54"/>
        <v>1023</v>
      </c>
      <c r="BD5" s="24">
        <f t="shared" si="55"/>
        <v>43.205980066445179</v>
      </c>
      <c r="BE5" s="24">
        <f t="shared" si="56"/>
        <v>38.235049833887039</v>
      </c>
      <c r="BF5" s="24">
        <f t="shared" si="57"/>
        <v>4.970930232558139</v>
      </c>
      <c r="BG5" s="20">
        <f t="shared" si="58"/>
        <v>0.88494809688581311</v>
      </c>
      <c r="BH5" s="6">
        <f t="shared" si="59"/>
        <v>133</v>
      </c>
      <c r="BI5" s="21">
        <f t="shared" si="60"/>
        <v>0.11505190311418689</v>
      </c>
      <c r="BJ5" s="211">
        <f t="shared" si="61"/>
        <v>74</v>
      </c>
      <c r="BK5" s="199">
        <f t="shared" si="62"/>
        <v>2.7657807308970099</v>
      </c>
      <c r="BL5" s="5">
        <f t="shared" si="63"/>
        <v>10.571428571428571</v>
      </c>
      <c r="BM5" s="21">
        <f t="shared" si="64"/>
        <v>9.45945945945946E-2</v>
      </c>
      <c r="BN5" s="5">
        <f t="shared" si="65"/>
        <v>9.9999999999997868E-3</v>
      </c>
      <c r="BO5" s="5">
        <f t="shared" si="66"/>
        <v>9.4729729729729734E-2</v>
      </c>
      <c r="BP5" s="24">
        <f t="shared" si="67"/>
        <v>32.54054054054054</v>
      </c>
      <c r="BQ5" s="5">
        <f t="shared" si="68"/>
        <v>20.066666666666666</v>
      </c>
      <c r="BR5" s="5">
        <f t="shared" si="69"/>
        <v>-1.4800000000000004</v>
      </c>
      <c r="BS5" s="5">
        <f t="shared" si="70"/>
        <v>-1.4800000000000004</v>
      </c>
      <c r="BT5" s="6">
        <f t="shared" si="71"/>
        <v>76</v>
      </c>
      <c r="BU5" s="5">
        <f t="shared" si="72"/>
        <v>2.8405315614617939</v>
      </c>
      <c r="BV5" s="5">
        <f t="shared" si="73"/>
        <v>1.1960132890365449</v>
      </c>
      <c r="BW5" s="21">
        <f t="shared" si="74"/>
        <v>0.42105263157894735</v>
      </c>
      <c r="BX5" s="5">
        <f t="shared" si="75"/>
        <v>12.666666666666666</v>
      </c>
      <c r="BY5" s="5">
        <f t="shared" si="76"/>
        <v>5.333333333333333</v>
      </c>
      <c r="BZ5" s="21">
        <f t="shared" si="77"/>
        <v>7.8947368421052627E-2</v>
      </c>
      <c r="CA5" s="343">
        <f t="shared" si="78"/>
        <v>4</v>
      </c>
      <c r="CB5" s="343">
        <f t="shared" si="79"/>
        <v>2</v>
      </c>
      <c r="CC5" s="343">
        <f t="shared" si="80"/>
        <v>0</v>
      </c>
      <c r="CD5" s="21">
        <f t="shared" si="81"/>
        <v>5.3393450403417184E-2</v>
      </c>
      <c r="CE5" s="6">
        <f t="shared" si="82"/>
        <v>12.6</v>
      </c>
      <c r="CF5" s="5">
        <f t="shared" si="83"/>
        <v>0.47093023255813948</v>
      </c>
      <c r="CG5" s="181">
        <f t="shared" si="84"/>
        <v>257</v>
      </c>
      <c r="CH5" s="5">
        <f t="shared" si="85"/>
        <v>9.6054817275747499</v>
      </c>
      <c r="CI5" s="6">
        <f t="shared" si="86"/>
        <v>176</v>
      </c>
      <c r="CJ5" s="5">
        <f t="shared" si="87"/>
        <v>6.5780730897009967</v>
      </c>
      <c r="CK5" s="21">
        <f t="shared" si="88"/>
        <v>0.68482490272373542</v>
      </c>
      <c r="CL5" s="6">
        <f t="shared" si="89"/>
        <v>146.51</v>
      </c>
      <c r="CM5" s="5">
        <f t="shared" si="90"/>
        <v>5.4758720930232556</v>
      </c>
      <c r="CN5" s="6">
        <f t="shared" si="91"/>
        <v>147.76</v>
      </c>
      <c r="CO5" s="5">
        <f t="shared" si="92"/>
        <v>5.5225913621262457</v>
      </c>
      <c r="CP5" s="5">
        <f t="shared" si="93"/>
        <v>58.417774086378735</v>
      </c>
      <c r="CQ5" s="5">
        <f t="shared" si="94"/>
        <v>44.66362126245847</v>
      </c>
      <c r="CR5" s="6">
        <f t="shared" si="95"/>
        <v>158</v>
      </c>
      <c r="CS5" s="5">
        <f t="shared" si="96"/>
        <v>5.9053156146179404</v>
      </c>
      <c r="CT5" s="6">
        <f t="shared" si="97"/>
        <v>355</v>
      </c>
      <c r="CU5" s="5">
        <f t="shared" si="98"/>
        <v>13.268272425249169</v>
      </c>
      <c r="CV5" s="6">
        <f t="shared" si="99"/>
        <v>164</v>
      </c>
      <c r="CW5" s="5">
        <f t="shared" si="100"/>
        <v>6.1295681063122922</v>
      </c>
      <c r="CX5" s="6">
        <f t="shared" si="101"/>
        <v>214</v>
      </c>
      <c r="CY5" s="5">
        <f t="shared" si="102"/>
        <v>7.9983388704318932</v>
      </c>
      <c r="CZ5" s="5">
        <f t="shared" si="103"/>
        <v>12.6</v>
      </c>
      <c r="DA5" s="5">
        <f t="shared" si="104"/>
        <v>336.2</v>
      </c>
      <c r="DB5" s="5">
        <f t="shared" si="105"/>
        <v>12.565614617940199</v>
      </c>
      <c r="DC5" s="328">
        <f t="shared" si="106"/>
        <v>323.74222222222221</v>
      </c>
      <c r="DD5" s="329">
        <f t="shared" si="107"/>
        <v>12.1</v>
      </c>
      <c r="DE5" s="62">
        <f t="shared" si="108"/>
        <v>6.95</v>
      </c>
      <c r="DF5" s="299" t="s">
        <v>639</v>
      </c>
      <c r="DG5" s="295" t="s">
        <v>13</v>
      </c>
      <c r="DH5" s="295" t="s">
        <v>807</v>
      </c>
      <c r="DI5" s="295">
        <v>28</v>
      </c>
      <c r="DJ5" s="295" t="s">
        <v>592</v>
      </c>
      <c r="DK5" s="295" t="s">
        <v>784</v>
      </c>
      <c r="DL5" s="295" t="s">
        <v>651</v>
      </c>
      <c r="DM5" s="295" t="s">
        <v>808</v>
      </c>
      <c r="DN5" s="295" t="s">
        <v>779</v>
      </c>
      <c r="DO5" s="296">
        <v>47483</v>
      </c>
      <c r="DP5" s="295">
        <v>2408</v>
      </c>
      <c r="DQ5" s="295" t="s">
        <v>785</v>
      </c>
      <c r="DR5" s="295">
        <v>0</v>
      </c>
      <c r="DS5" s="295">
        <v>6</v>
      </c>
      <c r="DT5" s="295">
        <v>7</v>
      </c>
      <c r="DU5" s="295">
        <v>14</v>
      </c>
      <c r="DV5" s="295">
        <v>12.6</v>
      </c>
      <c r="DW5" s="295" t="s">
        <v>940</v>
      </c>
      <c r="DX5" s="295" t="s">
        <v>941</v>
      </c>
      <c r="DY5" s="295">
        <v>20</v>
      </c>
      <c r="DZ5" s="295">
        <v>30</v>
      </c>
      <c r="EA5" s="295">
        <v>1156</v>
      </c>
      <c r="EB5" s="295">
        <v>1023</v>
      </c>
      <c r="EC5" s="295">
        <v>74</v>
      </c>
      <c r="ED5" s="295">
        <v>84</v>
      </c>
      <c r="EE5" s="295">
        <v>59</v>
      </c>
      <c r="EF5" s="295">
        <v>76</v>
      </c>
      <c r="EG5" s="295">
        <v>32</v>
      </c>
      <c r="EH5" s="295">
        <v>212</v>
      </c>
      <c r="EI5" s="295">
        <v>57</v>
      </c>
      <c r="EJ5" s="295">
        <v>48</v>
      </c>
      <c r="EK5" s="295">
        <v>11</v>
      </c>
      <c r="EL5" s="295">
        <v>168</v>
      </c>
      <c r="EM5" s="295">
        <v>29</v>
      </c>
      <c r="EN5" s="295">
        <v>2</v>
      </c>
      <c r="EO5" s="295">
        <v>1.4</v>
      </c>
      <c r="EP5" s="295">
        <v>3</v>
      </c>
      <c r="EQ5" s="295">
        <v>0</v>
      </c>
      <c r="ER5" s="295">
        <v>0</v>
      </c>
      <c r="ES5" s="295">
        <v>12.1</v>
      </c>
      <c r="ET5" s="295" t="s">
        <v>809</v>
      </c>
      <c r="EU5" s="300">
        <v>6.95</v>
      </c>
    </row>
    <row r="6" spans="1:151" ht="24.95" customHeight="1" thickBot="1" x14ac:dyDescent="0.3">
      <c r="A6" s="29" t="str">
        <f t="shared" si="0"/>
        <v>5º</v>
      </c>
      <c r="B6" s="69" t="str">
        <f t="shared" si="1"/>
        <v>Miguel Monsalve</v>
      </c>
      <c r="C6" s="86" t="str">
        <f t="shared" si="2"/>
        <v>COL</v>
      </c>
      <c r="D6" s="99" t="str">
        <f t="shared" si="3"/>
        <v>Pé Direito</v>
      </c>
      <c r="E6" s="9" t="str">
        <f t="shared" si="4"/>
        <v>Grêmio</v>
      </c>
      <c r="F6" s="168">
        <f t="shared" si="5"/>
        <v>1.78</v>
      </c>
      <c r="G6" s="35">
        <f t="shared" si="6"/>
        <v>47848</v>
      </c>
      <c r="H6" s="7">
        <f t="shared" si="7"/>
        <v>22</v>
      </c>
      <c r="I6" s="344" t="str">
        <f t="shared" si="8"/>
        <v>10,75m € p/m</v>
      </c>
      <c r="J6" s="3" t="str">
        <f t="shared" si="9"/>
        <v>3,1M € - 6,2M €</v>
      </c>
      <c r="K6" s="96">
        <f t="shared" si="10"/>
        <v>27.547777777777775</v>
      </c>
      <c r="L6" s="145">
        <f t="shared" si="11"/>
        <v>25.611111111111111</v>
      </c>
      <c r="M6" s="146">
        <f t="shared" si="12"/>
        <v>42</v>
      </c>
      <c r="N6" s="146">
        <f t="shared" si="13"/>
        <v>54.88095238095238</v>
      </c>
      <c r="O6" s="187">
        <f t="shared" si="14"/>
        <v>0.52</v>
      </c>
      <c r="P6" s="2">
        <f t="shared" si="15"/>
        <v>8</v>
      </c>
      <c r="Q6" s="2">
        <f t="shared" si="16"/>
        <v>4</v>
      </c>
      <c r="R6" s="2">
        <f t="shared" si="17"/>
        <v>12</v>
      </c>
      <c r="S6" s="6">
        <f t="shared" si="18"/>
        <v>4</v>
      </c>
      <c r="T6" s="24">
        <f t="shared" si="19"/>
        <v>576.25</v>
      </c>
      <c r="U6" s="21">
        <f t="shared" si="20"/>
        <v>0.1561822125813449</v>
      </c>
      <c r="V6" s="343">
        <f t="shared" si="21"/>
        <v>64</v>
      </c>
      <c r="W6" s="345">
        <f t="shared" si="22"/>
        <v>2.4989154013015185</v>
      </c>
      <c r="X6" s="343">
        <f t="shared" si="23"/>
        <v>6</v>
      </c>
      <c r="Y6" s="345">
        <f t="shared" si="24"/>
        <v>0.23427331887201736</v>
      </c>
      <c r="Z6" s="332">
        <f t="shared" si="25"/>
        <v>9.375E-2</v>
      </c>
      <c r="AA6" s="343">
        <f t="shared" si="26"/>
        <v>4</v>
      </c>
      <c r="AB6" s="328">
        <f t="shared" si="27"/>
        <v>1</v>
      </c>
      <c r="AC6" s="328">
        <f t="shared" si="28"/>
        <v>1</v>
      </c>
      <c r="AD6" s="328">
        <f t="shared" si="29"/>
        <v>0</v>
      </c>
      <c r="AE6" s="21">
        <f t="shared" si="30"/>
        <v>1</v>
      </c>
      <c r="AF6" s="6">
        <f t="shared" si="31"/>
        <v>8</v>
      </c>
      <c r="AG6" s="6">
        <f t="shared" si="32"/>
        <v>4</v>
      </c>
      <c r="AH6" s="6">
        <f t="shared" si="33"/>
        <v>12</v>
      </c>
      <c r="AI6" s="6">
        <f t="shared" si="34"/>
        <v>7</v>
      </c>
      <c r="AJ6" s="2">
        <f t="shared" si="35"/>
        <v>2</v>
      </c>
      <c r="AK6" s="5">
        <f t="shared" si="36"/>
        <v>0.31236442516268981</v>
      </c>
      <c r="AL6" s="5">
        <f t="shared" si="37"/>
        <v>0.1561822125813449</v>
      </c>
      <c r="AM6" s="5">
        <f t="shared" si="38"/>
        <v>0.46854663774403471</v>
      </c>
      <c r="AN6" s="349">
        <f t="shared" si="39"/>
        <v>39</v>
      </c>
      <c r="AO6" s="350">
        <f t="shared" si="40"/>
        <v>1.5227765726681128</v>
      </c>
      <c r="AP6" s="5">
        <f t="shared" si="41"/>
        <v>9.56</v>
      </c>
      <c r="AQ6" s="5">
        <f t="shared" si="42"/>
        <v>8.77</v>
      </c>
      <c r="AR6" s="5">
        <f t="shared" si="43"/>
        <v>0.34242950108459869</v>
      </c>
      <c r="AS6" s="5">
        <f t="shared" si="44"/>
        <v>5.61</v>
      </c>
      <c r="AT6" s="5">
        <f t="shared" si="45"/>
        <v>0.21904555314533625</v>
      </c>
      <c r="AU6" s="5">
        <f t="shared" si="46"/>
        <v>14.379999999999999</v>
      </c>
      <c r="AV6" s="5">
        <f t="shared" si="47"/>
        <v>0.56147505422993493</v>
      </c>
      <c r="AW6" s="21">
        <f t="shared" si="48"/>
        <v>0.58376690946930287</v>
      </c>
      <c r="AX6" s="21">
        <f t="shared" si="49"/>
        <v>0.45558086560364458</v>
      </c>
      <c r="AY6" s="6">
        <f t="shared" si="50"/>
        <v>31</v>
      </c>
      <c r="AZ6" s="6">
        <f t="shared" si="51"/>
        <v>8</v>
      </c>
      <c r="BA6" s="21">
        <f t="shared" si="52"/>
        <v>0.25806451612903225</v>
      </c>
      <c r="BB6" s="6">
        <f t="shared" si="53"/>
        <v>1417</v>
      </c>
      <c r="BC6" s="6">
        <f t="shared" si="54"/>
        <v>1248</v>
      </c>
      <c r="BD6" s="24">
        <f t="shared" si="55"/>
        <v>55.327548806941429</v>
      </c>
      <c r="BE6" s="24">
        <f t="shared" si="56"/>
        <v>48.728850325379611</v>
      </c>
      <c r="BF6" s="24">
        <f t="shared" si="57"/>
        <v>6.5986984815618186</v>
      </c>
      <c r="BG6" s="20">
        <f t="shared" si="58"/>
        <v>0.88073394495412849</v>
      </c>
      <c r="BH6" s="6">
        <f t="shared" si="59"/>
        <v>169</v>
      </c>
      <c r="BI6" s="21">
        <f t="shared" si="60"/>
        <v>0.11926605504587151</v>
      </c>
      <c r="BJ6" s="211">
        <f t="shared" si="61"/>
        <v>60</v>
      </c>
      <c r="BK6" s="199">
        <f t="shared" si="62"/>
        <v>2.3427331887201737</v>
      </c>
      <c r="BL6" s="5">
        <f t="shared" si="63"/>
        <v>15</v>
      </c>
      <c r="BM6" s="21">
        <f t="shared" si="64"/>
        <v>6.6666666666666666E-2</v>
      </c>
      <c r="BN6" s="5">
        <f t="shared" si="65"/>
        <v>1.6100000000000003</v>
      </c>
      <c r="BO6" s="5">
        <f t="shared" si="66"/>
        <v>9.35E-2</v>
      </c>
      <c r="BP6" s="24">
        <f t="shared" si="67"/>
        <v>38.416666666666664</v>
      </c>
      <c r="BQ6" s="5">
        <f t="shared" si="68"/>
        <v>21.542056074766354</v>
      </c>
      <c r="BR6" s="5">
        <f t="shared" si="69"/>
        <v>-1.5600000000000005</v>
      </c>
      <c r="BS6" s="5">
        <f t="shared" si="70"/>
        <v>-2.3500000000000005</v>
      </c>
      <c r="BT6" s="6">
        <f t="shared" si="71"/>
        <v>73</v>
      </c>
      <c r="BU6" s="5">
        <f t="shared" si="72"/>
        <v>2.8503253796095445</v>
      </c>
      <c r="BV6" s="5">
        <f t="shared" si="73"/>
        <v>1.3275488069414316</v>
      </c>
      <c r="BW6" s="21">
        <f t="shared" si="74"/>
        <v>0.46575342465753422</v>
      </c>
      <c r="BX6" s="5">
        <f t="shared" si="75"/>
        <v>10.428571428571429</v>
      </c>
      <c r="BY6" s="5">
        <f t="shared" si="76"/>
        <v>4.375</v>
      </c>
      <c r="BZ6" s="21">
        <f t="shared" si="77"/>
        <v>9.5890410958904104E-2</v>
      </c>
      <c r="CA6" s="343">
        <f t="shared" si="78"/>
        <v>5</v>
      </c>
      <c r="CB6" s="343">
        <f t="shared" si="79"/>
        <v>2</v>
      </c>
      <c r="CC6" s="343">
        <f t="shared" si="80"/>
        <v>1</v>
      </c>
      <c r="CD6" s="21">
        <f t="shared" si="81"/>
        <v>5.577936163619461E-2</v>
      </c>
      <c r="CE6" s="6">
        <f t="shared" si="82"/>
        <v>10</v>
      </c>
      <c r="CF6" s="5">
        <f t="shared" si="83"/>
        <v>0.39045553145336226</v>
      </c>
      <c r="CG6" s="181">
        <f t="shared" si="84"/>
        <v>204</v>
      </c>
      <c r="CH6" s="5">
        <f t="shared" si="85"/>
        <v>7.9652928416485898</v>
      </c>
      <c r="CI6" s="6">
        <f t="shared" si="86"/>
        <v>142</v>
      </c>
      <c r="CJ6" s="5">
        <f t="shared" si="87"/>
        <v>5.5444685466377441</v>
      </c>
      <c r="CK6" s="21">
        <f t="shared" si="88"/>
        <v>0.69607843137254899</v>
      </c>
      <c r="CL6" s="6">
        <f t="shared" si="89"/>
        <v>128.61000000000001</v>
      </c>
      <c r="CM6" s="5">
        <f t="shared" si="90"/>
        <v>5.0216485900216927</v>
      </c>
      <c r="CN6" s="6">
        <f t="shared" si="91"/>
        <v>129.61000000000001</v>
      </c>
      <c r="CO6" s="5">
        <f t="shared" si="92"/>
        <v>5.0606941431670291</v>
      </c>
      <c r="CP6" s="5">
        <f t="shared" si="93"/>
        <v>68.720173535791758</v>
      </c>
      <c r="CQ6" s="5">
        <f t="shared" si="94"/>
        <v>55.366594360086772</v>
      </c>
      <c r="CR6" s="6">
        <f t="shared" si="95"/>
        <v>157</v>
      </c>
      <c r="CS6" s="5">
        <f t="shared" si="96"/>
        <v>6.1301518438177878</v>
      </c>
      <c r="CT6" s="6">
        <f t="shared" si="97"/>
        <v>313</v>
      </c>
      <c r="CU6" s="5">
        <f t="shared" si="98"/>
        <v>12.221258134490238</v>
      </c>
      <c r="CV6" s="6">
        <f t="shared" si="99"/>
        <v>147</v>
      </c>
      <c r="CW6" s="5">
        <f t="shared" si="100"/>
        <v>5.7396963123644253</v>
      </c>
      <c r="CX6" s="6">
        <f t="shared" si="101"/>
        <v>231</v>
      </c>
      <c r="CY6" s="5">
        <f t="shared" si="102"/>
        <v>9.0195227765726678</v>
      </c>
      <c r="CZ6" s="5">
        <f t="shared" si="103"/>
        <v>10</v>
      </c>
      <c r="DA6" s="5">
        <f t="shared" si="104"/>
        <v>308.60000000000002</v>
      </c>
      <c r="DB6" s="5">
        <f t="shared" si="105"/>
        <v>12.049457700650761</v>
      </c>
      <c r="DC6" s="328">
        <f t="shared" si="106"/>
        <v>256.11111111111109</v>
      </c>
      <c r="DD6" s="329">
        <f t="shared" si="107"/>
        <v>10</v>
      </c>
      <c r="DE6" s="62">
        <f t="shared" si="108"/>
        <v>6.93</v>
      </c>
      <c r="DF6" s="301"/>
      <c r="DG6" s="297" t="s">
        <v>553</v>
      </c>
      <c r="DH6" s="297" t="s">
        <v>811</v>
      </c>
      <c r="DI6" s="297">
        <v>22</v>
      </c>
      <c r="DJ6" s="297" t="s">
        <v>554</v>
      </c>
      <c r="DK6" s="297" t="s">
        <v>550</v>
      </c>
      <c r="DL6" s="297" t="s">
        <v>643</v>
      </c>
      <c r="DM6" s="297" t="s">
        <v>812</v>
      </c>
      <c r="DN6" s="297" t="s">
        <v>677</v>
      </c>
      <c r="DO6" s="298">
        <v>47848</v>
      </c>
      <c r="DP6" s="297">
        <v>2305</v>
      </c>
      <c r="DQ6" s="297" t="s">
        <v>1085</v>
      </c>
      <c r="DR6" s="297">
        <v>4</v>
      </c>
      <c r="DS6" s="297">
        <v>8</v>
      </c>
      <c r="DT6" s="297">
        <v>4</v>
      </c>
      <c r="DU6" s="297">
        <v>13</v>
      </c>
      <c r="DV6" s="297">
        <v>10</v>
      </c>
      <c r="DW6" s="297" t="s">
        <v>918</v>
      </c>
      <c r="DX6" s="297" t="s">
        <v>976</v>
      </c>
      <c r="DY6" s="297">
        <v>16</v>
      </c>
      <c r="DZ6" s="297">
        <v>21</v>
      </c>
      <c r="EA6" s="297">
        <v>1417</v>
      </c>
      <c r="EB6" s="297">
        <v>1248</v>
      </c>
      <c r="EC6" s="297">
        <v>60</v>
      </c>
      <c r="ED6" s="297">
        <v>97</v>
      </c>
      <c r="EE6" s="297">
        <v>39</v>
      </c>
      <c r="EF6" s="297">
        <v>74</v>
      </c>
      <c r="EG6" s="297">
        <v>35</v>
      </c>
      <c r="EH6" s="297">
        <v>105</v>
      </c>
      <c r="EI6" s="297">
        <v>33</v>
      </c>
      <c r="EJ6" s="297">
        <v>31</v>
      </c>
      <c r="EK6" s="297">
        <v>8</v>
      </c>
      <c r="EL6" s="297">
        <v>95</v>
      </c>
      <c r="EM6" s="297">
        <v>14</v>
      </c>
      <c r="EN6" s="297">
        <v>2</v>
      </c>
      <c r="EO6" s="297">
        <v>1.4</v>
      </c>
      <c r="EP6" s="297">
        <v>4</v>
      </c>
      <c r="EQ6" s="297">
        <v>1</v>
      </c>
      <c r="ER6" s="297">
        <v>1</v>
      </c>
      <c r="ES6" s="297">
        <v>10</v>
      </c>
      <c r="ET6" s="297" t="s">
        <v>1086</v>
      </c>
      <c r="EU6" s="302">
        <v>6.93</v>
      </c>
    </row>
    <row r="7" spans="1:151" ht="24.95" customHeight="1" thickBot="1" x14ac:dyDescent="0.3">
      <c r="A7" s="29" t="str">
        <f t="shared" si="0"/>
        <v>6º</v>
      </c>
      <c r="B7" s="69" t="str">
        <f t="shared" si="1"/>
        <v>Rodrigo Garro</v>
      </c>
      <c r="C7" s="86" t="str">
        <f t="shared" si="2"/>
        <v>ARG</v>
      </c>
      <c r="D7" s="99" t="str">
        <f t="shared" si="3"/>
        <v>Pé Esquerdo</v>
      </c>
      <c r="E7" s="9" t="str">
        <f t="shared" si="4"/>
        <v>Corinthians</v>
      </c>
      <c r="F7" s="168">
        <f t="shared" si="5"/>
        <v>1.74</v>
      </c>
      <c r="G7" s="35">
        <f t="shared" si="6"/>
        <v>47118</v>
      </c>
      <c r="H7" s="7">
        <f t="shared" si="7"/>
        <v>28</v>
      </c>
      <c r="I7" s="344" t="str">
        <f t="shared" si="8"/>
        <v>154m € p/m</v>
      </c>
      <c r="J7" s="3" t="str">
        <f t="shared" si="9"/>
        <v>20M €</v>
      </c>
      <c r="K7" s="96">
        <f t="shared" si="10"/>
        <v>27.547777777777775</v>
      </c>
      <c r="L7" s="145">
        <f t="shared" si="11"/>
        <v>39.711111111111109</v>
      </c>
      <c r="M7" s="146">
        <f t="shared" si="12"/>
        <v>51</v>
      </c>
      <c r="N7" s="146">
        <f t="shared" si="13"/>
        <v>70.078431372549019</v>
      </c>
      <c r="O7" s="187">
        <f t="shared" si="14"/>
        <v>0.92</v>
      </c>
      <c r="P7" s="2">
        <f t="shared" si="15"/>
        <v>12</v>
      </c>
      <c r="Q7" s="2">
        <f t="shared" si="16"/>
        <v>10</v>
      </c>
      <c r="R7" s="2">
        <f t="shared" si="17"/>
        <v>22</v>
      </c>
      <c r="S7" s="6">
        <f t="shared" si="18"/>
        <v>5</v>
      </c>
      <c r="T7" s="24">
        <f t="shared" si="19"/>
        <v>714.8</v>
      </c>
      <c r="U7" s="21">
        <f t="shared" si="20"/>
        <v>0.1259093452714046</v>
      </c>
      <c r="V7" s="343">
        <f t="shared" si="21"/>
        <v>256</v>
      </c>
      <c r="W7" s="345">
        <f t="shared" si="22"/>
        <v>6.4465584778959153</v>
      </c>
      <c r="X7" s="343">
        <f t="shared" si="23"/>
        <v>38</v>
      </c>
      <c r="Y7" s="345">
        <f t="shared" si="24"/>
        <v>0.95691102406267492</v>
      </c>
      <c r="Z7" s="332">
        <f t="shared" si="25"/>
        <v>0.1484375</v>
      </c>
      <c r="AA7" s="343">
        <f t="shared" si="26"/>
        <v>9</v>
      </c>
      <c r="AB7" s="328">
        <f t="shared" si="27"/>
        <v>2</v>
      </c>
      <c r="AC7" s="328">
        <f t="shared" si="28"/>
        <v>1</v>
      </c>
      <c r="AD7" s="328">
        <f t="shared" si="29"/>
        <v>1</v>
      </c>
      <c r="AE7" s="21">
        <f t="shared" si="30"/>
        <v>0.5</v>
      </c>
      <c r="AF7" s="6">
        <f t="shared" si="31"/>
        <v>12</v>
      </c>
      <c r="AG7" s="6">
        <f t="shared" si="32"/>
        <v>10</v>
      </c>
      <c r="AH7" s="6">
        <f t="shared" si="33"/>
        <v>22</v>
      </c>
      <c r="AI7" s="6">
        <f t="shared" si="34"/>
        <v>11</v>
      </c>
      <c r="AJ7" s="2">
        <f t="shared" si="35"/>
        <v>2</v>
      </c>
      <c r="AK7" s="5">
        <f t="shared" si="36"/>
        <v>0.30218242865137102</v>
      </c>
      <c r="AL7" s="5">
        <f t="shared" si="37"/>
        <v>0.2518186905428092</v>
      </c>
      <c r="AM7" s="5">
        <f t="shared" si="38"/>
        <v>0.55400111919418027</v>
      </c>
      <c r="AN7" s="349">
        <f t="shared" si="39"/>
        <v>55</v>
      </c>
      <c r="AO7" s="350">
        <f t="shared" si="40"/>
        <v>1.3850027979854507</v>
      </c>
      <c r="AP7" s="5">
        <f t="shared" si="41"/>
        <v>10.63</v>
      </c>
      <c r="AQ7" s="5">
        <f t="shared" si="42"/>
        <v>9.0500000000000007</v>
      </c>
      <c r="AR7" s="5">
        <f t="shared" si="43"/>
        <v>0.22789591494124234</v>
      </c>
      <c r="AS7" s="5">
        <f t="shared" si="44"/>
        <v>11.59</v>
      </c>
      <c r="AT7" s="5">
        <f t="shared" si="45"/>
        <v>0.29185786233911587</v>
      </c>
      <c r="AU7" s="5">
        <f t="shared" si="46"/>
        <v>20.64</v>
      </c>
      <c r="AV7" s="5">
        <f t="shared" si="47"/>
        <v>0.51975377728035821</v>
      </c>
      <c r="AW7" s="21">
        <f t="shared" si="48"/>
        <v>0.53682260305697083</v>
      </c>
      <c r="AX7" s="21">
        <f t="shared" si="49"/>
        <v>0.53026955368979223</v>
      </c>
      <c r="AY7" s="6">
        <f t="shared" si="50"/>
        <v>38</v>
      </c>
      <c r="AZ7" s="6">
        <f t="shared" si="51"/>
        <v>19</v>
      </c>
      <c r="BA7" s="21">
        <f t="shared" si="52"/>
        <v>0.5</v>
      </c>
      <c r="BB7" s="6">
        <f t="shared" si="53"/>
        <v>2219</v>
      </c>
      <c r="BC7" s="6">
        <f t="shared" si="54"/>
        <v>1981</v>
      </c>
      <c r="BD7" s="24">
        <f t="shared" si="55"/>
        <v>55.878567431449362</v>
      </c>
      <c r="BE7" s="24">
        <f t="shared" si="56"/>
        <v>49.885282596530502</v>
      </c>
      <c r="BF7" s="24">
        <f t="shared" si="57"/>
        <v>5.9932848349188603</v>
      </c>
      <c r="BG7" s="20">
        <f t="shared" si="58"/>
        <v>0.89274447949526814</v>
      </c>
      <c r="BH7" s="6">
        <f t="shared" si="59"/>
        <v>238</v>
      </c>
      <c r="BI7" s="21">
        <f t="shared" si="60"/>
        <v>0.10725552050473186</v>
      </c>
      <c r="BJ7" s="211">
        <f t="shared" si="61"/>
        <v>122</v>
      </c>
      <c r="BK7" s="199">
        <f t="shared" si="62"/>
        <v>3.0721880246222724</v>
      </c>
      <c r="BL7" s="5">
        <f t="shared" si="63"/>
        <v>12.2</v>
      </c>
      <c r="BM7" s="21">
        <f t="shared" si="64"/>
        <v>8.1967213114754092E-2</v>
      </c>
      <c r="BN7" s="5">
        <f t="shared" si="65"/>
        <v>1.5899999999999999</v>
      </c>
      <c r="BO7" s="5">
        <f t="shared" si="66"/>
        <v>9.5000000000000001E-2</v>
      </c>
      <c r="BP7" s="24">
        <f t="shared" si="67"/>
        <v>29.295081967213115</v>
      </c>
      <c r="BQ7" s="5">
        <f t="shared" si="68"/>
        <v>18.910052910052912</v>
      </c>
      <c r="BR7" s="5">
        <f t="shared" si="69"/>
        <v>1.3699999999999992</v>
      </c>
      <c r="BS7" s="5">
        <f t="shared" si="70"/>
        <v>0.57999999999999918</v>
      </c>
      <c r="BT7" s="6">
        <f t="shared" si="71"/>
        <v>90</v>
      </c>
      <c r="BU7" s="5">
        <f t="shared" si="72"/>
        <v>2.2663682148852828</v>
      </c>
      <c r="BV7" s="5">
        <f t="shared" si="73"/>
        <v>0.95691102406267492</v>
      </c>
      <c r="BW7" s="21">
        <f t="shared" si="74"/>
        <v>0.42222222222222222</v>
      </c>
      <c r="BX7" s="5">
        <f t="shared" si="75"/>
        <v>8.1818181818181817</v>
      </c>
      <c r="BY7" s="5">
        <f t="shared" si="76"/>
        <v>3.25</v>
      </c>
      <c r="BZ7" s="21">
        <f t="shared" si="77"/>
        <v>0.12222222222222222</v>
      </c>
      <c r="CA7" s="343">
        <f t="shared" si="78"/>
        <v>8</v>
      </c>
      <c r="CB7" s="343">
        <f t="shared" si="79"/>
        <v>2</v>
      </c>
      <c r="CC7" s="343">
        <f t="shared" si="80"/>
        <v>2</v>
      </c>
      <c r="CD7" s="21">
        <f t="shared" si="81"/>
        <v>4.5785216462328943E-2</v>
      </c>
      <c r="CE7" s="6">
        <f t="shared" si="82"/>
        <v>12.6</v>
      </c>
      <c r="CF7" s="5">
        <f t="shared" si="83"/>
        <v>0.31729155008393956</v>
      </c>
      <c r="CG7" s="181">
        <f t="shared" si="84"/>
        <v>307</v>
      </c>
      <c r="CH7" s="5">
        <f t="shared" si="85"/>
        <v>7.730833799664242</v>
      </c>
      <c r="CI7" s="6">
        <f t="shared" si="86"/>
        <v>235</v>
      </c>
      <c r="CJ7" s="5">
        <f t="shared" si="87"/>
        <v>5.9177392277560159</v>
      </c>
      <c r="CK7" s="21">
        <f t="shared" si="88"/>
        <v>0.76547231270358307</v>
      </c>
      <c r="CL7" s="6">
        <f t="shared" si="89"/>
        <v>232.59</v>
      </c>
      <c r="CM7" s="5">
        <f t="shared" si="90"/>
        <v>5.8570509233351995</v>
      </c>
      <c r="CN7" s="6">
        <f t="shared" si="91"/>
        <v>236.09</v>
      </c>
      <c r="CO7" s="5">
        <f t="shared" si="92"/>
        <v>5.9451874650251826</v>
      </c>
      <c r="CP7" s="5">
        <f t="shared" si="93"/>
        <v>71.390598768886406</v>
      </c>
      <c r="CQ7" s="5">
        <f t="shared" si="94"/>
        <v>57.792389479574709</v>
      </c>
      <c r="CR7" s="6">
        <f t="shared" si="95"/>
        <v>284</v>
      </c>
      <c r="CS7" s="5">
        <f t="shared" si="96"/>
        <v>7.1516508114157809</v>
      </c>
      <c r="CT7" s="6">
        <f t="shared" si="97"/>
        <v>497</v>
      </c>
      <c r="CU7" s="5">
        <f t="shared" si="98"/>
        <v>12.515388919977617</v>
      </c>
      <c r="CV7" s="6">
        <f t="shared" si="99"/>
        <v>244</v>
      </c>
      <c r="CW7" s="5">
        <f t="shared" si="100"/>
        <v>6.1443760492445447</v>
      </c>
      <c r="CX7" s="6">
        <f t="shared" si="101"/>
        <v>310</v>
      </c>
      <c r="CY7" s="5">
        <f t="shared" si="102"/>
        <v>7.8063794068270846</v>
      </c>
      <c r="CZ7" s="5">
        <f t="shared" si="103"/>
        <v>12.6</v>
      </c>
      <c r="DA7" s="5">
        <f t="shared" si="104"/>
        <v>501.3</v>
      </c>
      <c r="DB7" s="5">
        <f t="shared" si="105"/>
        <v>12.623670956911026</v>
      </c>
      <c r="DC7" s="328">
        <f t="shared" si="106"/>
        <v>607.58000000000004</v>
      </c>
      <c r="DD7" s="329">
        <f t="shared" si="107"/>
        <v>15.3</v>
      </c>
      <c r="DE7" s="62">
        <f t="shared" si="108"/>
        <v>7.01</v>
      </c>
      <c r="DF7" s="301"/>
      <c r="DG7" s="297" t="s">
        <v>478</v>
      </c>
      <c r="DH7" s="297" t="s">
        <v>834</v>
      </c>
      <c r="DI7" s="297">
        <v>28</v>
      </c>
      <c r="DJ7" s="297" t="s">
        <v>1045</v>
      </c>
      <c r="DK7" s="297" t="s">
        <v>775</v>
      </c>
      <c r="DL7" s="297" t="s">
        <v>651</v>
      </c>
      <c r="DM7" s="297" t="s">
        <v>1047</v>
      </c>
      <c r="DN7" s="297" t="s">
        <v>1048</v>
      </c>
      <c r="DO7" s="298">
        <v>47118</v>
      </c>
      <c r="DP7" s="297">
        <v>3574</v>
      </c>
      <c r="DQ7" s="297" t="s">
        <v>1072</v>
      </c>
      <c r="DR7" s="297">
        <v>5</v>
      </c>
      <c r="DS7" s="297">
        <v>12</v>
      </c>
      <c r="DT7" s="297">
        <v>10</v>
      </c>
      <c r="DU7" s="297">
        <v>30</v>
      </c>
      <c r="DV7" s="297">
        <v>12.6</v>
      </c>
      <c r="DW7" s="297" t="s">
        <v>1073</v>
      </c>
      <c r="DX7" s="297" t="s">
        <v>1074</v>
      </c>
      <c r="DY7" s="297">
        <v>40</v>
      </c>
      <c r="DZ7" s="297">
        <v>48</v>
      </c>
      <c r="EA7" s="297">
        <v>2219</v>
      </c>
      <c r="EB7" s="297">
        <v>1981</v>
      </c>
      <c r="EC7" s="297">
        <v>122</v>
      </c>
      <c r="ED7" s="297">
        <v>162</v>
      </c>
      <c r="EE7" s="297">
        <v>55</v>
      </c>
      <c r="EF7" s="297">
        <v>92</v>
      </c>
      <c r="EG7" s="297">
        <v>39</v>
      </c>
      <c r="EH7" s="297">
        <v>318</v>
      </c>
      <c r="EI7" s="297">
        <v>69</v>
      </c>
      <c r="EJ7" s="297">
        <v>38</v>
      </c>
      <c r="EK7" s="297">
        <v>19</v>
      </c>
      <c r="EL7" s="297">
        <v>294</v>
      </c>
      <c r="EM7" s="297">
        <v>57</v>
      </c>
      <c r="EN7" s="297">
        <v>2</v>
      </c>
      <c r="EO7" s="297">
        <v>1.1000000000000001</v>
      </c>
      <c r="EP7" s="297">
        <v>9</v>
      </c>
      <c r="EQ7" s="297">
        <v>2</v>
      </c>
      <c r="ER7" s="297">
        <v>1</v>
      </c>
      <c r="ES7" s="297">
        <v>15.3</v>
      </c>
      <c r="ET7" s="297" t="s">
        <v>1046</v>
      </c>
      <c r="EU7" s="302">
        <v>7.01</v>
      </c>
    </row>
    <row r="8" spans="1:151" ht="24.95" customHeight="1" thickBot="1" x14ac:dyDescent="0.3">
      <c r="A8" s="29" t="str">
        <f t="shared" si="0"/>
        <v>7º</v>
      </c>
      <c r="B8" s="69" t="str">
        <f t="shared" si="1"/>
        <v>Rodrigo Nestor</v>
      </c>
      <c r="C8" s="86" t="str">
        <f t="shared" si="2"/>
        <v>BRA</v>
      </c>
      <c r="D8" s="99" t="str">
        <f t="shared" si="3"/>
        <v>Pé Esquerdo</v>
      </c>
      <c r="E8" s="9" t="str">
        <f t="shared" si="4"/>
        <v>Bahia</v>
      </c>
      <c r="F8" s="168">
        <f t="shared" si="5"/>
        <v>1.75</v>
      </c>
      <c r="G8" s="35">
        <f t="shared" si="6"/>
        <v>47848</v>
      </c>
      <c r="H8" s="7">
        <f t="shared" si="7"/>
        <v>26</v>
      </c>
      <c r="I8" s="344" t="str">
        <f t="shared" si="8"/>
        <v>40m € p/m</v>
      </c>
      <c r="J8" s="3" t="str">
        <f t="shared" si="9"/>
        <v>850m € - 8,6M €</v>
      </c>
      <c r="K8" s="96">
        <f t="shared" si="10"/>
        <v>27.547777777777775</v>
      </c>
      <c r="L8" s="145">
        <f t="shared" si="11"/>
        <v>22.366666666666667</v>
      </c>
      <c r="M8" s="146">
        <f t="shared" si="12"/>
        <v>36</v>
      </c>
      <c r="N8" s="146">
        <f t="shared" si="13"/>
        <v>55.916666666666664</v>
      </c>
      <c r="O8" s="187">
        <f t="shared" si="14"/>
        <v>0.61</v>
      </c>
      <c r="P8" s="2">
        <f t="shared" si="15"/>
        <v>6</v>
      </c>
      <c r="Q8" s="2">
        <f t="shared" si="16"/>
        <v>5</v>
      </c>
      <c r="R8" s="2">
        <f t="shared" si="17"/>
        <v>11</v>
      </c>
      <c r="S8" s="6">
        <f t="shared" si="18"/>
        <v>2</v>
      </c>
      <c r="T8" s="24">
        <f t="shared" si="19"/>
        <v>1006.5</v>
      </c>
      <c r="U8" s="21">
        <f t="shared" si="20"/>
        <v>8.9418777943368111E-2</v>
      </c>
      <c r="V8" s="343">
        <f t="shared" si="21"/>
        <v>36</v>
      </c>
      <c r="W8" s="345">
        <f t="shared" si="22"/>
        <v>1.6095380029806259</v>
      </c>
      <c r="X8" s="343">
        <f t="shared" si="23"/>
        <v>5</v>
      </c>
      <c r="Y8" s="345">
        <f t="shared" si="24"/>
        <v>0.22354694485842028</v>
      </c>
      <c r="Z8" s="332">
        <f t="shared" si="25"/>
        <v>0.1388888888888889</v>
      </c>
      <c r="AA8" s="343">
        <f t="shared" si="26"/>
        <v>3</v>
      </c>
      <c r="AB8" s="328">
        <f t="shared" si="27"/>
        <v>0</v>
      </c>
      <c r="AC8" s="328">
        <f t="shared" si="28"/>
        <v>0</v>
      </c>
      <c r="AD8" s="328">
        <f t="shared" si="29"/>
        <v>0</v>
      </c>
      <c r="AE8" s="21">
        <f t="shared" si="30"/>
        <v>9.9999999999999995E-8</v>
      </c>
      <c r="AF8" s="6">
        <f t="shared" si="31"/>
        <v>6</v>
      </c>
      <c r="AG8" s="6">
        <f t="shared" si="32"/>
        <v>5</v>
      </c>
      <c r="AH8" s="6">
        <f t="shared" si="33"/>
        <v>11</v>
      </c>
      <c r="AI8" s="6">
        <f t="shared" si="34"/>
        <v>6</v>
      </c>
      <c r="AJ8" s="2">
        <f t="shared" si="35"/>
        <v>2</v>
      </c>
      <c r="AK8" s="5">
        <f t="shared" si="36"/>
        <v>0.26825633383010433</v>
      </c>
      <c r="AL8" s="5">
        <f t="shared" si="37"/>
        <v>0.22354694485842028</v>
      </c>
      <c r="AM8" s="5">
        <f t="shared" si="38"/>
        <v>0.49180327868852458</v>
      </c>
      <c r="AN8" s="349">
        <f t="shared" si="39"/>
        <v>89</v>
      </c>
      <c r="AO8" s="350">
        <f t="shared" si="40"/>
        <v>3.9791356184798805</v>
      </c>
      <c r="AP8" s="5">
        <f t="shared" si="41"/>
        <v>6.07</v>
      </c>
      <c r="AQ8" s="5">
        <f t="shared" si="42"/>
        <v>6.07</v>
      </c>
      <c r="AR8" s="5">
        <f t="shared" si="43"/>
        <v>0.27138599105812222</v>
      </c>
      <c r="AS8" s="5">
        <f t="shared" si="44"/>
        <v>4.99</v>
      </c>
      <c r="AT8" s="5">
        <f t="shared" si="45"/>
        <v>0.22309985096870344</v>
      </c>
      <c r="AU8" s="5">
        <f t="shared" si="46"/>
        <v>11.06</v>
      </c>
      <c r="AV8" s="5">
        <f t="shared" si="47"/>
        <v>0.49448584202682566</v>
      </c>
      <c r="AW8" s="21">
        <f t="shared" si="48"/>
        <v>0.49949949949949951</v>
      </c>
      <c r="AX8" s="21">
        <f t="shared" si="49"/>
        <v>0.49710024855012425</v>
      </c>
      <c r="AY8" s="6">
        <f t="shared" si="50"/>
        <v>68</v>
      </c>
      <c r="AZ8" s="6">
        <f t="shared" si="51"/>
        <v>18</v>
      </c>
      <c r="BA8" s="21">
        <f t="shared" si="52"/>
        <v>0.26470588235294118</v>
      </c>
      <c r="BB8" s="6">
        <f t="shared" si="53"/>
        <v>1099</v>
      </c>
      <c r="BC8" s="6">
        <f t="shared" si="54"/>
        <v>970</v>
      </c>
      <c r="BD8" s="24">
        <f t="shared" si="55"/>
        <v>49.135618479880776</v>
      </c>
      <c r="BE8" s="24">
        <f t="shared" si="56"/>
        <v>43.368107302533531</v>
      </c>
      <c r="BF8" s="24">
        <f t="shared" si="57"/>
        <v>5.7675111773472452</v>
      </c>
      <c r="BG8" s="20">
        <f t="shared" si="58"/>
        <v>0.88262056414922652</v>
      </c>
      <c r="BH8" s="6">
        <f t="shared" si="59"/>
        <v>129</v>
      </c>
      <c r="BI8" s="21">
        <f t="shared" si="60"/>
        <v>0.11737943585077348</v>
      </c>
      <c r="BJ8" s="211">
        <f t="shared" si="61"/>
        <v>61</v>
      </c>
      <c r="BK8" s="199">
        <f t="shared" si="62"/>
        <v>2.7272727272727271</v>
      </c>
      <c r="BL8" s="5">
        <f t="shared" si="63"/>
        <v>12.2</v>
      </c>
      <c r="BM8" s="21">
        <f t="shared" si="64"/>
        <v>8.1967213114754092E-2</v>
      </c>
      <c r="BN8" s="5">
        <f t="shared" si="65"/>
        <v>-9.9999999999997868E-3</v>
      </c>
      <c r="BO8" s="5">
        <f t="shared" si="66"/>
        <v>8.1803278688524592E-2</v>
      </c>
      <c r="BP8" s="24">
        <f t="shared" si="67"/>
        <v>33</v>
      </c>
      <c r="BQ8" s="5">
        <f t="shared" si="68"/>
        <v>18.990566037735849</v>
      </c>
      <c r="BR8" s="5">
        <f t="shared" si="69"/>
        <v>-7.0000000000000284E-2</v>
      </c>
      <c r="BS8" s="5">
        <f t="shared" si="70"/>
        <v>-7.0000000000000284E-2</v>
      </c>
      <c r="BT8" s="6">
        <f t="shared" si="71"/>
        <v>50</v>
      </c>
      <c r="BU8" s="5">
        <f t="shared" si="72"/>
        <v>2.2354694485842028</v>
      </c>
      <c r="BV8" s="5">
        <f t="shared" si="73"/>
        <v>1.1624441132637853</v>
      </c>
      <c r="BW8" s="21">
        <f t="shared" si="74"/>
        <v>0.52</v>
      </c>
      <c r="BX8" s="5">
        <f t="shared" si="75"/>
        <v>8.3333333333333339</v>
      </c>
      <c r="BY8" s="5">
        <f t="shared" si="76"/>
        <v>4.333333333333333</v>
      </c>
      <c r="BZ8" s="21">
        <f t="shared" si="77"/>
        <v>0.12</v>
      </c>
      <c r="CA8" s="343">
        <f t="shared" si="78"/>
        <v>4</v>
      </c>
      <c r="CB8" s="343">
        <f t="shared" si="79"/>
        <v>2</v>
      </c>
      <c r="CC8" s="343">
        <f t="shared" si="80"/>
        <v>0</v>
      </c>
      <c r="CD8" s="21">
        <f t="shared" si="81"/>
        <v>8.1289798130334642E-2</v>
      </c>
      <c r="CE8" s="6">
        <f t="shared" si="82"/>
        <v>13.1</v>
      </c>
      <c r="CF8" s="5">
        <f t="shared" si="83"/>
        <v>0.58569299552906107</v>
      </c>
      <c r="CG8" s="181">
        <f t="shared" si="84"/>
        <v>268</v>
      </c>
      <c r="CH8" s="5">
        <f t="shared" si="85"/>
        <v>11.982116244411326</v>
      </c>
      <c r="CI8" s="6">
        <f t="shared" si="86"/>
        <v>194</v>
      </c>
      <c r="CJ8" s="5">
        <f t="shared" si="87"/>
        <v>8.6736214605067055</v>
      </c>
      <c r="CK8" s="21">
        <f t="shared" si="88"/>
        <v>0.72388059701492535</v>
      </c>
      <c r="CL8" s="6">
        <f t="shared" si="89"/>
        <v>136.49</v>
      </c>
      <c r="CM8" s="5">
        <f t="shared" si="90"/>
        <v>6.1023845007451571</v>
      </c>
      <c r="CN8" s="6">
        <f t="shared" si="91"/>
        <v>137.24</v>
      </c>
      <c r="CO8" s="5">
        <f t="shared" si="92"/>
        <v>6.1359165424739199</v>
      </c>
      <c r="CP8" s="5">
        <f t="shared" si="93"/>
        <v>66.348733233979132</v>
      </c>
      <c r="CQ8" s="5">
        <f t="shared" si="94"/>
        <v>50.745156482861397</v>
      </c>
      <c r="CR8" s="6">
        <f t="shared" si="95"/>
        <v>146</v>
      </c>
      <c r="CS8" s="5">
        <f t="shared" si="96"/>
        <v>6.5275707898658721</v>
      </c>
      <c r="CT8" s="6">
        <f t="shared" si="97"/>
        <v>372</v>
      </c>
      <c r="CU8" s="5">
        <f t="shared" si="98"/>
        <v>16.631892697466469</v>
      </c>
      <c r="CV8" s="6">
        <f t="shared" si="99"/>
        <v>130</v>
      </c>
      <c r="CW8" s="5">
        <f t="shared" si="100"/>
        <v>5.8122205663189268</v>
      </c>
      <c r="CX8" s="6">
        <f t="shared" si="101"/>
        <v>203</v>
      </c>
      <c r="CY8" s="5">
        <f t="shared" si="102"/>
        <v>9.0760059612518624</v>
      </c>
      <c r="CZ8" s="5">
        <f t="shared" si="103"/>
        <v>13.1</v>
      </c>
      <c r="DA8" s="5">
        <f t="shared" si="104"/>
        <v>261.39999999999998</v>
      </c>
      <c r="DB8" s="5">
        <f t="shared" si="105"/>
        <v>11.68703427719821</v>
      </c>
      <c r="DC8" s="328">
        <f t="shared" si="106"/>
        <v>237.08666666666667</v>
      </c>
      <c r="DD8" s="329">
        <f t="shared" si="107"/>
        <v>10.6</v>
      </c>
      <c r="DE8" s="62">
        <f t="shared" si="108"/>
        <v>6.98</v>
      </c>
      <c r="DF8" s="301"/>
      <c r="DG8" s="297" t="s">
        <v>13</v>
      </c>
      <c r="DH8" s="297" t="s">
        <v>946</v>
      </c>
      <c r="DI8" s="297">
        <v>26</v>
      </c>
      <c r="DJ8" s="297" t="s">
        <v>580</v>
      </c>
      <c r="DK8" s="297" t="s">
        <v>588</v>
      </c>
      <c r="DL8" s="297" t="s">
        <v>651</v>
      </c>
      <c r="DM8" s="297" t="s">
        <v>983</v>
      </c>
      <c r="DN8" s="297" t="s">
        <v>947</v>
      </c>
      <c r="DO8" s="298">
        <v>47848</v>
      </c>
      <c r="DP8" s="297">
        <v>2013</v>
      </c>
      <c r="DQ8" s="297" t="s">
        <v>1080</v>
      </c>
      <c r="DR8" s="297">
        <v>2</v>
      </c>
      <c r="DS8" s="297">
        <v>6</v>
      </c>
      <c r="DT8" s="297">
        <v>5</v>
      </c>
      <c r="DU8" s="297">
        <v>19</v>
      </c>
      <c r="DV8" s="297">
        <v>13.1</v>
      </c>
      <c r="DW8" s="297" t="s">
        <v>938</v>
      </c>
      <c r="DX8" s="297" t="s">
        <v>931</v>
      </c>
      <c r="DY8" s="297">
        <v>13</v>
      </c>
      <c r="DZ8" s="297">
        <v>28</v>
      </c>
      <c r="EA8" s="297">
        <v>1099</v>
      </c>
      <c r="EB8" s="297">
        <v>970</v>
      </c>
      <c r="EC8" s="297">
        <v>61</v>
      </c>
      <c r="ED8" s="297">
        <v>85</v>
      </c>
      <c r="EE8" s="297">
        <v>89</v>
      </c>
      <c r="EF8" s="297">
        <v>50</v>
      </c>
      <c r="EG8" s="297">
        <v>26</v>
      </c>
      <c r="EH8" s="297">
        <v>177</v>
      </c>
      <c r="EI8" s="297">
        <v>37</v>
      </c>
      <c r="EJ8" s="297">
        <v>68</v>
      </c>
      <c r="EK8" s="297">
        <v>18</v>
      </c>
      <c r="EL8" s="297">
        <v>104</v>
      </c>
      <c r="EM8" s="297">
        <v>23</v>
      </c>
      <c r="EN8" s="297">
        <v>2</v>
      </c>
      <c r="EO8" s="297">
        <v>1.1000000000000001</v>
      </c>
      <c r="EP8" s="297">
        <v>3</v>
      </c>
      <c r="EQ8" s="297">
        <v>0</v>
      </c>
      <c r="ER8" s="297">
        <v>0</v>
      </c>
      <c r="ES8" s="297">
        <v>10.6</v>
      </c>
      <c r="ET8" s="297" t="s">
        <v>1081</v>
      </c>
      <c r="EU8" s="302">
        <v>6.98</v>
      </c>
    </row>
    <row r="9" spans="1:151" ht="24.95" customHeight="1" thickBot="1" x14ac:dyDescent="0.3">
      <c r="A9" s="29" t="str">
        <f t="shared" si="0"/>
        <v>8º</v>
      </c>
      <c r="B9" s="69" t="str">
        <f t="shared" si="1"/>
        <v>Roger Gabriel</v>
      </c>
      <c r="C9" s="86" t="str">
        <f t="shared" si="2"/>
        <v>BRA</v>
      </c>
      <c r="D9" s="99" t="str">
        <f t="shared" si="3"/>
        <v>Pé Direito</v>
      </c>
      <c r="E9" s="9" t="str">
        <f t="shared" si="4"/>
        <v>Bahia</v>
      </c>
      <c r="F9" s="168">
        <f t="shared" si="5"/>
        <v>1.73</v>
      </c>
      <c r="G9" s="35">
        <f t="shared" si="6"/>
        <v>47118</v>
      </c>
      <c r="H9" s="7">
        <f t="shared" si="7"/>
        <v>19</v>
      </c>
      <c r="I9" s="344" t="str">
        <f t="shared" si="8"/>
        <v>500 € p/m</v>
      </c>
      <c r="J9" s="3" t="str">
        <f t="shared" si="9"/>
        <v>35m € - 325m €</v>
      </c>
      <c r="K9" s="96">
        <f t="shared" si="10"/>
        <v>27.547777777777775</v>
      </c>
      <c r="L9" s="145">
        <f t="shared" si="11"/>
        <v>20.711111111111112</v>
      </c>
      <c r="M9" s="146">
        <f t="shared" si="12"/>
        <v>29</v>
      </c>
      <c r="N9" s="146">
        <f t="shared" si="13"/>
        <v>64.275862068965523</v>
      </c>
      <c r="O9" s="187">
        <f t="shared" si="14"/>
        <v>0.83</v>
      </c>
      <c r="P9" s="2">
        <f t="shared" si="15"/>
        <v>6</v>
      </c>
      <c r="Q9" s="2">
        <f t="shared" si="16"/>
        <v>5</v>
      </c>
      <c r="R9" s="2">
        <f t="shared" si="17"/>
        <v>11</v>
      </c>
      <c r="S9" s="6">
        <f t="shared" si="18"/>
        <v>1</v>
      </c>
      <c r="T9" s="24">
        <f t="shared" si="19"/>
        <v>1864</v>
      </c>
      <c r="U9" s="21">
        <f t="shared" si="20"/>
        <v>4.8283261802575105E-2</v>
      </c>
      <c r="V9" s="343">
        <f t="shared" si="21"/>
        <v>32</v>
      </c>
      <c r="W9" s="345">
        <f t="shared" si="22"/>
        <v>1.5450643776824033</v>
      </c>
      <c r="X9" s="343">
        <f t="shared" si="23"/>
        <v>5</v>
      </c>
      <c r="Y9" s="345">
        <f t="shared" si="24"/>
        <v>0.24141630901287553</v>
      </c>
      <c r="Z9" s="332">
        <f t="shared" si="25"/>
        <v>0.15625</v>
      </c>
      <c r="AA9" s="343">
        <f t="shared" si="26"/>
        <v>0</v>
      </c>
      <c r="AB9" s="328">
        <f t="shared" si="27"/>
        <v>0</v>
      </c>
      <c r="AC9" s="328">
        <f t="shared" si="28"/>
        <v>0</v>
      </c>
      <c r="AD9" s="328">
        <f t="shared" si="29"/>
        <v>0</v>
      </c>
      <c r="AE9" s="21">
        <f t="shared" si="30"/>
        <v>9.9999999999999995E-8</v>
      </c>
      <c r="AF9" s="6">
        <f t="shared" si="31"/>
        <v>6</v>
      </c>
      <c r="AG9" s="6">
        <f t="shared" si="32"/>
        <v>5</v>
      </c>
      <c r="AH9" s="6">
        <f t="shared" si="33"/>
        <v>11</v>
      </c>
      <c r="AI9" s="6">
        <f t="shared" si="34"/>
        <v>6</v>
      </c>
      <c r="AJ9" s="2">
        <f t="shared" si="35"/>
        <v>0</v>
      </c>
      <c r="AK9" s="5">
        <f t="shared" si="36"/>
        <v>0.28969957081545061</v>
      </c>
      <c r="AL9" s="5">
        <f t="shared" si="37"/>
        <v>0.24141630901287553</v>
      </c>
      <c r="AM9" s="5">
        <f t="shared" si="38"/>
        <v>0.5311158798283262</v>
      </c>
      <c r="AN9" s="349">
        <f t="shared" si="39"/>
        <v>38</v>
      </c>
      <c r="AO9" s="350">
        <f t="shared" si="40"/>
        <v>1.834763948497854</v>
      </c>
      <c r="AP9" s="5">
        <f t="shared" si="41"/>
        <v>6.63</v>
      </c>
      <c r="AQ9" s="5">
        <f t="shared" si="42"/>
        <v>6.63</v>
      </c>
      <c r="AR9" s="5">
        <f t="shared" si="43"/>
        <v>0.32011802575107295</v>
      </c>
      <c r="AS9" s="5">
        <f t="shared" si="44"/>
        <v>4.24</v>
      </c>
      <c r="AT9" s="5">
        <f t="shared" si="45"/>
        <v>0.20472103004291844</v>
      </c>
      <c r="AU9" s="5">
        <f t="shared" si="46"/>
        <v>10.870000000000001</v>
      </c>
      <c r="AV9" s="5">
        <f t="shared" si="47"/>
        <v>0.52483905579399148</v>
      </c>
      <c r="AW9" s="21">
        <f t="shared" si="48"/>
        <v>0.45887445887445888</v>
      </c>
      <c r="AX9" s="21">
        <f t="shared" si="49"/>
        <v>0.47505938242280288</v>
      </c>
      <c r="AY9" s="6">
        <f t="shared" si="50"/>
        <v>14</v>
      </c>
      <c r="AZ9" s="6">
        <f t="shared" si="51"/>
        <v>5</v>
      </c>
      <c r="BA9" s="21">
        <f t="shared" si="52"/>
        <v>0.35714285714285715</v>
      </c>
      <c r="BB9" s="6">
        <f t="shared" si="53"/>
        <v>882</v>
      </c>
      <c r="BC9" s="6">
        <f t="shared" si="54"/>
        <v>777</v>
      </c>
      <c r="BD9" s="24">
        <f t="shared" si="55"/>
        <v>42.58583690987124</v>
      </c>
      <c r="BE9" s="24">
        <f t="shared" si="56"/>
        <v>37.516094420600858</v>
      </c>
      <c r="BF9" s="24">
        <f t="shared" si="57"/>
        <v>5.0697424892703822</v>
      </c>
      <c r="BG9" s="20">
        <f t="shared" si="58"/>
        <v>0.88095238095238093</v>
      </c>
      <c r="BH9" s="6">
        <f t="shared" si="59"/>
        <v>105</v>
      </c>
      <c r="BI9" s="21">
        <f t="shared" si="60"/>
        <v>0.11904761904761907</v>
      </c>
      <c r="BJ9" s="211">
        <f t="shared" si="61"/>
        <v>57</v>
      </c>
      <c r="BK9" s="199">
        <f t="shared" si="62"/>
        <v>2.7521459227467808</v>
      </c>
      <c r="BL9" s="5">
        <f t="shared" si="63"/>
        <v>11.4</v>
      </c>
      <c r="BM9" s="21">
        <f t="shared" si="64"/>
        <v>8.771929824561403E-2</v>
      </c>
      <c r="BN9" s="5">
        <f t="shared" si="65"/>
        <v>-0.75999999999999979</v>
      </c>
      <c r="BO9" s="5">
        <f t="shared" si="66"/>
        <v>7.4385964912280708E-2</v>
      </c>
      <c r="BP9" s="24">
        <f t="shared" si="67"/>
        <v>32.701754385964911</v>
      </c>
      <c r="BQ9" s="5">
        <f t="shared" si="68"/>
        <v>18.64</v>
      </c>
      <c r="BR9" s="5">
        <f t="shared" si="69"/>
        <v>-0.62999999999999989</v>
      </c>
      <c r="BS9" s="5">
        <f t="shared" si="70"/>
        <v>-0.62999999999999989</v>
      </c>
      <c r="BT9" s="6">
        <f t="shared" si="71"/>
        <v>60</v>
      </c>
      <c r="BU9" s="5">
        <f t="shared" si="72"/>
        <v>2.8969957081545061</v>
      </c>
      <c r="BV9" s="5">
        <f t="shared" si="73"/>
        <v>1.3036480686695278</v>
      </c>
      <c r="BW9" s="21">
        <f t="shared" si="74"/>
        <v>0.45</v>
      </c>
      <c r="BX9" s="5">
        <f t="shared" si="75"/>
        <v>10</v>
      </c>
      <c r="BY9" s="5">
        <f t="shared" si="76"/>
        <v>4.5</v>
      </c>
      <c r="BZ9" s="21">
        <f t="shared" si="77"/>
        <v>0.1</v>
      </c>
      <c r="CA9" s="343">
        <f t="shared" si="78"/>
        <v>6</v>
      </c>
      <c r="CB9" s="343">
        <f t="shared" si="79"/>
        <v>0</v>
      </c>
      <c r="CC9" s="343">
        <f t="shared" si="80"/>
        <v>0</v>
      </c>
      <c r="CD9" s="21">
        <f t="shared" si="81"/>
        <v>0</v>
      </c>
      <c r="CE9" s="6">
        <f t="shared" si="82"/>
        <v>14</v>
      </c>
      <c r="CF9" s="5">
        <f t="shared" si="83"/>
        <v>0.67596566523605151</v>
      </c>
      <c r="CG9" s="181">
        <f t="shared" si="84"/>
        <v>169</v>
      </c>
      <c r="CH9" s="5">
        <f t="shared" si="85"/>
        <v>8.1598712446351929</v>
      </c>
      <c r="CI9" s="6">
        <f t="shared" si="86"/>
        <v>127</v>
      </c>
      <c r="CJ9" s="5">
        <f t="shared" si="87"/>
        <v>6.1319742489270386</v>
      </c>
      <c r="CK9" s="21">
        <f t="shared" si="88"/>
        <v>0.75147928994082835</v>
      </c>
      <c r="CL9" s="6">
        <f t="shared" si="89"/>
        <v>114.74000000000001</v>
      </c>
      <c r="CM9" s="5">
        <f t="shared" si="90"/>
        <v>5.5400214592274679</v>
      </c>
      <c r="CN9" s="6">
        <f t="shared" si="91"/>
        <v>117.49</v>
      </c>
      <c r="CO9" s="5">
        <f t="shared" si="92"/>
        <v>5.6728004291845489</v>
      </c>
      <c r="CP9" s="5">
        <f t="shared" si="93"/>
        <v>55.960300429184549</v>
      </c>
      <c r="CQ9" s="5">
        <f t="shared" si="94"/>
        <v>44.227467811158796</v>
      </c>
      <c r="CR9" s="6">
        <f t="shared" si="95"/>
        <v>123</v>
      </c>
      <c r="CS9" s="5">
        <f t="shared" si="96"/>
        <v>5.9388412017167376</v>
      </c>
      <c r="CT9" s="6">
        <f t="shared" si="97"/>
        <v>251</v>
      </c>
      <c r="CU9" s="5">
        <f t="shared" si="98"/>
        <v>12.119098712446352</v>
      </c>
      <c r="CV9" s="6">
        <f t="shared" si="99"/>
        <v>133</v>
      </c>
      <c r="CW9" s="5">
        <f t="shared" si="100"/>
        <v>6.4216738197424892</v>
      </c>
      <c r="CX9" s="6">
        <f t="shared" si="101"/>
        <v>147</v>
      </c>
      <c r="CY9" s="5">
        <f t="shared" si="102"/>
        <v>7.09763948497854</v>
      </c>
      <c r="CZ9" s="5">
        <f t="shared" si="103"/>
        <v>14</v>
      </c>
      <c r="DA9" s="5">
        <f t="shared" si="104"/>
        <v>243.1</v>
      </c>
      <c r="DB9" s="5">
        <f t="shared" si="105"/>
        <v>11.737660944206008</v>
      </c>
      <c r="DC9" s="328">
        <f t="shared" si="106"/>
        <v>138.76444444444445</v>
      </c>
      <c r="DD9" s="329">
        <f t="shared" si="107"/>
        <v>6.7</v>
      </c>
      <c r="DE9" s="62">
        <f t="shared" si="108"/>
        <v>6.94</v>
      </c>
      <c r="DF9" s="299"/>
      <c r="DG9" s="295" t="s">
        <v>13</v>
      </c>
      <c r="DH9" s="295" t="s">
        <v>1082</v>
      </c>
      <c r="DI9" s="295">
        <v>19</v>
      </c>
      <c r="DJ9" s="295" t="s">
        <v>580</v>
      </c>
      <c r="DK9" s="295" t="s">
        <v>773</v>
      </c>
      <c r="DL9" s="295" t="s">
        <v>643</v>
      </c>
      <c r="DM9" s="295" t="s">
        <v>972</v>
      </c>
      <c r="DN9" s="295" t="s">
        <v>759</v>
      </c>
      <c r="DO9" s="296">
        <v>47118</v>
      </c>
      <c r="DP9" s="295">
        <v>1864</v>
      </c>
      <c r="DQ9" s="295" t="s">
        <v>1083</v>
      </c>
      <c r="DR9" s="295">
        <v>1</v>
      </c>
      <c r="DS9" s="295">
        <v>6</v>
      </c>
      <c r="DT9" s="295">
        <v>5</v>
      </c>
      <c r="DU9" s="295">
        <v>16</v>
      </c>
      <c r="DV9" s="295">
        <v>14</v>
      </c>
      <c r="DW9" s="295" t="s">
        <v>997</v>
      </c>
      <c r="DX9" s="295" t="s">
        <v>984</v>
      </c>
      <c r="DY9" s="295">
        <v>7</v>
      </c>
      <c r="DZ9" s="295">
        <v>18</v>
      </c>
      <c r="EA9" s="295">
        <v>882</v>
      </c>
      <c r="EB9" s="295">
        <v>777</v>
      </c>
      <c r="EC9" s="295">
        <v>57</v>
      </c>
      <c r="ED9" s="295">
        <v>66</v>
      </c>
      <c r="EE9" s="295">
        <v>38</v>
      </c>
      <c r="EF9" s="295">
        <v>60</v>
      </c>
      <c r="EG9" s="295">
        <v>27</v>
      </c>
      <c r="EH9" s="295">
        <v>87</v>
      </c>
      <c r="EI9" s="295">
        <v>25</v>
      </c>
      <c r="EJ9" s="295">
        <v>14</v>
      </c>
      <c r="EK9" s="295">
        <v>5</v>
      </c>
      <c r="EL9" s="295">
        <v>46</v>
      </c>
      <c r="EM9" s="295">
        <v>10</v>
      </c>
      <c r="EN9" s="295">
        <v>0</v>
      </c>
      <c r="EO9" s="295">
        <v>1.2</v>
      </c>
      <c r="EP9" s="295">
        <v>0</v>
      </c>
      <c r="EQ9" s="295">
        <v>0</v>
      </c>
      <c r="ER9" s="295">
        <v>0</v>
      </c>
      <c r="ES9" s="295">
        <v>6.7</v>
      </c>
      <c r="ET9" s="295" t="s">
        <v>1084</v>
      </c>
      <c r="EU9" s="300">
        <v>6.94</v>
      </c>
    </row>
    <row r="10" spans="1:151" ht="24.95" customHeight="1" thickBot="1" x14ac:dyDescent="0.3">
      <c r="A10" s="29" t="str">
        <f t="shared" si="0"/>
        <v>9º</v>
      </c>
      <c r="B10" s="69" t="str">
        <f t="shared" si="1"/>
        <v>Víctor Cantillo</v>
      </c>
      <c r="C10" s="86" t="str">
        <f t="shared" si="2"/>
        <v>COL</v>
      </c>
      <c r="D10" s="99" t="str">
        <f t="shared" si="3"/>
        <v>Pé Direito</v>
      </c>
      <c r="E10" s="9" t="str">
        <f t="shared" si="4"/>
        <v>Remo</v>
      </c>
      <c r="F10" s="168">
        <f t="shared" si="5"/>
        <v>1.81</v>
      </c>
      <c r="G10" s="35">
        <f t="shared" si="6"/>
        <v>47118</v>
      </c>
      <c r="H10" s="7">
        <f t="shared" si="7"/>
        <v>32</v>
      </c>
      <c r="I10" s="344" t="str">
        <f t="shared" si="8"/>
        <v>28m € p/m</v>
      </c>
      <c r="J10" s="3" t="str">
        <f t="shared" si="9"/>
        <v>24M €</v>
      </c>
      <c r="K10" s="96">
        <f t="shared" si="10"/>
        <v>27.547777777777775</v>
      </c>
      <c r="L10" s="145">
        <f t="shared" si="11"/>
        <v>19.744444444444444</v>
      </c>
      <c r="M10" s="146">
        <f t="shared" si="12"/>
        <v>41</v>
      </c>
      <c r="N10" s="146">
        <f t="shared" si="13"/>
        <v>43.341463414634148</v>
      </c>
      <c r="O10" s="187">
        <f t="shared" si="14"/>
        <v>0.39</v>
      </c>
      <c r="P10" s="2">
        <f t="shared" si="15"/>
        <v>6</v>
      </c>
      <c r="Q10" s="2">
        <f t="shared" si="16"/>
        <v>6</v>
      </c>
      <c r="R10" s="2">
        <f t="shared" si="17"/>
        <v>12</v>
      </c>
      <c r="S10" s="6">
        <f t="shared" si="18"/>
        <v>2</v>
      </c>
      <c r="T10" s="24">
        <f t="shared" si="19"/>
        <v>888.5</v>
      </c>
      <c r="U10" s="21">
        <f t="shared" si="20"/>
        <v>0.10129431626336523</v>
      </c>
      <c r="V10" s="343">
        <f t="shared" si="21"/>
        <v>65</v>
      </c>
      <c r="W10" s="345">
        <f t="shared" si="22"/>
        <v>3.2920652785593698</v>
      </c>
      <c r="X10" s="343">
        <f t="shared" si="23"/>
        <v>5</v>
      </c>
      <c r="Y10" s="345">
        <f t="shared" si="24"/>
        <v>0.25323579065841306</v>
      </c>
      <c r="Z10" s="332">
        <f t="shared" si="25"/>
        <v>7.6923076923076927E-2</v>
      </c>
      <c r="AA10" s="343">
        <f t="shared" si="26"/>
        <v>0</v>
      </c>
      <c r="AB10" s="328">
        <f t="shared" si="27"/>
        <v>0</v>
      </c>
      <c r="AC10" s="328">
        <f t="shared" si="28"/>
        <v>0</v>
      </c>
      <c r="AD10" s="328">
        <f t="shared" si="29"/>
        <v>0</v>
      </c>
      <c r="AE10" s="21">
        <f t="shared" si="30"/>
        <v>9.9999999999999995E-8</v>
      </c>
      <c r="AF10" s="6">
        <f t="shared" si="31"/>
        <v>6</v>
      </c>
      <c r="AG10" s="6">
        <f t="shared" si="32"/>
        <v>6</v>
      </c>
      <c r="AH10" s="6">
        <f t="shared" si="33"/>
        <v>12</v>
      </c>
      <c r="AI10" s="6">
        <f t="shared" si="34"/>
        <v>6</v>
      </c>
      <c r="AJ10" s="2">
        <f t="shared" si="35"/>
        <v>3</v>
      </c>
      <c r="AK10" s="5">
        <f t="shared" si="36"/>
        <v>0.3038829487900957</v>
      </c>
      <c r="AL10" s="5">
        <f t="shared" si="37"/>
        <v>0.3038829487900957</v>
      </c>
      <c r="AM10" s="5">
        <f t="shared" si="38"/>
        <v>0.60776589758019139</v>
      </c>
      <c r="AN10" s="349">
        <f t="shared" si="39"/>
        <v>8</v>
      </c>
      <c r="AO10" s="350">
        <f t="shared" si="40"/>
        <v>0.40517726505346091</v>
      </c>
      <c r="AP10" s="5">
        <f t="shared" si="41"/>
        <v>2.16</v>
      </c>
      <c r="AQ10" s="5">
        <f t="shared" si="42"/>
        <v>2.16</v>
      </c>
      <c r="AR10" s="5">
        <f t="shared" si="43"/>
        <v>0.10939786156443446</v>
      </c>
      <c r="AS10" s="5">
        <f t="shared" si="44"/>
        <v>4.76</v>
      </c>
      <c r="AT10" s="5">
        <f t="shared" si="45"/>
        <v>0.24108047270680924</v>
      </c>
      <c r="AU10" s="5">
        <f t="shared" si="46"/>
        <v>6.92</v>
      </c>
      <c r="AV10" s="5">
        <f t="shared" si="47"/>
        <v>0.3504783342712437</v>
      </c>
      <c r="AW10" s="21">
        <f t="shared" si="48"/>
        <v>0.44237918215613381</v>
      </c>
      <c r="AX10" s="21">
        <f t="shared" si="49"/>
        <v>0.73529411764705876</v>
      </c>
      <c r="AY10" s="6">
        <f t="shared" si="50"/>
        <v>7</v>
      </c>
      <c r="AZ10" s="6">
        <f t="shared" si="51"/>
        <v>2</v>
      </c>
      <c r="BA10" s="21">
        <f t="shared" si="52"/>
        <v>0.2857142857142857</v>
      </c>
      <c r="BB10" s="6">
        <f t="shared" si="53"/>
        <v>1220</v>
      </c>
      <c r="BC10" s="6">
        <f t="shared" si="54"/>
        <v>1101</v>
      </c>
      <c r="BD10" s="24">
        <f t="shared" si="55"/>
        <v>61.789532920652789</v>
      </c>
      <c r="BE10" s="24">
        <f t="shared" si="56"/>
        <v>55.762521102982561</v>
      </c>
      <c r="BF10" s="24">
        <f t="shared" si="57"/>
        <v>6.0270118176702283</v>
      </c>
      <c r="BG10" s="20">
        <f t="shared" si="58"/>
        <v>0.90245901639344261</v>
      </c>
      <c r="BH10" s="6">
        <f t="shared" si="59"/>
        <v>119</v>
      </c>
      <c r="BI10" s="21">
        <f t="shared" si="60"/>
        <v>9.7540983606557385E-2</v>
      </c>
      <c r="BJ10" s="211">
        <f t="shared" si="61"/>
        <v>21</v>
      </c>
      <c r="BK10" s="199">
        <f t="shared" si="62"/>
        <v>1.0635903207653348</v>
      </c>
      <c r="BL10" s="5">
        <f t="shared" si="63"/>
        <v>3.5</v>
      </c>
      <c r="BM10" s="21">
        <f t="shared" si="64"/>
        <v>0.2857142857142857</v>
      </c>
      <c r="BN10" s="5">
        <f t="shared" si="65"/>
        <v>-1.2400000000000002</v>
      </c>
      <c r="BO10" s="5">
        <f t="shared" si="66"/>
        <v>0.22666666666666666</v>
      </c>
      <c r="BP10" s="24">
        <f t="shared" si="67"/>
        <v>84.61904761904762</v>
      </c>
      <c r="BQ10" s="5">
        <f t="shared" si="68"/>
        <v>35.54</v>
      </c>
      <c r="BR10" s="5">
        <f t="shared" si="69"/>
        <v>3.84</v>
      </c>
      <c r="BS10" s="5">
        <f t="shared" si="70"/>
        <v>3.84</v>
      </c>
      <c r="BT10" s="6">
        <f t="shared" si="71"/>
        <v>32</v>
      </c>
      <c r="BU10" s="5">
        <f t="shared" si="72"/>
        <v>1.6207090602138436</v>
      </c>
      <c r="BV10" s="5">
        <f t="shared" si="73"/>
        <v>0.91164884637028709</v>
      </c>
      <c r="BW10" s="21">
        <f t="shared" si="74"/>
        <v>0.5625</v>
      </c>
      <c r="BX10" s="5">
        <f t="shared" si="75"/>
        <v>5.333333333333333</v>
      </c>
      <c r="BY10" s="5">
        <f t="shared" si="76"/>
        <v>3</v>
      </c>
      <c r="BZ10" s="21">
        <f t="shared" si="77"/>
        <v>0.1875</v>
      </c>
      <c r="CA10" s="343">
        <f t="shared" si="78"/>
        <v>3</v>
      </c>
      <c r="CB10" s="343">
        <f t="shared" si="79"/>
        <v>3</v>
      </c>
      <c r="CC10" s="343">
        <f t="shared" si="80"/>
        <v>0</v>
      </c>
      <c r="CD10" s="21">
        <f t="shared" si="81"/>
        <v>0.1899268429938098</v>
      </c>
      <c r="CE10" s="6">
        <f t="shared" si="82"/>
        <v>9.6999999999999993</v>
      </c>
      <c r="CF10" s="5">
        <f t="shared" si="83"/>
        <v>0.49127743387732131</v>
      </c>
      <c r="CG10" s="181">
        <f t="shared" si="84"/>
        <v>68</v>
      </c>
      <c r="CH10" s="5">
        <f t="shared" si="85"/>
        <v>3.4440067529544178</v>
      </c>
      <c r="CI10" s="6">
        <f t="shared" si="86"/>
        <v>49</v>
      </c>
      <c r="CJ10" s="5">
        <f t="shared" si="87"/>
        <v>2.4817107484524481</v>
      </c>
      <c r="CK10" s="21">
        <f t="shared" si="88"/>
        <v>0.72058823529411764</v>
      </c>
      <c r="CL10" s="6">
        <f t="shared" si="89"/>
        <v>65.759999999999991</v>
      </c>
      <c r="CM10" s="5">
        <f t="shared" si="90"/>
        <v>3.3305571187394483</v>
      </c>
      <c r="CN10" s="6">
        <f t="shared" si="91"/>
        <v>65.759999999999991</v>
      </c>
      <c r="CO10" s="5">
        <f t="shared" si="92"/>
        <v>3.3305571187394483</v>
      </c>
      <c r="CP10" s="5">
        <f t="shared" si="93"/>
        <v>75.970737197523917</v>
      </c>
      <c r="CQ10" s="5">
        <f t="shared" si="94"/>
        <v>65.588069780528983</v>
      </c>
      <c r="CR10" s="6">
        <f t="shared" si="95"/>
        <v>183</v>
      </c>
      <c r="CS10" s="5">
        <f t="shared" si="96"/>
        <v>9.2684299380979187</v>
      </c>
      <c r="CT10" s="6">
        <f t="shared" si="97"/>
        <v>241</v>
      </c>
      <c r="CU10" s="5">
        <f t="shared" si="98"/>
        <v>12.20596510973551</v>
      </c>
      <c r="CV10" s="6">
        <f t="shared" si="99"/>
        <v>64</v>
      </c>
      <c r="CW10" s="5">
        <f t="shared" si="100"/>
        <v>3.2414181204276873</v>
      </c>
      <c r="CX10" s="6">
        <f t="shared" si="101"/>
        <v>138</v>
      </c>
      <c r="CY10" s="5">
        <f t="shared" si="102"/>
        <v>6.9893078221722007</v>
      </c>
      <c r="CZ10" s="5">
        <f t="shared" si="103"/>
        <v>9.6999999999999993</v>
      </c>
      <c r="DA10" s="5">
        <f t="shared" si="104"/>
        <v>209.5</v>
      </c>
      <c r="DB10" s="5">
        <f t="shared" si="105"/>
        <v>10.610579628587507</v>
      </c>
      <c r="DC10" s="328">
        <f t="shared" si="106"/>
        <v>154.00666666666666</v>
      </c>
      <c r="DD10" s="329">
        <f t="shared" si="107"/>
        <v>7.8</v>
      </c>
      <c r="DE10" s="62">
        <f t="shared" si="108"/>
        <v>6.97</v>
      </c>
      <c r="DF10" s="301"/>
      <c r="DG10" s="297" t="s">
        <v>553</v>
      </c>
      <c r="DH10" s="297" t="s">
        <v>993</v>
      </c>
      <c r="DI10" s="297">
        <v>32</v>
      </c>
      <c r="DJ10" s="297" t="s">
        <v>558</v>
      </c>
      <c r="DK10" s="297" t="s">
        <v>606</v>
      </c>
      <c r="DL10" s="297" t="s">
        <v>643</v>
      </c>
      <c r="DM10" s="297" t="s">
        <v>994</v>
      </c>
      <c r="DN10" s="297" t="s">
        <v>957</v>
      </c>
      <c r="DO10" s="298">
        <v>47118</v>
      </c>
      <c r="DP10" s="297">
        <v>1777</v>
      </c>
      <c r="DQ10" s="297" t="s">
        <v>1090</v>
      </c>
      <c r="DR10" s="297">
        <v>2</v>
      </c>
      <c r="DS10" s="297">
        <v>6</v>
      </c>
      <c r="DT10" s="297">
        <v>6</v>
      </c>
      <c r="DU10" s="297">
        <v>11</v>
      </c>
      <c r="DV10" s="297">
        <v>9.6999999999999993</v>
      </c>
      <c r="DW10" s="297" t="s">
        <v>944</v>
      </c>
      <c r="DX10" s="297" t="s">
        <v>1091</v>
      </c>
      <c r="DY10" s="297">
        <v>15</v>
      </c>
      <c r="DZ10" s="297">
        <v>8</v>
      </c>
      <c r="EA10" s="297">
        <v>1220</v>
      </c>
      <c r="EB10" s="297">
        <v>1101</v>
      </c>
      <c r="EC10" s="297">
        <v>21</v>
      </c>
      <c r="ED10" s="297">
        <v>162</v>
      </c>
      <c r="EE10" s="297">
        <v>8</v>
      </c>
      <c r="EF10" s="297">
        <v>32</v>
      </c>
      <c r="EG10" s="297">
        <v>18</v>
      </c>
      <c r="EH10" s="297">
        <v>153</v>
      </c>
      <c r="EI10" s="297">
        <v>37</v>
      </c>
      <c r="EJ10" s="297">
        <v>7</v>
      </c>
      <c r="EK10" s="297">
        <v>2</v>
      </c>
      <c r="EL10" s="297">
        <v>72</v>
      </c>
      <c r="EM10" s="297">
        <v>7</v>
      </c>
      <c r="EN10" s="297">
        <v>3</v>
      </c>
      <c r="EO10" s="297">
        <v>0.8</v>
      </c>
      <c r="EP10" s="297">
        <v>0</v>
      </c>
      <c r="EQ10" s="297">
        <v>0</v>
      </c>
      <c r="ER10" s="297">
        <v>0</v>
      </c>
      <c r="ES10" s="297">
        <v>7.8</v>
      </c>
      <c r="ET10" s="297" t="s">
        <v>1092</v>
      </c>
      <c r="EU10" s="302">
        <v>6.97</v>
      </c>
    </row>
    <row r="11" spans="1:151" ht="24.95" customHeight="1" thickBot="1" x14ac:dyDescent="0.3">
      <c r="A11" s="29" t="str">
        <f t="shared" si="0"/>
        <v>10º</v>
      </c>
      <c r="B11" s="69" t="str">
        <f t="shared" si="1"/>
        <v>Victor Hugo</v>
      </c>
      <c r="C11" s="86" t="str">
        <f t="shared" si="2"/>
        <v>BRA</v>
      </c>
      <c r="D11" s="99" t="str">
        <f t="shared" si="3"/>
        <v>Pé Esquerdo</v>
      </c>
      <c r="E11" s="9" t="str">
        <f t="shared" si="4"/>
        <v>Atlético Mineiro</v>
      </c>
      <c r="F11" s="168">
        <f t="shared" si="5"/>
        <v>1.82</v>
      </c>
      <c r="G11" s="35">
        <f t="shared" si="6"/>
        <v>47848</v>
      </c>
      <c r="H11" s="7">
        <f t="shared" si="7"/>
        <v>22</v>
      </c>
      <c r="I11" s="344" t="str">
        <f t="shared" si="8"/>
        <v>22,5m € p/m</v>
      </c>
      <c r="J11" s="3" t="str">
        <f t="shared" si="9"/>
        <v>2,7M €</v>
      </c>
      <c r="K11" s="96">
        <f t="shared" si="10"/>
        <v>27.547777777777775</v>
      </c>
      <c r="L11" s="145">
        <f t="shared" si="11"/>
        <v>28.766666666666666</v>
      </c>
      <c r="M11" s="146">
        <f t="shared" si="12"/>
        <v>43</v>
      </c>
      <c r="N11" s="146">
        <f t="shared" si="13"/>
        <v>60.209302325581397</v>
      </c>
      <c r="O11" s="187">
        <f t="shared" si="14"/>
        <v>0.81</v>
      </c>
      <c r="P11" s="2">
        <f t="shared" si="15"/>
        <v>15</v>
      </c>
      <c r="Q11" s="2">
        <f t="shared" si="16"/>
        <v>9</v>
      </c>
      <c r="R11" s="2">
        <f t="shared" si="17"/>
        <v>24</v>
      </c>
      <c r="S11" s="6">
        <f t="shared" si="18"/>
        <v>2</v>
      </c>
      <c r="T11" s="24">
        <f t="shared" si="19"/>
        <v>1294.5</v>
      </c>
      <c r="U11" s="21">
        <f t="shared" si="20"/>
        <v>6.9524913093858637E-2</v>
      </c>
      <c r="V11" s="343">
        <f t="shared" si="21"/>
        <v>0</v>
      </c>
      <c r="W11" s="345">
        <f t="shared" si="22"/>
        <v>0</v>
      </c>
      <c r="X11" s="343">
        <f t="shared" si="23"/>
        <v>0</v>
      </c>
      <c r="Y11" s="345">
        <f t="shared" si="24"/>
        <v>0</v>
      </c>
      <c r="Z11" s="332">
        <f t="shared" si="25"/>
        <v>0</v>
      </c>
      <c r="AA11" s="343">
        <f t="shared" si="26"/>
        <v>1</v>
      </c>
      <c r="AB11" s="328">
        <f t="shared" si="27"/>
        <v>0</v>
      </c>
      <c r="AC11" s="328">
        <f t="shared" si="28"/>
        <v>0</v>
      </c>
      <c r="AD11" s="328">
        <f t="shared" si="29"/>
        <v>0</v>
      </c>
      <c r="AE11" s="21">
        <f t="shared" si="30"/>
        <v>9.9999999999999995E-8</v>
      </c>
      <c r="AF11" s="6">
        <f t="shared" si="31"/>
        <v>15</v>
      </c>
      <c r="AG11" s="6">
        <f t="shared" si="32"/>
        <v>9</v>
      </c>
      <c r="AH11" s="6">
        <f t="shared" si="33"/>
        <v>24</v>
      </c>
      <c r="AI11" s="6">
        <f t="shared" si="34"/>
        <v>15</v>
      </c>
      <c r="AJ11" s="2">
        <f t="shared" si="35"/>
        <v>1</v>
      </c>
      <c r="AK11" s="5">
        <f t="shared" si="36"/>
        <v>0.52143684820393976</v>
      </c>
      <c r="AL11" s="5">
        <f t="shared" si="37"/>
        <v>0.31286210892236388</v>
      </c>
      <c r="AM11" s="5">
        <f t="shared" si="38"/>
        <v>0.83429895712630364</v>
      </c>
      <c r="AN11" s="349">
        <f t="shared" si="39"/>
        <v>42</v>
      </c>
      <c r="AO11" s="350">
        <f t="shared" si="40"/>
        <v>1.4600231749710313</v>
      </c>
      <c r="AP11" s="5">
        <f t="shared" si="41"/>
        <v>8.36</v>
      </c>
      <c r="AQ11" s="5">
        <f t="shared" si="42"/>
        <v>8.36</v>
      </c>
      <c r="AR11" s="5">
        <f t="shared" si="43"/>
        <v>0.29061413673232905</v>
      </c>
      <c r="AS11" s="5">
        <f t="shared" si="44"/>
        <v>6.06</v>
      </c>
      <c r="AT11" s="5">
        <f t="shared" si="45"/>
        <v>0.21066048667439166</v>
      </c>
      <c r="AU11" s="5">
        <f t="shared" si="46"/>
        <v>14.419999999999998</v>
      </c>
      <c r="AV11" s="5">
        <f t="shared" si="47"/>
        <v>0.50127462340672069</v>
      </c>
      <c r="AW11" s="21">
        <f t="shared" si="48"/>
        <v>0.40239043824701198</v>
      </c>
      <c r="AX11" s="21">
        <f t="shared" si="49"/>
        <v>0.64212328767123295</v>
      </c>
      <c r="AY11" s="6">
        <f t="shared" si="50"/>
        <v>38</v>
      </c>
      <c r="AZ11" s="6">
        <f t="shared" si="51"/>
        <v>9</v>
      </c>
      <c r="BA11" s="21">
        <f t="shared" si="52"/>
        <v>0.23684210526315788</v>
      </c>
      <c r="BB11" s="6">
        <f t="shared" si="53"/>
        <v>1419</v>
      </c>
      <c r="BC11" s="6">
        <f t="shared" si="54"/>
        <v>1236</v>
      </c>
      <c r="BD11" s="24">
        <f t="shared" si="55"/>
        <v>49.327925840092703</v>
      </c>
      <c r="BE11" s="24">
        <f t="shared" si="56"/>
        <v>42.966396292004639</v>
      </c>
      <c r="BF11" s="24">
        <f t="shared" si="57"/>
        <v>6.3615295480880647</v>
      </c>
      <c r="BG11" s="20">
        <f t="shared" si="58"/>
        <v>0.87103594080338265</v>
      </c>
      <c r="BH11" s="6">
        <f t="shared" si="59"/>
        <v>183</v>
      </c>
      <c r="BI11" s="21">
        <f t="shared" si="60"/>
        <v>0.12896405919661735</v>
      </c>
      <c r="BJ11" s="211">
        <f t="shared" si="61"/>
        <v>60</v>
      </c>
      <c r="BK11" s="199">
        <f t="shared" si="62"/>
        <v>2.085747392815759</v>
      </c>
      <c r="BL11" s="5">
        <f t="shared" si="63"/>
        <v>6.666666666666667</v>
      </c>
      <c r="BM11" s="21">
        <f t="shared" si="64"/>
        <v>0.15</v>
      </c>
      <c r="BN11" s="5">
        <f t="shared" si="65"/>
        <v>-2.9400000000000004</v>
      </c>
      <c r="BO11" s="5">
        <f t="shared" si="66"/>
        <v>0.10099999999999999</v>
      </c>
      <c r="BP11" s="24">
        <f t="shared" si="67"/>
        <v>43.15</v>
      </c>
      <c r="BQ11" s="5">
        <f t="shared" si="68"/>
        <v>24.657142857142858</v>
      </c>
      <c r="BR11" s="5">
        <f t="shared" si="69"/>
        <v>6.6400000000000006</v>
      </c>
      <c r="BS11" s="5">
        <f t="shared" si="70"/>
        <v>6.6400000000000006</v>
      </c>
      <c r="BT11" s="6">
        <f t="shared" si="71"/>
        <v>51</v>
      </c>
      <c r="BU11" s="5">
        <f t="shared" si="72"/>
        <v>1.7728852838933953</v>
      </c>
      <c r="BV11" s="5">
        <f t="shared" si="73"/>
        <v>0.79953650057937431</v>
      </c>
      <c r="BW11" s="21">
        <f t="shared" si="74"/>
        <v>0.45098039215686275</v>
      </c>
      <c r="BX11" s="5">
        <f t="shared" si="75"/>
        <v>3.4</v>
      </c>
      <c r="BY11" s="5">
        <f t="shared" si="76"/>
        <v>1.5333333333333334</v>
      </c>
      <c r="BZ11" s="21">
        <f t="shared" si="77"/>
        <v>0.29411764705882354</v>
      </c>
      <c r="CA11" s="343">
        <f t="shared" si="78"/>
        <v>14</v>
      </c>
      <c r="CB11" s="343">
        <f t="shared" si="79"/>
        <v>1</v>
      </c>
      <c r="CC11" s="343">
        <f t="shared" si="80"/>
        <v>0</v>
      </c>
      <c r="CD11" s="21">
        <f t="shared" si="81"/>
        <v>6.9524913093858637E-2</v>
      </c>
      <c r="CE11" s="6">
        <f t="shared" si="82"/>
        <v>13.1</v>
      </c>
      <c r="CF11" s="5">
        <f t="shared" si="83"/>
        <v>0.45538818076477405</v>
      </c>
      <c r="CG11" s="181">
        <f t="shared" si="84"/>
        <v>191</v>
      </c>
      <c r="CH11" s="5">
        <f t="shared" si="85"/>
        <v>6.6396292004634994</v>
      </c>
      <c r="CI11" s="6">
        <f t="shared" si="86"/>
        <v>134</v>
      </c>
      <c r="CJ11" s="5">
        <f t="shared" si="87"/>
        <v>4.6581691772885288</v>
      </c>
      <c r="CK11" s="21">
        <f t="shared" si="88"/>
        <v>0.70157068062827221</v>
      </c>
      <c r="CL11" s="6">
        <f t="shared" si="89"/>
        <v>133.06</v>
      </c>
      <c r="CM11" s="5">
        <f t="shared" si="90"/>
        <v>4.6254924681344152</v>
      </c>
      <c r="CN11" s="6">
        <f t="shared" si="91"/>
        <v>138.06</v>
      </c>
      <c r="CO11" s="5">
        <f t="shared" si="92"/>
        <v>4.7993047508690614</v>
      </c>
      <c r="CP11" s="5">
        <f t="shared" si="93"/>
        <v>61.877172653534188</v>
      </c>
      <c r="CQ11" s="5">
        <f t="shared" si="94"/>
        <v>49.675550405561992</v>
      </c>
      <c r="CR11" s="6">
        <f t="shared" si="95"/>
        <v>171</v>
      </c>
      <c r="CS11" s="5">
        <f t="shared" si="96"/>
        <v>5.9443800695249136</v>
      </c>
      <c r="CT11" s="6">
        <f t="shared" si="97"/>
        <v>324</v>
      </c>
      <c r="CU11" s="5">
        <f t="shared" si="98"/>
        <v>11.263035921205098</v>
      </c>
      <c r="CV11" s="6">
        <f t="shared" si="99"/>
        <v>133</v>
      </c>
      <c r="CW11" s="5">
        <f t="shared" si="100"/>
        <v>4.623406720741599</v>
      </c>
      <c r="CX11" s="6">
        <f t="shared" si="101"/>
        <v>240</v>
      </c>
      <c r="CY11" s="5">
        <f t="shared" si="102"/>
        <v>8.3429895712630362</v>
      </c>
      <c r="CZ11" s="5">
        <f t="shared" si="103"/>
        <v>13.1</v>
      </c>
      <c r="DA11" s="5">
        <f t="shared" si="104"/>
        <v>346.2</v>
      </c>
      <c r="DB11" s="5">
        <f t="shared" si="105"/>
        <v>12.034762456546929</v>
      </c>
      <c r="DC11" s="328">
        <f t="shared" si="106"/>
        <v>307.80333333333328</v>
      </c>
      <c r="DD11" s="329">
        <f t="shared" si="107"/>
        <v>10.7</v>
      </c>
      <c r="DE11" s="62">
        <f t="shared" si="108"/>
        <v>7.03</v>
      </c>
      <c r="DF11" s="299" t="s">
        <v>927</v>
      </c>
      <c r="DG11" s="295" t="s">
        <v>13</v>
      </c>
      <c r="DH11" s="295" t="s">
        <v>1075</v>
      </c>
      <c r="DI11" s="295">
        <v>22</v>
      </c>
      <c r="DJ11" s="295" t="s">
        <v>557</v>
      </c>
      <c r="DK11" s="295" t="s">
        <v>546</v>
      </c>
      <c r="DL11" s="295" t="s">
        <v>651</v>
      </c>
      <c r="DM11" s="295" t="s">
        <v>1076</v>
      </c>
      <c r="DN11" s="295" t="s">
        <v>963</v>
      </c>
      <c r="DO11" s="296">
        <v>47848</v>
      </c>
      <c r="DP11" s="295">
        <v>2589</v>
      </c>
      <c r="DQ11" s="295" t="s">
        <v>1077</v>
      </c>
      <c r="DR11" s="295">
        <v>2</v>
      </c>
      <c r="DS11" s="295">
        <v>15</v>
      </c>
      <c r="DT11" s="295">
        <v>9</v>
      </c>
      <c r="DU11" s="295">
        <v>22</v>
      </c>
      <c r="DV11" s="295">
        <v>13.1</v>
      </c>
      <c r="DW11" s="295" t="s">
        <v>1078</v>
      </c>
      <c r="DX11" s="295" t="s">
        <v>955</v>
      </c>
      <c r="DY11" s="295">
        <v>15</v>
      </c>
      <c r="DZ11" s="295">
        <v>33</v>
      </c>
      <c r="EA11" s="295">
        <v>1419</v>
      </c>
      <c r="EB11" s="295">
        <v>1236</v>
      </c>
      <c r="EC11" s="295">
        <v>60</v>
      </c>
      <c r="ED11" s="295">
        <v>111</v>
      </c>
      <c r="EE11" s="295">
        <v>42</v>
      </c>
      <c r="EF11" s="295">
        <v>51</v>
      </c>
      <c r="EG11" s="295">
        <v>23</v>
      </c>
      <c r="EH11" s="295">
        <v>208</v>
      </c>
      <c r="EI11" s="295">
        <v>56</v>
      </c>
      <c r="EJ11" s="295">
        <v>38</v>
      </c>
      <c r="EK11" s="295">
        <v>9</v>
      </c>
      <c r="EL11" s="295">
        <v>38</v>
      </c>
      <c r="EM11" s="295">
        <v>9</v>
      </c>
      <c r="EN11" s="295">
        <v>1</v>
      </c>
      <c r="EO11" s="295">
        <v>0.5</v>
      </c>
      <c r="EP11" s="295">
        <v>1</v>
      </c>
      <c r="EQ11" s="295">
        <v>0</v>
      </c>
      <c r="ER11" s="295">
        <v>0</v>
      </c>
      <c r="ES11" s="295">
        <v>10.7</v>
      </c>
      <c r="ET11" s="295" t="s">
        <v>1079</v>
      </c>
      <c r="EU11" s="300">
        <v>7.03</v>
      </c>
    </row>
    <row r="12" spans="1:151" ht="24.95" customHeight="1" x14ac:dyDescent="0.25"/>
    <row r="13" spans="1:151" ht="24.95" customHeight="1" x14ac:dyDescent="0.25"/>
    <row r="14" spans="1:151" ht="24.95" customHeight="1" x14ac:dyDescent="0.25"/>
    <row r="15" spans="1:151" ht="24.95" customHeight="1" x14ac:dyDescent="0.25"/>
    <row r="16" spans="1:151" ht="24.95" customHeight="1" x14ac:dyDescent="0.25"/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  <row r="26" ht="24.95" customHeight="1" x14ac:dyDescent="0.25"/>
    <row r="27" ht="24.95" customHeight="1" x14ac:dyDescent="0.25"/>
    <row r="28" ht="24.95" customHeight="1" x14ac:dyDescent="0.25"/>
    <row r="29" ht="24.95" customHeight="1" x14ac:dyDescent="0.25"/>
    <row r="30" ht="24.95" customHeight="1" x14ac:dyDescent="0.25"/>
    <row r="31" ht="24.95" customHeight="1" x14ac:dyDescent="0.25"/>
    <row r="3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  <row r="363" ht="24.95" customHeight="1" x14ac:dyDescent="0.25"/>
    <row r="364" ht="24.95" customHeight="1" x14ac:dyDescent="0.25"/>
    <row r="365" ht="24.95" customHeight="1" x14ac:dyDescent="0.25"/>
    <row r="366" ht="24.95" customHeight="1" x14ac:dyDescent="0.25"/>
    <row r="367" ht="24.95" customHeight="1" x14ac:dyDescent="0.25"/>
    <row r="368" ht="24.95" customHeight="1" x14ac:dyDescent="0.25"/>
    <row r="369" ht="24.95" customHeight="1" x14ac:dyDescent="0.25"/>
    <row r="370" ht="24.95" customHeight="1" x14ac:dyDescent="0.25"/>
    <row r="371" ht="24.95" customHeight="1" x14ac:dyDescent="0.25"/>
    <row r="372" ht="24.95" customHeight="1" x14ac:dyDescent="0.25"/>
    <row r="373" ht="24.95" customHeight="1" x14ac:dyDescent="0.25"/>
    <row r="374" ht="24.95" customHeight="1" x14ac:dyDescent="0.25"/>
    <row r="375" ht="24.95" customHeight="1" x14ac:dyDescent="0.25"/>
    <row r="376" ht="24.95" customHeight="1" x14ac:dyDescent="0.25"/>
    <row r="377" ht="24.95" customHeight="1" x14ac:dyDescent="0.25"/>
    <row r="378" ht="24.95" customHeight="1" x14ac:dyDescent="0.25"/>
    <row r="379" ht="24.95" customHeight="1" x14ac:dyDescent="0.25"/>
    <row r="380" ht="24.95" customHeight="1" x14ac:dyDescent="0.25"/>
    <row r="381" ht="24.95" customHeight="1" x14ac:dyDescent="0.25"/>
    <row r="382" ht="24.95" customHeight="1" x14ac:dyDescent="0.25"/>
    <row r="383" ht="24.95" customHeight="1" x14ac:dyDescent="0.25"/>
    <row r="384" ht="24.95" customHeight="1" x14ac:dyDescent="0.25"/>
    <row r="385" ht="24.95" customHeight="1" x14ac:dyDescent="0.25"/>
    <row r="386" ht="24.95" customHeight="1" x14ac:dyDescent="0.25"/>
    <row r="387" ht="24.95" customHeight="1" x14ac:dyDescent="0.25"/>
    <row r="388" ht="24.95" customHeight="1" x14ac:dyDescent="0.25"/>
    <row r="389" ht="24.95" customHeight="1" x14ac:dyDescent="0.25"/>
    <row r="390" ht="24.95" customHeight="1" x14ac:dyDescent="0.25"/>
    <row r="391" ht="24.95" customHeight="1" x14ac:dyDescent="0.25"/>
    <row r="392" ht="24.95" customHeight="1" x14ac:dyDescent="0.25"/>
    <row r="393" ht="24.95" customHeight="1" x14ac:dyDescent="0.25"/>
    <row r="394" ht="24.95" customHeight="1" x14ac:dyDescent="0.25"/>
    <row r="395" ht="24.95" customHeight="1" x14ac:dyDescent="0.25"/>
    <row r="396" ht="24.95" customHeight="1" x14ac:dyDescent="0.25"/>
    <row r="397" ht="24.95" customHeight="1" x14ac:dyDescent="0.25"/>
    <row r="398" ht="24.95" customHeight="1" x14ac:dyDescent="0.25"/>
    <row r="399" ht="24.95" customHeight="1" x14ac:dyDescent="0.25"/>
    <row r="400" ht="24.95" customHeight="1" x14ac:dyDescent="0.25"/>
    <row r="401" ht="24.95" customHeight="1" x14ac:dyDescent="0.25"/>
    <row r="402" ht="24.95" customHeight="1" x14ac:dyDescent="0.25"/>
    <row r="403" ht="24.95" customHeight="1" x14ac:dyDescent="0.25"/>
    <row r="404" ht="24.95" customHeight="1" x14ac:dyDescent="0.25"/>
    <row r="405" ht="24.95" customHeight="1" x14ac:dyDescent="0.25"/>
    <row r="406" ht="24.95" customHeight="1" x14ac:dyDescent="0.25"/>
    <row r="407" ht="24.95" customHeight="1" x14ac:dyDescent="0.25"/>
    <row r="408" ht="24.95" customHeight="1" x14ac:dyDescent="0.25"/>
    <row r="409" ht="24.95" customHeight="1" x14ac:dyDescent="0.25"/>
    <row r="410" ht="24.95" customHeight="1" x14ac:dyDescent="0.25"/>
    <row r="411" ht="24.95" customHeight="1" x14ac:dyDescent="0.25"/>
    <row r="412" ht="24.95" customHeight="1" x14ac:dyDescent="0.25"/>
    <row r="413" ht="24.95" customHeight="1" x14ac:dyDescent="0.25"/>
    <row r="414" ht="24.95" customHeight="1" x14ac:dyDescent="0.25"/>
    <row r="415" ht="24.95" customHeight="1" x14ac:dyDescent="0.25"/>
    <row r="416" ht="24.95" customHeight="1" x14ac:dyDescent="0.25"/>
    <row r="417" ht="24.95" customHeight="1" x14ac:dyDescent="0.25"/>
    <row r="418" ht="24.95" customHeight="1" x14ac:dyDescent="0.25"/>
    <row r="419" ht="24.95" customHeight="1" x14ac:dyDescent="0.25"/>
    <row r="420" ht="24.95" customHeight="1" x14ac:dyDescent="0.25"/>
    <row r="421" ht="24.95" customHeight="1" x14ac:dyDescent="0.25"/>
    <row r="422" ht="24.95" customHeight="1" x14ac:dyDescent="0.25"/>
    <row r="423" ht="24.95" customHeight="1" x14ac:dyDescent="0.25"/>
    <row r="424" ht="24.95" customHeight="1" x14ac:dyDescent="0.25"/>
    <row r="425" ht="24.95" customHeight="1" x14ac:dyDescent="0.25"/>
    <row r="426" ht="24.95" customHeight="1" x14ac:dyDescent="0.25"/>
    <row r="427" ht="24.95" customHeight="1" x14ac:dyDescent="0.25"/>
    <row r="428" ht="24.95" customHeight="1" x14ac:dyDescent="0.25"/>
    <row r="429" ht="24.95" customHeight="1" x14ac:dyDescent="0.25"/>
    <row r="430" ht="24.95" customHeight="1" x14ac:dyDescent="0.25"/>
    <row r="431" ht="24.95" customHeight="1" x14ac:dyDescent="0.25"/>
    <row r="432" ht="24.95" customHeight="1" x14ac:dyDescent="0.25"/>
    <row r="433" ht="24.95" customHeight="1" x14ac:dyDescent="0.25"/>
    <row r="434" ht="24.95" customHeight="1" x14ac:dyDescent="0.25"/>
    <row r="435" ht="24.95" customHeight="1" x14ac:dyDescent="0.25"/>
    <row r="436" ht="24.95" customHeight="1" x14ac:dyDescent="0.25"/>
    <row r="437" ht="24.95" customHeight="1" x14ac:dyDescent="0.25"/>
    <row r="438" ht="24.95" customHeight="1" x14ac:dyDescent="0.25"/>
    <row r="439" ht="24.95" customHeight="1" x14ac:dyDescent="0.25"/>
    <row r="440" ht="24.95" customHeight="1" x14ac:dyDescent="0.25"/>
    <row r="441" ht="24.95" customHeight="1" x14ac:dyDescent="0.25"/>
    <row r="442" ht="24.95" customHeight="1" x14ac:dyDescent="0.25"/>
    <row r="443" ht="24.95" customHeight="1" x14ac:dyDescent="0.25"/>
    <row r="444" ht="24.95" customHeight="1" x14ac:dyDescent="0.25"/>
    <row r="445" ht="24.95" customHeight="1" x14ac:dyDescent="0.25"/>
    <row r="446" ht="24.95" customHeight="1" x14ac:dyDescent="0.25"/>
    <row r="447" ht="24.95" customHeight="1" x14ac:dyDescent="0.25"/>
    <row r="448" ht="24.95" customHeight="1" x14ac:dyDescent="0.25"/>
    <row r="449" ht="24.95" customHeight="1" x14ac:dyDescent="0.25"/>
    <row r="450" ht="24.95" customHeight="1" x14ac:dyDescent="0.25"/>
    <row r="451" ht="24.95" customHeight="1" x14ac:dyDescent="0.25"/>
    <row r="452" ht="24.95" customHeight="1" x14ac:dyDescent="0.25"/>
    <row r="453" ht="24.95" customHeight="1" x14ac:dyDescent="0.25"/>
    <row r="454" ht="24.95" customHeight="1" x14ac:dyDescent="0.25"/>
    <row r="455" ht="24.95" customHeight="1" x14ac:dyDescent="0.25"/>
    <row r="456" ht="24.95" customHeight="1" x14ac:dyDescent="0.25"/>
    <row r="457" ht="24.95" customHeight="1" x14ac:dyDescent="0.25"/>
    <row r="458" ht="24.95" customHeight="1" x14ac:dyDescent="0.25"/>
    <row r="459" ht="24.95" customHeight="1" x14ac:dyDescent="0.25"/>
    <row r="460" ht="24.95" customHeight="1" x14ac:dyDescent="0.25"/>
    <row r="461" ht="24.95" customHeight="1" x14ac:dyDescent="0.25"/>
    <row r="462" ht="24.95" customHeight="1" x14ac:dyDescent="0.25"/>
    <row r="463" ht="24.95" customHeight="1" x14ac:dyDescent="0.25"/>
    <row r="464" ht="24.95" customHeight="1" x14ac:dyDescent="0.25"/>
    <row r="465" ht="24.95" customHeight="1" x14ac:dyDescent="0.25"/>
    <row r="466" ht="24.95" customHeight="1" x14ac:dyDescent="0.25"/>
    <row r="467" ht="24.95" customHeight="1" x14ac:dyDescent="0.25"/>
    <row r="468" ht="24.95" customHeight="1" x14ac:dyDescent="0.25"/>
    <row r="469" ht="24.95" customHeight="1" x14ac:dyDescent="0.25"/>
    <row r="470" ht="24.95" customHeight="1" x14ac:dyDescent="0.25"/>
    <row r="471" ht="24.95" customHeight="1" x14ac:dyDescent="0.25"/>
    <row r="472" ht="24.95" customHeight="1" x14ac:dyDescent="0.25"/>
    <row r="473" ht="24.95" customHeight="1" x14ac:dyDescent="0.25"/>
    <row r="474" ht="24.95" customHeight="1" x14ac:dyDescent="0.25"/>
    <row r="475" ht="24.95" customHeight="1" x14ac:dyDescent="0.25"/>
    <row r="476" ht="24.95" customHeight="1" x14ac:dyDescent="0.25"/>
    <row r="477" ht="24.95" customHeight="1" x14ac:dyDescent="0.25"/>
    <row r="478" ht="24.95" customHeight="1" x14ac:dyDescent="0.25"/>
    <row r="479" ht="24.95" customHeight="1" x14ac:dyDescent="0.25"/>
    <row r="480" ht="24.95" customHeight="1" x14ac:dyDescent="0.25"/>
    <row r="481" ht="24.95" customHeight="1" x14ac:dyDescent="0.25"/>
    <row r="482" ht="24.95" customHeight="1" x14ac:dyDescent="0.25"/>
    <row r="483" ht="24.95" customHeight="1" x14ac:dyDescent="0.25"/>
    <row r="484" ht="24.95" customHeight="1" x14ac:dyDescent="0.25"/>
    <row r="485" ht="24.95" customHeight="1" x14ac:dyDescent="0.25"/>
    <row r="486" ht="24.95" customHeight="1" x14ac:dyDescent="0.25"/>
    <row r="487" ht="24.95" customHeight="1" x14ac:dyDescent="0.25"/>
    <row r="488" ht="24.95" customHeight="1" x14ac:dyDescent="0.25"/>
    <row r="489" ht="24.95" customHeight="1" x14ac:dyDescent="0.25"/>
    <row r="490" ht="24.95" customHeight="1" x14ac:dyDescent="0.25"/>
    <row r="491" ht="24.95" customHeight="1" x14ac:dyDescent="0.25"/>
    <row r="492" ht="24.95" customHeight="1" x14ac:dyDescent="0.25"/>
    <row r="493" ht="24.95" customHeight="1" x14ac:dyDescent="0.25"/>
    <row r="494" ht="24.95" customHeight="1" x14ac:dyDescent="0.25"/>
    <row r="495" ht="24.95" customHeight="1" x14ac:dyDescent="0.25"/>
    <row r="496" ht="24.95" customHeight="1" x14ac:dyDescent="0.25"/>
    <row r="497" ht="24.95" customHeight="1" x14ac:dyDescent="0.25"/>
    <row r="498" ht="24.95" customHeight="1" x14ac:dyDescent="0.25"/>
    <row r="499" ht="24.95" customHeight="1" x14ac:dyDescent="0.25"/>
    <row r="500" ht="24.95" customHeight="1" x14ac:dyDescent="0.25"/>
    <row r="501" ht="24.95" customHeight="1" x14ac:dyDescent="0.25"/>
    <row r="502" ht="24.95" customHeight="1" x14ac:dyDescent="0.25"/>
    <row r="503" ht="24.95" customHeight="1" x14ac:dyDescent="0.25"/>
    <row r="504" ht="24.95" customHeight="1" x14ac:dyDescent="0.25"/>
    <row r="505" ht="24.95" customHeight="1" x14ac:dyDescent="0.25"/>
    <row r="506" ht="24.95" customHeight="1" x14ac:dyDescent="0.25"/>
    <row r="507" ht="24.95" customHeight="1" x14ac:dyDescent="0.25"/>
    <row r="508" ht="24.95" customHeight="1" x14ac:dyDescent="0.25"/>
    <row r="509" ht="24.95" customHeight="1" x14ac:dyDescent="0.25"/>
    <row r="510" ht="24.95" customHeight="1" x14ac:dyDescent="0.25"/>
    <row r="511" ht="24.95" customHeight="1" x14ac:dyDescent="0.25"/>
    <row r="512" ht="24.95" customHeight="1" x14ac:dyDescent="0.25"/>
    <row r="513" ht="24.95" customHeight="1" x14ac:dyDescent="0.25"/>
    <row r="514" ht="24.95" customHeight="1" x14ac:dyDescent="0.25"/>
    <row r="515" ht="24.95" customHeight="1" x14ac:dyDescent="0.25"/>
    <row r="516" ht="24.95" customHeight="1" x14ac:dyDescent="0.25"/>
    <row r="517" ht="24.95" customHeight="1" x14ac:dyDescent="0.25"/>
    <row r="518" ht="24.95" customHeight="1" x14ac:dyDescent="0.25"/>
    <row r="519" ht="24.95" customHeight="1" x14ac:dyDescent="0.25"/>
    <row r="520" ht="24.95" customHeight="1" x14ac:dyDescent="0.25"/>
    <row r="521" ht="24.95" customHeight="1" x14ac:dyDescent="0.25"/>
    <row r="522" ht="24.95" customHeight="1" x14ac:dyDescent="0.25"/>
    <row r="523" ht="24.95" customHeight="1" x14ac:dyDescent="0.25"/>
    <row r="524" ht="24.95" customHeight="1" x14ac:dyDescent="0.25"/>
    <row r="525" ht="24.95" customHeight="1" x14ac:dyDescent="0.25"/>
    <row r="526" ht="24.95" customHeight="1" x14ac:dyDescent="0.25"/>
    <row r="527" ht="24.95" customHeight="1" x14ac:dyDescent="0.25"/>
    <row r="528" ht="24.95" customHeight="1" x14ac:dyDescent="0.25"/>
    <row r="529" ht="24.95" customHeight="1" x14ac:dyDescent="0.25"/>
    <row r="530" ht="24.95" customHeight="1" x14ac:dyDescent="0.25"/>
    <row r="531" ht="24.95" customHeight="1" x14ac:dyDescent="0.25"/>
    <row r="532" ht="24.95" customHeight="1" x14ac:dyDescent="0.25"/>
    <row r="533" ht="24.95" customHeight="1" x14ac:dyDescent="0.25"/>
    <row r="534" ht="24.95" customHeight="1" x14ac:dyDescent="0.25"/>
    <row r="535" ht="24.95" customHeight="1" x14ac:dyDescent="0.25"/>
    <row r="536" ht="24.95" customHeight="1" x14ac:dyDescent="0.25"/>
    <row r="537" ht="24.95" customHeight="1" x14ac:dyDescent="0.25"/>
    <row r="538" ht="24.95" customHeight="1" x14ac:dyDescent="0.25"/>
    <row r="539" ht="24.95" customHeight="1" x14ac:dyDescent="0.25"/>
    <row r="540" ht="24.95" customHeight="1" x14ac:dyDescent="0.25"/>
    <row r="541" ht="24.95" customHeight="1" x14ac:dyDescent="0.25"/>
    <row r="542" ht="24.95" customHeight="1" x14ac:dyDescent="0.25"/>
    <row r="543" ht="24.95" customHeight="1" x14ac:dyDescent="0.25"/>
    <row r="544" ht="24.95" customHeight="1" x14ac:dyDescent="0.25"/>
    <row r="545" ht="24.95" customHeight="1" x14ac:dyDescent="0.25"/>
    <row r="546" ht="24.95" customHeight="1" x14ac:dyDescent="0.25"/>
    <row r="547" ht="24.95" customHeight="1" x14ac:dyDescent="0.25"/>
    <row r="548" ht="24.95" customHeight="1" x14ac:dyDescent="0.25"/>
    <row r="549" ht="24.95" customHeight="1" x14ac:dyDescent="0.25"/>
    <row r="550" ht="24.95" customHeight="1" x14ac:dyDescent="0.25"/>
    <row r="551" ht="24.95" customHeight="1" x14ac:dyDescent="0.25"/>
    <row r="552" ht="24.95" customHeight="1" x14ac:dyDescent="0.25"/>
    <row r="553" ht="24.95" customHeight="1" x14ac:dyDescent="0.25"/>
    <row r="554" ht="24.95" customHeight="1" x14ac:dyDescent="0.25"/>
    <row r="555" ht="24.95" customHeight="1" x14ac:dyDescent="0.25"/>
    <row r="556" ht="24.95" customHeight="1" x14ac:dyDescent="0.25"/>
    <row r="557" ht="24.95" customHeight="1" x14ac:dyDescent="0.25"/>
    <row r="558" ht="24.95" customHeight="1" x14ac:dyDescent="0.25"/>
    <row r="559" ht="24.95" customHeight="1" x14ac:dyDescent="0.25"/>
    <row r="560" ht="24.95" customHeight="1" x14ac:dyDescent="0.25"/>
    <row r="561" ht="24.95" customHeight="1" x14ac:dyDescent="0.25"/>
    <row r="562" ht="24.95" customHeight="1" x14ac:dyDescent="0.25"/>
    <row r="563" ht="24.95" customHeight="1" x14ac:dyDescent="0.25"/>
    <row r="564" ht="24.95" customHeight="1" x14ac:dyDescent="0.25"/>
    <row r="565" ht="24.95" customHeight="1" x14ac:dyDescent="0.25"/>
    <row r="566" ht="24.95" customHeight="1" x14ac:dyDescent="0.25"/>
    <row r="567" ht="24.95" customHeight="1" x14ac:dyDescent="0.25"/>
    <row r="568" ht="24.95" customHeight="1" x14ac:dyDescent="0.25"/>
    <row r="569" ht="24.95" customHeight="1" x14ac:dyDescent="0.25"/>
    <row r="570" ht="24.95" customHeight="1" x14ac:dyDescent="0.25"/>
    <row r="571" ht="24.95" customHeight="1" x14ac:dyDescent="0.25"/>
    <row r="572" ht="24.95" customHeight="1" x14ac:dyDescent="0.25"/>
    <row r="573" ht="24.95" customHeight="1" x14ac:dyDescent="0.25"/>
    <row r="574" ht="24.95" customHeight="1" x14ac:dyDescent="0.25"/>
    <row r="575" ht="24.95" customHeight="1" x14ac:dyDescent="0.25"/>
    <row r="576" ht="24.95" customHeight="1" x14ac:dyDescent="0.25"/>
    <row r="577" ht="24.95" customHeight="1" x14ac:dyDescent="0.25"/>
    <row r="578" ht="24.95" customHeight="1" x14ac:dyDescent="0.25"/>
    <row r="579" ht="24.95" customHeight="1" x14ac:dyDescent="0.25"/>
    <row r="580" ht="24.95" customHeight="1" x14ac:dyDescent="0.25"/>
    <row r="581" ht="24.95" customHeight="1" x14ac:dyDescent="0.25"/>
    <row r="582" ht="24.95" customHeight="1" x14ac:dyDescent="0.25"/>
    <row r="583" ht="24.95" customHeight="1" x14ac:dyDescent="0.25"/>
    <row r="584" ht="24.95" customHeight="1" x14ac:dyDescent="0.25"/>
    <row r="585" ht="24.95" customHeight="1" x14ac:dyDescent="0.25"/>
    <row r="586" ht="24.95" customHeight="1" x14ac:dyDescent="0.25"/>
    <row r="587" ht="24.95" customHeight="1" x14ac:dyDescent="0.25"/>
    <row r="588" ht="24.95" customHeight="1" x14ac:dyDescent="0.25"/>
    <row r="589" ht="24.95" customHeight="1" x14ac:dyDescent="0.25"/>
    <row r="590" ht="24.95" customHeight="1" x14ac:dyDescent="0.25"/>
    <row r="591" ht="24.95" customHeight="1" x14ac:dyDescent="0.25"/>
    <row r="592" ht="24.95" customHeight="1" x14ac:dyDescent="0.25"/>
    <row r="593" ht="24.95" customHeight="1" x14ac:dyDescent="0.25"/>
    <row r="594" ht="24.95" customHeight="1" x14ac:dyDescent="0.25"/>
    <row r="595" ht="24.95" customHeight="1" x14ac:dyDescent="0.25"/>
    <row r="596" ht="24.95" customHeight="1" x14ac:dyDescent="0.25"/>
    <row r="597" ht="24.95" customHeight="1" x14ac:dyDescent="0.25"/>
    <row r="598" ht="24.95" customHeight="1" x14ac:dyDescent="0.25"/>
    <row r="599" ht="24.95" customHeight="1" x14ac:dyDescent="0.25"/>
    <row r="600" ht="24.95" customHeight="1" x14ac:dyDescent="0.25"/>
    <row r="601" ht="24.95" customHeight="1" x14ac:dyDescent="0.25"/>
    <row r="602" ht="24.95" customHeight="1" x14ac:dyDescent="0.25"/>
    <row r="603" ht="24.95" customHeight="1" x14ac:dyDescent="0.25"/>
    <row r="604" ht="24.95" customHeight="1" x14ac:dyDescent="0.25"/>
    <row r="605" ht="24.95" customHeight="1" x14ac:dyDescent="0.25"/>
    <row r="606" ht="24.95" customHeight="1" x14ac:dyDescent="0.25"/>
    <row r="607" ht="24.95" customHeight="1" x14ac:dyDescent="0.25"/>
    <row r="608" ht="24.95" customHeight="1" x14ac:dyDescent="0.25"/>
    <row r="609" ht="24.95" customHeight="1" x14ac:dyDescent="0.25"/>
    <row r="610" ht="24.95" customHeight="1" x14ac:dyDescent="0.25"/>
    <row r="611" ht="24.95" customHeight="1" x14ac:dyDescent="0.25"/>
    <row r="612" ht="24.95" customHeight="1" x14ac:dyDescent="0.25"/>
    <row r="613" ht="24.95" customHeight="1" x14ac:dyDescent="0.25"/>
    <row r="614" ht="24.95" customHeight="1" x14ac:dyDescent="0.25"/>
    <row r="615" ht="24.95" customHeight="1" x14ac:dyDescent="0.25"/>
    <row r="616" ht="24.95" customHeight="1" x14ac:dyDescent="0.25"/>
    <row r="617" ht="24.95" customHeight="1" x14ac:dyDescent="0.25"/>
    <row r="618" ht="24.95" customHeight="1" x14ac:dyDescent="0.25"/>
    <row r="619" ht="24.95" customHeight="1" x14ac:dyDescent="0.25"/>
    <row r="620" ht="24.95" customHeight="1" x14ac:dyDescent="0.25"/>
    <row r="621" ht="24.95" customHeight="1" x14ac:dyDescent="0.25"/>
    <row r="622" ht="24.95" customHeight="1" x14ac:dyDescent="0.25"/>
    <row r="623" ht="24.95" customHeight="1" x14ac:dyDescent="0.25"/>
    <row r="624" ht="24.95" customHeight="1" x14ac:dyDescent="0.25"/>
    <row r="625" ht="24.95" customHeight="1" x14ac:dyDescent="0.25"/>
    <row r="626" ht="24.95" customHeight="1" x14ac:dyDescent="0.25"/>
    <row r="627" ht="24.95" customHeight="1" x14ac:dyDescent="0.25"/>
    <row r="628" ht="24.95" customHeight="1" x14ac:dyDescent="0.25"/>
    <row r="629" ht="24.95" customHeight="1" x14ac:dyDescent="0.25"/>
    <row r="630" ht="24.95" customHeight="1" x14ac:dyDescent="0.25"/>
    <row r="631" ht="24.95" customHeight="1" x14ac:dyDescent="0.25"/>
    <row r="632" ht="24.95" customHeight="1" x14ac:dyDescent="0.25"/>
    <row r="633" ht="24.95" customHeight="1" x14ac:dyDescent="0.25"/>
    <row r="634" ht="24.95" customHeight="1" x14ac:dyDescent="0.25"/>
    <row r="635" ht="24.95" customHeight="1" x14ac:dyDescent="0.25"/>
    <row r="636" ht="24.95" customHeight="1" x14ac:dyDescent="0.25"/>
    <row r="637" ht="24.95" customHeight="1" x14ac:dyDescent="0.25"/>
    <row r="638" ht="24.95" customHeight="1" x14ac:dyDescent="0.25"/>
    <row r="639" ht="24.95" customHeight="1" x14ac:dyDescent="0.25"/>
    <row r="640" ht="24.95" customHeight="1" x14ac:dyDescent="0.25"/>
    <row r="641" ht="24.95" customHeight="1" x14ac:dyDescent="0.25"/>
    <row r="642" ht="24.95" customHeight="1" x14ac:dyDescent="0.25"/>
    <row r="643" ht="24.95" customHeight="1" x14ac:dyDescent="0.25"/>
    <row r="644" ht="24.95" customHeight="1" x14ac:dyDescent="0.25"/>
    <row r="645" ht="24.95" customHeight="1" x14ac:dyDescent="0.25"/>
    <row r="646" ht="24.95" customHeight="1" x14ac:dyDescent="0.25"/>
    <row r="647" ht="24.95" customHeight="1" x14ac:dyDescent="0.25"/>
    <row r="648" ht="24.95" customHeight="1" x14ac:dyDescent="0.25"/>
    <row r="649" ht="24.95" customHeight="1" x14ac:dyDescent="0.25"/>
    <row r="650" ht="24.95" customHeight="1" x14ac:dyDescent="0.25"/>
    <row r="651" ht="24.95" customHeight="1" x14ac:dyDescent="0.25"/>
    <row r="652" ht="24.95" customHeight="1" x14ac:dyDescent="0.25"/>
    <row r="653" ht="24.95" customHeight="1" x14ac:dyDescent="0.25"/>
    <row r="654" ht="24.95" customHeight="1" x14ac:dyDescent="0.25"/>
    <row r="655" ht="24.95" customHeight="1" x14ac:dyDescent="0.25"/>
    <row r="656" ht="24.95" customHeight="1" x14ac:dyDescent="0.25"/>
    <row r="657" ht="24.95" customHeight="1" x14ac:dyDescent="0.25"/>
    <row r="658" ht="24.95" customHeight="1" x14ac:dyDescent="0.25"/>
    <row r="659" ht="24.95" customHeight="1" x14ac:dyDescent="0.25"/>
    <row r="660" ht="24.95" customHeight="1" x14ac:dyDescent="0.25"/>
    <row r="661" ht="24.95" customHeight="1" x14ac:dyDescent="0.25"/>
    <row r="662" ht="24.95" customHeight="1" x14ac:dyDescent="0.25"/>
    <row r="663" ht="24.95" customHeight="1" x14ac:dyDescent="0.25"/>
    <row r="664" ht="24.95" customHeight="1" x14ac:dyDescent="0.25"/>
    <row r="665" ht="24.95" customHeight="1" x14ac:dyDescent="0.25"/>
    <row r="666" ht="24.95" customHeight="1" x14ac:dyDescent="0.25"/>
    <row r="667" ht="24.95" customHeight="1" x14ac:dyDescent="0.25"/>
    <row r="668" ht="24.95" customHeight="1" x14ac:dyDescent="0.25"/>
    <row r="669" ht="24.95" customHeight="1" x14ac:dyDescent="0.25"/>
    <row r="670" ht="24.95" customHeight="1" x14ac:dyDescent="0.25"/>
    <row r="671" ht="24.95" customHeight="1" x14ac:dyDescent="0.25"/>
    <row r="672" ht="24.95" customHeight="1" x14ac:dyDescent="0.25"/>
    <row r="673" ht="24.95" customHeight="1" x14ac:dyDescent="0.25"/>
    <row r="674" ht="24.95" customHeight="1" x14ac:dyDescent="0.25"/>
    <row r="675" ht="24.95" customHeight="1" x14ac:dyDescent="0.25"/>
    <row r="676" ht="24.95" customHeight="1" x14ac:dyDescent="0.25"/>
    <row r="677" ht="24.95" customHeight="1" x14ac:dyDescent="0.25"/>
    <row r="678" ht="24.95" customHeight="1" x14ac:dyDescent="0.25"/>
    <row r="679" ht="24.95" customHeight="1" x14ac:dyDescent="0.25"/>
    <row r="680" ht="24.95" customHeight="1" x14ac:dyDescent="0.25"/>
    <row r="681" ht="24.95" customHeight="1" x14ac:dyDescent="0.25"/>
    <row r="682" ht="24.95" customHeight="1" x14ac:dyDescent="0.25"/>
    <row r="683" ht="24.95" customHeight="1" x14ac:dyDescent="0.25"/>
    <row r="684" ht="24.95" customHeight="1" x14ac:dyDescent="0.25"/>
    <row r="685" ht="24.95" customHeight="1" x14ac:dyDescent="0.25"/>
    <row r="686" ht="24.95" customHeight="1" x14ac:dyDescent="0.25"/>
    <row r="687" ht="24.95" customHeight="1" x14ac:dyDescent="0.25"/>
    <row r="688" ht="24.95" customHeight="1" x14ac:dyDescent="0.25"/>
    <row r="689" ht="24.95" customHeight="1" x14ac:dyDescent="0.25"/>
    <row r="690" ht="24.95" customHeight="1" x14ac:dyDescent="0.25"/>
    <row r="691" ht="24.95" customHeight="1" x14ac:dyDescent="0.25"/>
    <row r="692" ht="24.95" customHeight="1" x14ac:dyDescent="0.25"/>
    <row r="693" ht="24.95" customHeight="1" x14ac:dyDescent="0.25"/>
    <row r="694" ht="24.95" customHeight="1" x14ac:dyDescent="0.25"/>
    <row r="695" ht="24.95" customHeight="1" x14ac:dyDescent="0.25"/>
    <row r="696" ht="24.95" customHeight="1" x14ac:dyDescent="0.25"/>
    <row r="697" ht="24.95" customHeight="1" x14ac:dyDescent="0.25"/>
    <row r="698" ht="24.95" customHeight="1" x14ac:dyDescent="0.25"/>
    <row r="699" ht="24.95" customHeight="1" x14ac:dyDescent="0.25"/>
    <row r="700" ht="24.95" customHeight="1" x14ac:dyDescent="0.25"/>
    <row r="701" ht="24.95" customHeight="1" x14ac:dyDescent="0.25"/>
    <row r="702" ht="24.95" customHeight="1" x14ac:dyDescent="0.25"/>
    <row r="703" ht="24.95" customHeight="1" x14ac:dyDescent="0.25"/>
    <row r="704" ht="24.95" customHeight="1" x14ac:dyDescent="0.25"/>
    <row r="705" ht="24.95" customHeight="1" x14ac:dyDescent="0.25"/>
    <row r="706" ht="24.95" customHeight="1" x14ac:dyDescent="0.25"/>
    <row r="707" ht="24.95" customHeight="1" x14ac:dyDescent="0.25"/>
    <row r="708" ht="24.95" customHeight="1" x14ac:dyDescent="0.25"/>
    <row r="709" ht="24.95" customHeight="1" x14ac:dyDescent="0.25"/>
    <row r="710" ht="24.95" customHeight="1" x14ac:dyDescent="0.25"/>
    <row r="711" ht="24.95" customHeight="1" x14ac:dyDescent="0.25"/>
    <row r="712" ht="24.95" customHeight="1" x14ac:dyDescent="0.25"/>
    <row r="713" ht="24.95" customHeight="1" x14ac:dyDescent="0.25"/>
    <row r="714" ht="24.95" customHeight="1" x14ac:dyDescent="0.25"/>
    <row r="715" ht="24.95" customHeight="1" x14ac:dyDescent="0.25"/>
    <row r="716" ht="24.95" customHeight="1" x14ac:dyDescent="0.25"/>
    <row r="717" ht="24.95" customHeight="1" x14ac:dyDescent="0.25"/>
    <row r="718" ht="24.95" customHeight="1" x14ac:dyDescent="0.25"/>
    <row r="719" ht="24.95" customHeight="1" x14ac:dyDescent="0.25"/>
    <row r="720" ht="24.95" customHeight="1" x14ac:dyDescent="0.25"/>
    <row r="721" ht="24.95" customHeight="1" x14ac:dyDescent="0.25"/>
    <row r="722" ht="24.95" customHeight="1" x14ac:dyDescent="0.25"/>
    <row r="723" ht="24.95" customHeight="1" x14ac:dyDescent="0.25"/>
    <row r="724" ht="24.95" customHeight="1" x14ac:dyDescent="0.25"/>
    <row r="725" ht="24.95" customHeight="1" x14ac:dyDescent="0.25"/>
    <row r="726" ht="24.95" customHeight="1" x14ac:dyDescent="0.25"/>
    <row r="727" ht="24.95" customHeight="1" x14ac:dyDescent="0.25"/>
    <row r="728" ht="24.95" customHeight="1" x14ac:dyDescent="0.25"/>
    <row r="729" ht="24.95" customHeight="1" x14ac:dyDescent="0.25"/>
    <row r="730" ht="24.95" customHeight="1" x14ac:dyDescent="0.25"/>
    <row r="731" ht="24.95" customHeight="1" x14ac:dyDescent="0.25"/>
    <row r="732" ht="24.95" customHeight="1" x14ac:dyDescent="0.25"/>
    <row r="733" ht="24.95" customHeight="1" x14ac:dyDescent="0.25"/>
    <row r="734" ht="24.95" customHeight="1" x14ac:dyDescent="0.25"/>
    <row r="735" ht="24.95" customHeight="1" x14ac:dyDescent="0.25"/>
    <row r="736" ht="24.95" customHeight="1" x14ac:dyDescent="0.25"/>
    <row r="737" ht="24.95" customHeight="1" x14ac:dyDescent="0.25"/>
    <row r="738" ht="24.95" customHeight="1" x14ac:dyDescent="0.25"/>
    <row r="739" ht="24.95" customHeight="1" x14ac:dyDescent="0.25"/>
    <row r="740" ht="24.95" customHeight="1" x14ac:dyDescent="0.25"/>
    <row r="741" ht="24.95" customHeight="1" x14ac:dyDescent="0.25"/>
    <row r="742" ht="24.95" customHeight="1" x14ac:dyDescent="0.25"/>
    <row r="743" ht="24.95" customHeight="1" x14ac:dyDescent="0.25"/>
    <row r="744" ht="24.95" customHeight="1" x14ac:dyDescent="0.25"/>
    <row r="745" ht="24.95" customHeight="1" x14ac:dyDescent="0.25"/>
    <row r="746" ht="24.95" customHeight="1" x14ac:dyDescent="0.25"/>
    <row r="747" ht="24.95" customHeight="1" x14ac:dyDescent="0.25"/>
    <row r="748" ht="24.95" customHeight="1" x14ac:dyDescent="0.25"/>
    <row r="749" ht="24.95" customHeight="1" x14ac:dyDescent="0.25"/>
    <row r="750" ht="24.95" customHeight="1" x14ac:dyDescent="0.25"/>
    <row r="751" ht="24.95" customHeight="1" x14ac:dyDescent="0.25"/>
    <row r="752" ht="24.95" customHeight="1" x14ac:dyDescent="0.25"/>
    <row r="753" ht="24.95" customHeight="1" x14ac:dyDescent="0.25"/>
    <row r="754" ht="24.95" customHeight="1" x14ac:dyDescent="0.25"/>
    <row r="755" ht="24.95" customHeight="1" x14ac:dyDescent="0.25"/>
    <row r="756" ht="24.95" customHeight="1" x14ac:dyDescent="0.25"/>
    <row r="757" ht="24.95" customHeight="1" x14ac:dyDescent="0.25"/>
    <row r="758" ht="24.95" customHeight="1" x14ac:dyDescent="0.25"/>
    <row r="759" ht="24.95" customHeight="1" x14ac:dyDescent="0.25"/>
    <row r="760" ht="24.95" customHeight="1" x14ac:dyDescent="0.25"/>
    <row r="761" ht="24.95" customHeight="1" x14ac:dyDescent="0.25"/>
    <row r="762" ht="24.95" customHeight="1" x14ac:dyDescent="0.25"/>
    <row r="763" ht="24.95" customHeight="1" x14ac:dyDescent="0.25"/>
    <row r="764" ht="24.95" customHeight="1" x14ac:dyDescent="0.25"/>
    <row r="765" ht="24.95" customHeight="1" x14ac:dyDescent="0.25"/>
    <row r="766" ht="24.95" customHeight="1" x14ac:dyDescent="0.25"/>
    <row r="767" ht="24.95" customHeight="1" x14ac:dyDescent="0.25"/>
    <row r="768" ht="24.95" customHeight="1" x14ac:dyDescent="0.25"/>
    <row r="769" ht="24.95" customHeight="1" x14ac:dyDescent="0.25"/>
    <row r="770" ht="24.95" customHeight="1" x14ac:dyDescent="0.25"/>
    <row r="771" ht="24.95" customHeight="1" x14ac:dyDescent="0.25"/>
    <row r="772" ht="24.95" customHeight="1" x14ac:dyDescent="0.25"/>
    <row r="773" ht="24.95" customHeight="1" x14ac:dyDescent="0.25"/>
    <row r="774" ht="24.95" customHeight="1" x14ac:dyDescent="0.25"/>
    <row r="775" ht="24.95" customHeight="1" x14ac:dyDescent="0.25"/>
    <row r="776" ht="24.95" customHeight="1" x14ac:dyDescent="0.25"/>
    <row r="777" ht="24.95" customHeight="1" x14ac:dyDescent="0.25"/>
    <row r="778" ht="24.95" customHeight="1" x14ac:dyDescent="0.25"/>
    <row r="779" ht="24.95" customHeight="1" x14ac:dyDescent="0.25"/>
    <row r="780" ht="24.95" customHeight="1" x14ac:dyDescent="0.25"/>
    <row r="781" ht="24.95" customHeight="1" x14ac:dyDescent="0.25"/>
    <row r="782" ht="24.95" customHeight="1" x14ac:dyDescent="0.25"/>
    <row r="783" ht="24.95" customHeight="1" x14ac:dyDescent="0.25"/>
    <row r="784" ht="24.95" customHeight="1" x14ac:dyDescent="0.25"/>
    <row r="785" ht="24.95" customHeight="1" x14ac:dyDescent="0.25"/>
    <row r="786" ht="24.95" customHeight="1" x14ac:dyDescent="0.25"/>
    <row r="787" ht="24.95" customHeight="1" x14ac:dyDescent="0.25"/>
    <row r="788" ht="24.95" customHeight="1" x14ac:dyDescent="0.25"/>
    <row r="789" ht="24.95" customHeight="1" x14ac:dyDescent="0.25"/>
    <row r="790" ht="24.95" customHeight="1" x14ac:dyDescent="0.25"/>
    <row r="791" ht="24.95" customHeight="1" x14ac:dyDescent="0.25"/>
    <row r="792" ht="24.95" customHeight="1" x14ac:dyDescent="0.25"/>
    <row r="793" ht="24.95" customHeight="1" x14ac:dyDescent="0.25"/>
    <row r="794" ht="24.95" customHeight="1" x14ac:dyDescent="0.25"/>
    <row r="795" ht="24.95" customHeight="1" x14ac:dyDescent="0.25"/>
    <row r="796" ht="24.95" customHeight="1" x14ac:dyDescent="0.25"/>
    <row r="797" ht="24.95" customHeight="1" x14ac:dyDescent="0.25"/>
    <row r="798" ht="24.95" customHeight="1" x14ac:dyDescent="0.25"/>
    <row r="799" ht="24.95" customHeight="1" x14ac:dyDescent="0.25"/>
    <row r="800" ht="24.95" customHeight="1" x14ac:dyDescent="0.25"/>
    <row r="801" ht="24.95" customHeight="1" x14ac:dyDescent="0.25"/>
    <row r="802" ht="24.95" customHeight="1" x14ac:dyDescent="0.25"/>
    <row r="803" ht="24.95" customHeight="1" x14ac:dyDescent="0.25"/>
    <row r="804" ht="24.95" customHeight="1" x14ac:dyDescent="0.25"/>
    <row r="805" ht="24.95" customHeight="1" x14ac:dyDescent="0.25"/>
    <row r="806" ht="24.95" customHeight="1" x14ac:dyDescent="0.25"/>
    <row r="807" ht="24.95" customHeight="1" x14ac:dyDescent="0.25"/>
    <row r="808" ht="24.95" customHeight="1" x14ac:dyDescent="0.25"/>
    <row r="809" ht="24.95" customHeight="1" x14ac:dyDescent="0.25"/>
    <row r="810" ht="24.95" customHeight="1" x14ac:dyDescent="0.25"/>
    <row r="811" ht="24.95" customHeight="1" x14ac:dyDescent="0.25"/>
    <row r="812" ht="24.95" customHeight="1" x14ac:dyDescent="0.25"/>
    <row r="813" ht="24.95" customHeight="1" x14ac:dyDescent="0.25"/>
    <row r="814" ht="24.95" customHeight="1" x14ac:dyDescent="0.25"/>
    <row r="815" ht="24.95" customHeight="1" x14ac:dyDescent="0.25"/>
    <row r="816" ht="24.95" customHeight="1" x14ac:dyDescent="0.25"/>
    <row r="817" ht="24.95" customHeight="1" x14ac:dyDescent="0.25"/>
    <row r="818" ht="24.95" customHeight="1" x14ac:dyDescent="0.25"/>
    <row r="819" ht="24.95" customHeight="1" x14ac:dyDescent="0.25"/>
    <row r="820" ht="24.95" customHeight="1" x14ac:dyDescent="0.25"/>
    <row r="821" ht="24.95" customHeight="1" x14ac:dyDescent="0.25"/>
    <row r="822" ht="24.95" customHeight="1" x14ac:dyDescent="0.25"/>
    <row r="823" ht="24.95" customHeight="1" x14ac:dyDescent="0.25"/>
    <row r="824" ht="24.95" customHeight="1" x14ac:dyDescent="0.25"/>
    <row r="825" ht="24.95" customHeight="1" x14ac:dyDescent="0.25"/>
    <row r="826" ht="24.95" customHeight="1" x14ac:dyDescent="0.25"/>
    <row r="827" ht="24.95" customHeight="1" x14ac:dyDescent="0.25"/>
    <row r="828" ht="24.95" customHeight="1" x14ac:dyDescent="0.25"/>
    <row r="829" ht="24.95" customHeight="1" x14ac:dyDescent="0.25"/>
    <row r="830" ht="24.95" customHeight="1" x14ac:dyDescent="0.25"/>
    <row r="831" ht="24.95" customHeight="1" x14ac:dyDescent="0.25"/>
    <row r="832" ht="24.95" customHeight="1" x14ac:dyDescent="0.25"/>
    <row r="833" ht="24.95" customHeight="1" x14ac:dyDescent="0.25"/>
    <row r="834" ht="24.95" customHeight="1" x14ac:dyDescent="0.25"/>
    <row r="835" ht="24.95" customHeight="1" x14ac:dyDescent="0.25"/>
    <row r="836" ht="24.95" customHeight="1" x14ac:dyDescent="0.25"/>
    <row r="837" ht="24.95" customHeight="1" x14ac:dyDescent="0.25"/>
    <row r="838" ht="24.95" customHeight="1" x14ac:dyDescent="0.25"/>
    <row r="839" ht="24.95" customHeight="1" x14ac:dyDescent="0.25"/>
    <row r="840" ht="24.95" customHeight="1" x14ac:dyDescent="0.25"/>
    <row r="841" ht="24.95" customHeight="1" x14ac:dyDescent="0.25"/>
    <row r="842" ht="24.95" customHeight="1" x14ac:dyDescent="0.25"/>
    <row r="843" ht="24.95" customHeight="1" x14ac:dyDescent="0.25"/>
    <row r="844" ht="24.95" customHeight="1" x14ac:dyDescent="0.25"/>
    <row r="845" ht="24.95" customHeight="1" x14ac:dyDescent="0.25"/>
    <row r="846" ht="24.95" customHeight="1" x14ac:dyDescent="0.25"/>
    <row r="847" ht="24.95" customHeight="1" x14ac:dyDescent="0.25"/>
    <row r="848" ht="24.95" customHeight="1" x14ac:dyDescent="0.25"/>
    <row r="849" ht="24.95" customHeight="1" x14ac:dyDescent="0.25"/>
    <row r="850" ht="24.95" customHeight="1" x14ac:dyDescent="0.25"/>
    <row r="851" ht="24.95" customHeight="1" x14ac:dyDescent="0.25"/>
    <row r="852" ht="24.95" customHeight="1" x14ac:dyDescent="0.25"/>
    <row r="853" ht="24.95" customHeight="1" x14ac:dyDescent="0.25"/>
    <row r="854" ht="24.95" customHeight="1" x14ac:dyDescent="0.25"/>
    <row r="855" ht="24.95" customHeight="1" x14ac:dyDescent="0.25"/>
    <row r="856" ht="24.95" customHeight="1" x14ac:dyDescent="0.25"/>
    <row r="857" ht="24.95" customHeight="1" x14ac:dyDescent="0.25"/>
    <row r="858" ht="24.95" customHeight="1" x14ac:dyDescent="0.25"/>
    <row r="859" ht="24.95" customHeight="1" x14ac:dyDescent="0.25"/>
    <row r="860" ht="24.95" customHeight="1" x14ac:dyDescent="0.25"/>
    <row r="861" ht="24.95" customHeight="1" x14ac:dyDescent="0.25"/>
    <row r="862" ht="24.95" customHeight="1" x14ac:dyDescent="0.25"/>
    <row r="863" ht="24.95" customHeight="1" x14ac:dyDescent="0.25"/>
    <row r="864" ht="24.95" customHeight="1" x14ac:dyDescent="0.25"/>
    <row r="865" ht="24.95" customHeight="1" x14ac:dyDescent="0.25"/>
    <row r="866" ht="24.95" customHeight="1" x14ac:dyDescent="0.25"/>
    <row r="867" ht="24.95" customHeight="1" x14ac:dyDescent="0.25"/>
    <row r="868" ht="24.95" customHeight="1" x14ac:dyDescent="0.25"/>
    <row r="869" ht="24.95" customHeight="1" x14ac:dyDescent="0.25"/>
    <row r="870" ht="24.95" customHeight="1" x14ac:dyDescent="0.25"/>
    <row r="871" ht="24.95" customHeight="1" x14ac:dyDescent="0.25"/>
    <row r="872" ht="24.95" customHeight="1" x14ac:dyDescent="0.25"/>
    <row r="873" ht="24.95" customHeight="1" x14ac:dyDescent="0.25"/>
    <row r="874" ht="24.95" customHeight="1" x14ac:dyDescent="0.25"/>
    <row r="875" ht="24.95" customHeight="1" x14ac:dyDescent="0.25"/>
    <row r="876" ht="24.95" customHeight="1" x14ac:dyDescent="0.25"/>
    <row r="877" ht="24.95" customHeight="1" x14ac:dyDescent="0.25"/>
    <row r="878" ht="24.95" customHeight="1" x14ac:dyDescent="0.25"/>
    <row r="879" ht="24.95" customHeight="1" x14ac:dyDescent="0.25"/>
    <row r="880" ht="24.95" customHeight="1" x14ac:dyDescent="0.25"/>
    <row r="881" ht="24.95" customHeight="1" x14ac:dyDescent="0.25"/>
    <row r="882" ht="24.95" customHeight="1" x14ac:dyDescent="0.25"/>
    <row r="883" ht="24.95" customHeight="1" x14ac:dyDescent="0.25"/>
    <row r="884" ht="24.95" customHeight="1" x14ac:dyDescent="0.25"/>
    <row r="885" ht="24.95" customHeight="1" x14ac:dyDescent="0.25"/>
    <row r="886" ht="24.95" customHeight="1" x14ac:dyDescent="0.25"/>
    <row r="887" ht="24.95" customHeight="1" x14ac:dyDescent="0.25"/>
    <row r="888" ht="24.95" customHeight="1" x14ac:dyDescent="0.25"/>
    <row r="889" ht="24.95" customHeight="1" x14ac:dyDescent="0.25"/>
    <row r="890" ht="24.95" customHeight="1" x14ac:dyDescent="0.25"/>
    <row r="891" ht="24.95" customHeight="1" x14ac:dyDescent="0.25"/>
    <row r="892" ht="24.95" customHeight="1" x14ac:dyDescent="0.25"/>
    <row r="893" ht="24.95" customHeight="1" x14ac:dyDescent="0.25"/>
    <row r="894" ht="24.95" customHeight="1" x14ac:dyDescent="0.25"/>
    <row r="895" ht="24.95" customHeight="1" x14ac:dyDescent="0.25"/>
    <row r="896" ht="24.95" customHeight="1" x14ac:dyDescent="0.25"/>
    <row r="897" ht="24.95" customHeight="1" x14ac:dyDescent="0.25"/>
    <row r="898" ht="24.95" customHeight="1" x14ac:dyDescent="0.25"/>
    <row r="899" ht="24.95" customHeight="1" x14ac:dyDescent="0.25"/>
    <row r="900" ht="24.95" customHeight="1" x14ac:dyDescent="0.25"/>
    <row r="901" ht="24.95" customHeight="1" x14ac:dyDescent="0.25"/>
    <row r="902" ht="24.95" customHeight="1" x14ac:dyDescent="0.25"/>
    <row r="903" ht="24.95" customHeight="1" x14ac:dyDescent="0.25"/>
    <row r="904" ht="24.95" customHeight="1" x14ac:dyDescent="0.25"/>
    <row r="905" ht="24.95" customHeight="1" x14ac:dyDescent="0.25"/>
    <row r="906" ht="24.95" customHeight="1" x14ac:dyDescent="0.25"/>
    <row r="907" ht="24.95" customHeight="1" x14ac:dyDescent="0.25"/>
    <row r="908" ht="24.95" customHeight="1" x14ac:dyDescent="0.25"/>
    <row r="909" ht="24.95" customHeight="1" x14ac:dyDescent="0.25"/>
    <row r="910" ht="24.95" customHeight="1" x14ac:dyDescent="0.25"/>
    <row r="911" ht="24.95" customHeight="1" x14ac:dyDescent="0.25"/>
    <row r="912" ht="24.95" customHeight="1" x14ac:dyDescent="0.25"/>
    <row r="913" ht="24.95" customHeight="1" x14ac:dyDescent="0.25"/>
    <row r="914" ht="24.95" customHeight="1" x14ac:dyDescent="0.25"/>
    <row r="915" ht="24.95" customHeight="1" x14ac:dyDescent="0.25"/>
    <row r="916" ht="24.95" customHeight="1" x14ac:dyDescent="0.25"/>
    <row r="917" ht="24.95" customHeight="1" x14ac:dyDescent="0.25"/>
    <row r="918" ht="24.95" customHeight="1" x14ac:dyDescent="0.25"/>
    <row r="919" ht="24.95" customHeight="1" x14ac:dyDescent="0.25"/>
    <row r="920" ht="24.95" customHeight="1" x14ac:dyDescent="0.25"/>
    <row r="921" ht="24.95" customHeight="1" x14ac:dyDescent="0.25"/>
    <row r="922" ht="24.95" customHeight="1" x14ac:dyDescent="0.25"/>
    <row r="923" ht="24.95" customHeight="1" x14ac:dyDescent="0.25"/>
    <row r="924" ht="24.95" customHeight="1" x14ac:dyDescent="0.25"/>
    <row r="925" ht="24.95" customHeight="1" x14ac:dyDescent="0.25"/>
    <row r="926" ht="24.95" customHeight="1" x14ac:dyDescent="0.25"/>
    <row r="927" ht="24.95" customHeight="1" x14ac:dyDescent="0.25"/>
    <row r="928" ht="24.95" customHeight="1" x14ac:dyDescent="0.25"/>
    <row r="929" ht="24.95" customHeight="1" x14ac:dyDescent="0.25"/>
    <row r="930" ht="24.95" customHeight="1" x14ac:dyDescent="0.25"/>
    <row r="931" ht="24.95" customHeight="1" x14ac:dyDescent="0.25"/>
    <row r="932" ht="24.95" customHeight="1" x14ac:dyDescent="0.25"/>
    <row r="933" ht="24.95" customHeight="1" x14ac:dyDescent="0.25"/>
    <row r="934" ht="24.95" customHeight="1" x14ac:dyDescent="0.25"/>
    <row r="935" ht="24.95" customHeight="1" x14ac:dyDescent="0.25"/>
    <row r="936" ht="24.95" customHeight="1" x14ac:dyDescent="0.25"/>
    <row r="937" ht="24.95" customHeight="1" x14ac:dyDescent="0.25"/>
    <row r="938" ht="24.95" customHeight="1" x14ac:dyDescent="0.25"/>
    <row r="939" ht="24.95" customHeight="1" x14ac:dyDescent="0.25"/>
    <row r="940" ht="24.95" customHeight="1" x14ac:dyDescent="0.25"/>
    <row r="941" ht="24.95" customHeight="1" x14ac:dyDescent="0.25"/>
    <row r="942" ht="24.95" customHeight="1" x14ac:dyDescent="0.25"/>
    <row r="943" ht="24.95" customHeight="1" x14ac:dyDescent="0.25"/>
    <row r="944" ht="24.95" customHeight="1" x14ac:dyDescent="0.25"/>
    <row r="945" ht="24.95" customHeight="1" x14ac:dyDescent="0.25"/>
    <row r="946" ht="24.95" customHeight="1" x14ac:dyDescent="0.25"/>
    <row r="947" ht="24.95" customHeight="1" x14ac:dyDescent="0.25"/>
    <row r="948" ht="24.95" customHeight="1" x14ac:dyDescent="0.25"/>
    <row r="949" ht="24.95" customHeight="1" x14ac:dyDescent="0.25"/>
    <row r="950" ht="24.95" customHeight="1" x14ac:dyDescent="0.25"/>
    <row r="951" ht="24.95" customHeight="1" x14ac:dyDescent="0.25"/>
    <row r="952" ht="24.95" customHeight="1" x14ac:dyDescent="0.25"/>
    <row r="953" ht="24.95" customHeight="1" x14ac:dyDescent="0.25"/>
    <row r="954" ht="24.95" customHeight="1" x14ac:dyDescent="0.25"/>
    <row r="955" ht="24.95" customHeight="1" x14ac:dyDescent="0.25"/>
    <row r="956" ht="24.95" customHeight="1" x14ac:dyDescent="0.25"/>
    <row r="957" ht="24.95" customHeight="1" x14ac:dyDescent="0.25"/>
    <row r="958" ht="24.95" customHeight="1" x14ac:dyDescent="0.25"/>
    <row r="959" ht="24.95" customHeight="1" x14ac:dyDescent="0.25"/>
    <row r="960" ht="24.95" customHeight="1" x14ac:dyDescent="0.25"/>
    <row r="961" ht="24.95" customHeight="1" x14ac:dyDescent="0.25"/>
    <row r="962" ht="24.95" customHeight="1" x14ac:dyDescent="0.25"/>
    <row r="963" ht="24.95" customHeight="1" x14ac:dyDescent="0.25"/>
    <row r="964" ht="24.95" customHeight="1" x14ac:dyDescent="0.25"/>
    <row r="965" ht="24.95" customHeight="1" x14ac:dyDescent="0.25"/>
    <row r="966" ht="24.95" customHeight="1" x14ac:dyDescent="0.25"/>
    <row r="967" ht="24.95" customHeight="1" x14ac:dyDescent="0.25"/>
    <row r="968" ht="24.95" customHeight="1" x14ac:dyDescent="0.25"/>
    <row r="969" ht="24.95" customHeight="1" x14ac:dyDescent="0.25"/>
    <row r="970" ht="24.95" customHeight="1" x14ac:dyDescent="0.25"/>
    <row r="971" ht="24.95" customHeight="1" x14ac:dyDescent="0.25"/>
    <row r="972" ht="24.95" customHeight="1" x14ac:dyDescent="0.25"/>
    <row r="973" ht="24.95" customHeight="1" x14ac:dyDescent="0.25"/>
    <row r="974" ht="24.95" customHeight="1" x14ac:dyDescent="0.25"/>
    <row r="975" ht="24.95" customHeight="1" x14ac:dyDescent="0.25"/>
    <row r="976" ht="24.95" customHeight="1" x14ac:dyDescent="0.25"/>
    <row r="977" ht="24.95" customHeight="1" x14ac:dyDescent="0.25"/>
    <row r="978" ht="24.95" customHeight="1" x14ac:dyDescent="0.25"/>
    <row r="979" ht="24.95" customHeight="1" x14ac:dyDescent="0.25"/>
    <row r="980" ht="24.95" customHeight="1" x14ac:dyDescent="0.25"/>
    <row r="981" ht="24.95" customHeight="1" x14ac:dyDescent="0.25"/>
    <row r="982" ht="24.95" customHeight="1" x14ac:dyDescent="0.25"/>
    <row r="983" ht="24.95" customHeight="1" x14ac:dyDescent="0.25"/>
    <row r="984" ht="24.95" customHeight="1" x14ac:dyDescent="0.25"/>
    <row r="985" ht="24.95" customHeight="1" x14ac:dyDescent="0.25"/>
    <row r="986" ht="24.95" customHeight="1" x14ac:dyDescent="0.25"/>
    <row r="987" ht="24.95" customHeight="1" x14ac:dyDescent="0.25"/>
    <row r="988" ht="24.95" customHeight="1" x14ac:dyDescent="0.25"/>
    <row r="989" ht="24.95" customHeight="1" x14ac:dyDescent="0.25"/>
    <row r="990" ht="24.95" customHeight="1" x14ac:dyDescent="0.25"/>
    <row r="991" ht="24.95" customHeight="1" x14ac:dyDescent="0.25"/>
    <row r="992" ht="24.95" customHeight="1" x14ac:dyDescent="0.25"/>
    <row r="993" ht="24.95" customHeight="1" x14ac:dyDescent="0.25"/>
    <row r="994" ht="24.95" customHeight="1" x14ac:dyDescent="0.25"/>
    <row r="995" ht="24.95" customHeight="1" x14ac:dyDescent="0.25"/>
    <row r="996" ht="24.95" customHeight="1" x14ac:dyDescent="0.25"/>
    <row r="997" ht="24.95" customHeight="1" x14ac:dyDescent="0.25"/>
    <row r="998" ht="24.95" customHeight="1" x14ac:dyDescent="0.25"/>
    <row r="999" ht="24.95" customHeight="1" x14ac:dyDescent="0.25"/>
    <row r="1000" ht="24.95" customHeight="1" x14ac:dyDescent="0.25"/>
    <row r="1001" ht="24.95" customHeight="1" x14ac:dyDescent="0.25"/>
  </sheetData>
  <autoFilter ref="B1:EU871" xr:uid="{00000000-0001-0000-0500-000000000000}">
    <sortState xmlns:xlrd2="http://schemas.microsoft.com/office/spreadsheetml/2017/richdata2" ref="B2:EU871">
      <sortCondition ref="B1:B871"/>
    </sortState>
  </autoFilter>
  <phoneticPr fontId="53" type="noConversion"/>
  <conditionalFormatting sqref="H2:H11">
    <cfRule type="colorScale" priority="822">
      <colorScale>
        <cfvo type="num" val="23"/>
        <cfvo type="num" val="28"/>
        <cfvo type="num" val="30"/>
        <color rgb="FF63BE7B"/>
        <color rgb="FFFFEB84"/>
        <color rgb="FFF8696B"/>
      </colorScale>
    </cfRule>
  </conditionalFormatting>
  <conditionalFormatting sqref="BP1:BP1048576">
    <cfRule type="iconSet" priority="359">
      <iconSet iconSet="4Arrows" reverse="1">
        <cfvo type="percent" val="0"/>
        <cfvo type="percent" val="25"/>
        <cfvo type="percent" val="50"/>
        <cfvo type="percent" val="75"/>
      </iconSet>
    </cfRule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:BB1048576">
    <cfRule type="iconSet" priority="28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1:BH1048576">
    <cfRule type="colorScale" priority="434">
      <colorScale>
        <cfvo type="min"/>
        <cfvo type="max"/>
        <color rgb="FFFCFCFF"/>
        <color rgb="FFF8696B"/>
      </colorScale>
    </cfRule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E1:CE1048576">
    <cfRule type="colorScale" priority="481">
      <colorScale>
        <cfvo type="min"/>
        <cfvo type="max"/>
        <color rgb="FFFFEF9C"/>
        <color rgb="FF63BE7B"/>
      </colorScale>
    </cfRule>
    <cfRule type="colorScale" priority="7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:BG1048576">
    <cfRule type="colorScale" priority="4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1:AY1048576">
    <cfRule type="colorScale" priority="308">
      <colorScale>
        <cfvo type="min"/>
        <cfvo type="percentile" val="50"/>
        <cfvo type="max"/>
        <color rgb="FFF8696B"/>
        <color rgb="FFFCFCFF"/>
        <color rgb="FF5A8AC6"/>
      </colorScale>
    </cfRule>
    <cfRule type="iconSet" priority="328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1:BQ1048576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  <cfRule type="iconSet" priority="358">
      <iconSet iconSet="3Arrows" reverse="1">
        <cfvo type="percent" val="0"/>
        <cfvo type="percent" val="33"/>
        <cfvo type="percent" val="67"/>
      </iconSet>
    </cfRule>
  </conditionalFormatting>
  <conditionalFormatting sqref="AZ1:BA1048576">
    <cfRule type="colorScale" priority="3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2:CO1048576">
    <cfRule type="colorScale" priority="6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:BC1048576">
    <cfRule type="iconSet" priority="29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1:BD1048576">
    <cfRule type="iconSet" priority="28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1:BE1048576">
    <cfRule type="iconSet" priority="28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1:BA1048576">
    <cfRule type="colorScale" priority="819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956">
      <colorScale>
        <cfvo type="min"/>
        <cfvo type="max"/>
        <color rgb="FFFFEF9C"/>
        <color rgb="FF63BE7B"/>
      </colorScale>
    </cfRule>
  </conditionalFormatting>
  <conditionalFormatting sqref="CP2:CP1048576">
    <cfRule type="colorScale" priority="6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">
    <cfRule type="colorScale" priority="6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1">
    <cfRule type="colorScale" priority="5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1:CO1">
    <cfRule type="colorScale" priority="5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1:CO1">
    <cfRule type="colorScale" priority="5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:CP1048576">
    <cfRule type="iconSet" priority="29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1:CO1048576">
    <cfRule type="colorScale" priority="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:AK1048576">
    <cfRule type="colorScale" priority="5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1:AL1048576">
    <cfRule type="colorScale" priority="5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:G1048576">
    <cfRule type="containsText" dxfId="3" priority="208" operator="containsText" text="Sem Data Final">
      <formula>NOT(ISERROR(SEARCH("Sem Data Final",G1)))</formula>
    </cfRule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2:CL1048576">
    <cfRule type="colorScale" priority="4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1:CM1"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1:CM1">
    <cfRule type="colorScale" priority="4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1:CM1 CL2:CL1048576">
    <cfRule type="colorScale" priority="4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2:CM1048576">
    <cfRule type="colorScale" priority="4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1:CL1048576">
    <cfRule type="iconSet" priority="302">
      <iconSet iconSet="4Arrows">
        <cfvo type="percent" val="0"/>
        <cfvo type="percent" val="25"/>
        <cfvo type="percent" val="50"/>
        <cfvo type="percent" val="75"/>
      </iconSet>
    </cfRule>
    <cfRule type="colorScale" priority="4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1:CM1048576">
    <cfRule type="iconSet" priority="30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1:CN1048576">
    <cfRule type="iconSet" priority="30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1:CO1048576">
    <cfRule type="iconSet" priority="30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Q1:CQ1048576">
    <cfRule type="iconSet" priority="29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V1">
    <cfRule type="colorScale" priority="4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V1">
    <cfRule type="colorScale" priority="4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">
    <cfRule type="colorScale" priority="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">
    <cfRule type="colorScale" priority="4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V1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V1">
    <cfRule type="colorScale" priority="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">
    <cfRule type="colorScale" priority="4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:AV1048576">
    <cfRule type="dataBar" priority="2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{A8559071-2C01-44D9-8EAE-178E70C948D7}</x14:id>
        </ext>
      </extLst>
    </cfRule>
    <cfRule type="colorScale" priority="337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4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U1048576">
    <cfRule type="dataBar" priority="2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{3B9912E0-EBAC-4EFF-A597-E0617888639F}</x14:id>
        </ext>
      </extLst>
    </cfRule>
    <cfRule type="colorScale" priority="338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4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:AT1048576">
    <cfRule type="dataBar" priority="2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{6E4B09BB-34F0-4CE5-B5A0-A172D6E53BBD}</x14:id>
        </ext>
      </extLst>
    </cfRule>
    <cfRule type="colorScale" priority="339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4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:AS1048576">
    <cfRule type="dataBar" priority="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{1D2A42BB-2BB3-4629-A922-97A4C8DFC0E2}</x14:id>
        </ext>
      </extLst>
    </cfRule>
    <cfRule type="colorScale" priority="340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R1:AR1048576">
    <cfRule type="dataBar" priority="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{398FC3BC-5496-48CE-9ECD-55E6BB111478}</x14:id>
        </ext>
      </extLst>
    </cfRule>
    <cfRule type="colorScale" priority="341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1:BR1048576">
    <cfRule type="iconSet" priority="7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74">
      <colorScale>
        <cfvo type="num" val="-1.0000000000000001E-5"/>
        <cfvo type="num" val="0"/>
        <cfvo type="max"/>
        <color rgb="FFF8696B"/>
        <color theme="8" tint="0.79998168889431442"/>
        <color rgb="FF00B0F0"/>
      </colorScale>
    </cfRule>
  </conditionalFormatting>
  <conditionalFormatting sqref="BQ1:BQ1048576">
    <cfRule type="colorScale" priority="627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:BA1048576">
    <cfRule type="iconSet" priority="29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0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:AZ1048576">
    <cfRule type="colorScale" priority="307">
      <colorScale>
        <cfvo type="min"/>
        <cfvo type="percentile" val="50"/>
        <cfvo type="max"/>
        <color rgb="FFF8696B"/>
        <color rgb="FFFCFCFF"/>
        <color rgb="FF5A8AC6"/>
      </colorScale>
    </cfRule>
    <cfRule type="iconSet" priority="327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:I1048576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1:CR1048576">
    <cfRule type="iconSet" priority="26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S1:CS1048576">
    <cfRule type="iconSet" priority="26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CT1048576">
    <cfRule type="iconSet" priority="26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U1:CU1048576">
    <cfRule type="iconSet" priority="26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V1:CV1048576">
    <cfRule type="iconSet" priority="26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W1:CW1048576">
    <cfRule type="iconSet" priority="26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X1:CX1048576">
    <cfRule type="iconSet" priority="248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49">
      <colorScale>
        <cfvo type="min"/>
        <cfvo type="max"/>
        <color rgb="FFFCFCFF"/>
        <color rgb="FFF8696B"/>
      </colorScale>
    </cfRule>
  </conditionalFormatting>
  <conditionalFormatting sqref="CY1:CY1048576">
    <cfRule type="iconSet" priority="246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47">
      <colorScale>
        <cfvo type="min"/>
        <cfvo type="max"/>
        <color rgb="FFFCFCFF"/>
        <color rgb="FFF8696B"/>
      </colorScale>
    </cfRule>
  </conditionalFormatting>
  <conditionalFormatting sqref="S1:S1048576">
    <cfRule type="iconSet" priority="231">
      <iconSet iconSet="3ArrowsGray">
        <cfvo type="percent" val="0"/>
        <cfvo type="percent" val="33"/>
        <cfvo type="percent" val="67"/>
      </iconSet>
    </cfRule>
    <cfRule type="colorScale" priority="234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sqref="T1:T1048576">
    <cfRule type="iconSet" priority="230">
      <iconSet iconSet="3ArrowsGray" reverse="1">
        <cfvo type="percent" val="0"/>
        <cfvo type="percent" val="33"/>
        <cfvo type="percent" val="67"/>
      </iconSet>
    </cfRule>
    <cfRule type="colorScale" priority="233">
      <colorScale>
        <cfvo type="min"/>
        <cfvo type="percentile" val="50"/>
        <cfvo type="max"/>
        <color theme="5" tint="-0.249977111117893"/>
        <color theme="5" tint="0.39997558519241921"/>
        <color theme="5" tint="0.79998168889431442"/>
      </colorScale>
    </cfRule>
  </conditionalFormatting>
  <conditionalFormatting sqref="U1:U1048576">
    <cfRule type="iconSet" priority="229">
      <iconSet iconSet="3ArrowsGray">
        <cfvo type="percent" val="0"/>
        <cfvo type="percent" val="33"/>
        <cfvo type="percent" val="67"/>
      </iconSet>
    </cfRule>
    <cfRule type="colorScale" priority="232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sqref="DA1:DA1048576">
    <cfRule type="iconSet" priority="22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28">
      <colorScale>
        <cfvo type="min"/>
        <cfvo type="percentile" val="50"/>
        <cfvo type="max"/>
        <color rgb="FFF8696B"/>
        <color theme="8" tint="0.79998168889431442"/>
        <color rgb="FF00B0F0"/>
      </colorScale>
    </cfRule>
  </conditionalFormatting>
  <conditionalFormatting sqref="DB1:DB1048576">
    <cfRule type="colorScale" priority="225">
      <colorScale>
        <cfvo type="min"/>
        <cfvo type="percentile" val="50"/>
        <cfvo type="max"/>
        <color rgb="FFF8696B"/>
        <color theme="8" tint="0.39997558519241921"/>
        <color rgb="FF00B0F0"/>
      </colorScale>
    </cfRule>
    <cfRule type="iconSet" priority="226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:P1048576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209">
      <colorScale>
        <cfvo type="min"/>
        <cfvo type="max"/>
        <color rgb="FFFFEF9C"/>
        <color rgb="FF63BE7B"/>
      </colorScale>
    </cfRule>
  </conditionalFormatting>
  <conditionalFormatting sqref="J1:J1048576">
    <cfRule type="containsText" dxfId="2" priority="207" operator="containsText" text="Desconhecido">
      <formula>NOT(ISERROR(SEARCH("Desconhecido",J1)))</formula>
    </cfRule>
  </conditionalFormatting>
  <conditionalFormatting sqref="DE1:DE1048576">
    <cfRule type="iconSet" priority="79">
      <iconSet iconSet="3Arrows">
        <cfvo type="percent" val="0"/>
        <cfvo type="num" val="6.7"/>
        <cfvo type="num" val="7"/>
      </iconSet>
    </cfRule>
    <cfRule type="colorScale" priority="205">
      <colorScale>
        <cfvo type="num" val="6.6"/>
        <cfvo type="num" val="6.7"/>
        <cfvo type="num" val="7"/>
        <color rgb="FFF8696B"/>
        <color rgb="FFFFEB84"/>
        <color rgb="FF63BE7B"/>
      </colorScale>
    </cfRule>
  </conditionalFormatting>
  <conditionalFormatting sqref="CZ1:CZ1048576">
    <cfRule type="iconSet" priority="202">
      <iconSet iconSet="3ArrowsGray" reverse="1">
        <cfvo type="percent" val="0"/>
        <cfvo type="percent" val="33"/>
        <cfvo type="percent" val="67"/>
      </iconSet>
    </cfRule>
    <cfRule type="colorScale" priority="203">
      <colorScale>
        <cfvo type="min"/>
        <cfvo type="max"/>
        <color rgb="FFFCFCFF"/>
        <color rgb="FFF8696B"/>
      </colorScale>
    </cfRule>
  </conditionalFormatting>
  <conditionalFormatting sqref="AE1:AE1048576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:AF1048576">
    <cfRule type="iconSet" priority="181">
      <iconSet iconSet="3Arrows">
        <cfvo type="percent" val="0"/>
        <cfvo type="percent" val="33"/>
        <cfvo type="percent" val="67"/>
      </iconSet>
    </cfRule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:AG1048576">
    <cfRule type="iconSet" priority="180">
      <iconSet iconSet="3Arrows">
        <cfvo type="percent" val="0"/>
        <cfvo type="percent" val="33"/>
        <cfvo type="percent" val="67"/>
      </iconSet>
    </cfRule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:AH1048576">
    <cfRule type="iconSet" priority="179">
      <iconSet iconSet="3Arrows">
        <cfvo type="percent" val="0"/>
        <cfvo type="percent" val="33"/>
        <cfvo type="percent" val="67"/>
      </iconSet>
    </cfRule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:AI1048576">
    <cfRule type="iconSet" priority="183">
      <iconSet iconSet="3Arrows">
        <cfvo type="percent" val="0"/>
        <cfvo type="percent" val="33"/>
        <cfvo type="percent" val="67"/>
      </iconSet>
    </cfRule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:AJ1048576">
    <cfRule type="iconSet" priority="182">
      <iconSet iconSet="3Arrows">
        <cfvo type="percent" val="0"/>
        <cfvo type="percent" val="33"/>
        <cfvo type="percent" val="67"/>
      </iconSet>
    </cfRule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:BF1048576">
    <cfRule type="iconSet" priority="159">
      <iconSet iconSet="3ArrowsGray" reverse="1">
        <cfvo type="percent" val="0"/>
        <cfvo type="percent" val="33"/>
        <cfvo type="percent" val="67"/>
      </iconSet>
    </cfRule>
    <cfRule type="colorScale" priority="160">
      <colorScale>
        <cfvo type="min"/>
        <cfvo type="max"/>
        <color rgb="FFFCFCFF"/>
        <color rgb="FFF8696B"/>
      </colorScale>
    </cfRule>
  </conditionalFormatting>
  <conditionalFormatting sqref="BJ1:BJ1048576">
    <cfRule type="iconSet" priority="7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1:BK1048576">
    <cfRule type="iconSet" priority="7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1:BT1048576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:BU1048576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1:BV1048576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1:BW1048576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1:BX1048576">
    <cfRule type="iconSet" priority="117">
      <iconSet iconSet="3Arrows" reverse="1">
        <cfvo type="percent" val="0"/>
        <cfvo type="percent" val="33"/>
        <cfvo type="percent" val="67"/>
      </iconSet>
    </cfRule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1:BY1048576">
    <cfRule type="iconSet" priority="116">
      <iconSet iconSet="3Arrows" reverse="1">
        <cfvo type="percent" val="0"/>
        <cfvo type="percent" val="33"/>
        <cfvo type="percent" val="67"/>
      </iconSet>
    </cfRule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1:BZ1048576">
    <cfRule type="iconSet" priority="11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1:BI1048576">
    <cfRule type="colorScale" priority="110">
      <colorScale>
        <cfvo type="min"/>
        <cfvo type="max"/>
        <color rgb="FFFCFCFF"/>
        <color rgb="FFF8696B"/>
      </colorScale>
    </cfRule>
  </conditionalFormatting>
  <conditionalFormatting sqref="BS1:BS1048576">
    <cfRule type="iconSet" priority="7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9">
      <colorScale>
        <cfvo type="num" val="-1.0000000000000001E-5"/>
        <cfvo type="num" val="0"/>
        <cfvo type="max"/>
        <color rgb="FFF8696B"/>
        <color theme="4" tint="0.79998168889431442"/>
        <color rgb="FF00B0F0"/>
      </colorScale>
    </cfRule>
  </conditionalFormatting>
  <conditionalFormatting sqref="BL1:BL1048576">
    <cfRule type="iconSet" priority="92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1:BM1048576">
    <cfRule type="iconSet" priority="7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:AM104857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1:BN1048576">
    <cfRule type="colorScale" priority="91">
      <colorScale>
        <cfvo type="num" val="-1"/>
        <cfvo type="num" val="0"/>
        <cfvo type="max"/>
        <color rgb="FF63BE7B"/>
        <color rgb="FFFFEB84"/>
        <color rgb="FFF8696B"/>
      </colorScale>
    </cfRule>
  </conditionalFormatting>
  <conditionalFormatting sqref="BO1:BO1048576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{C86BE21A-C584-4370-89B1-6A1535BCF06A}</x14:id>
        </ext>
      </extLst>
    </cfRule>
    <cfRule type="colorScale" priority="81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H1:CH1048576">
    <cfRule type="iconSet" priority="5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8">
      <colorScale>
        <cfvo type="min"/>
        <cfvo type="percentile" val="50"/>
        <cfvo type="max"/>
        <color rgb="FFF8696B"/>
        <color rgb="FF9BC2E6"/>
        <color rgb="FF2F75B5"/>
      </colorScale>
    </cfRule>
  </conditionalFormatting>
  <conditionalFormatting sqref="CG1:CG1048576">
    <cfRule type="iconSet" priority="5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7">
      <colorScale>
        <cfvo type="min"/>
        <cfvo type="percentile" val="50"/>
        <cfvo type="max"/>
        <color rgb="FFF8696B"/>
        <color rgb="FF9BC2E6"/>
        <color rgb="FF2F75B5"/>
      </colorScale>
    </cfRule>
  </conditionalFormatting>
  <conditionalFormatting sqref="CI1:CI1048576">
    <cfRule type="iconSet" priority="5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6">
      <colorScale>
        <cfvo type="min"/>
        <cfvo type="percentile" val="50"/>
        <cfvo type="max"/>
        <color rgb="FFF8696B"/>
        <color rgb="FF9BC2E6"/>
        <color rgb="FF2F75B5"/>
      </colorScale>
    </cfRule>
  </conditionalFormatting>
  <conditionalFormatting sqref="CJ1:CJ1048576">
    <cfRule type="iconSet" priority="5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5">
      <colorScale>
        <cfvo type="min"/>
        <cfvo type="percentile" val="50"/>
        <cfvo type="max"/>
        <color rgb="FFF8696B"/>
        <color rgb="FF9BC2E6"/>
        <color rgb="FF2F75B5"/>
      </colorScale>
    </cfRule>
  </conditionalFormatting>
  <conditionalFormatting sqref="CK1:CK104857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:AW1048576">
    <cfRule type="dataBar" priority="47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{1493CFCD-0790-4FD3-A8E5-9E185B3F373F}</x14:id>
        </ext>
      </extLst>
    </cfRule>
    <cfRule type="colorScale" priority="49">
      <colorScale>
        <cfvo type="min"/>
        <cfvo type="percentile" val="50"/>
        <cfvo type="max"/>
        <color rgb="FFF8696B"/>
        <color rgb="FFDDEBF7"/>
        <color rgb="FF00B0F0"/>
      </colorScale>
    </cfRule>
  </conditionalFormatting>
  <conditionalFormatting sqref="AX1:AX1048576">
    <cfRule type="dataBar" priority="46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{E6B6B866-5D6E-4392-B419-E248552EB235}</x14:id>
        </ext>
      </extLst>
    </cfRule>
    <cfRule type="colorScale" priority="48">
      <colorScale>
        <cfvo type="min"/>
        <cfvo type="percentile" val="50"/>
        <cfvo type="max"/>
        <color rgb="FFF8696B"/>
        <color rgb="FFDDEBF7"/>
        <color rgb="FF00B0F0"/>
      </colorScale>
    </cfRule>
  </conditionalFormatting>
  <conditionalFormatting sqref="CF1:CF1048576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1:DC104857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{500CE4EC-1C96-47A0-A55A-A81E4C4898D6}</x14:id>
        </ext>
      </extLst>
    </cfRule>
  </conditionalFormatting>
  <conditionalFormatting sqref="DD1:DD1048576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{F63AD596-DA73-4BB7-B99F-9AA81CECC6A1}</x14:id>
        </ext>
      </extLst>
    </cfRule>
  </conditionalFormatting>
  <conditionalFormatting sqref="AP1:AP104857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{71062AEF-5024-4FC4-B4A7-62CBE8B5C620}</x14:id>
        </ext>
      </extLst>
    </cfRule>
    <cfRule type="colorScale" priority="32">
      <colorScale>
        <cfvo type="min"/>
        <cfvo type="percentile" val="50"/>
        <cfvo type="max"/>
        <color rgb="FFF8696B"/>
        <color rgb="FFDDEBF7"/>
        <color rgb="FF00B0F0"/>
      </colorScale>
    </cfRule>
  </conditionalFormatting>
  <conditionalFormatting sqref="AQ1:AQ1048576">
    <cfRule type="colorScale" priority="29">
      <colorScale>
        <cfvo type="min"/>
        <cfvo type="percentile" val="50"/>
        <cfvo type="max"/>
        <color rgb="FFF8696B"/>
        <color rgb="FFDDEBF7"/>
        <color rgb="FF00B0F0"/>
      </colorScale>
    </cfRule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{53F1178E-73AF-4844-8A71-137EF38EE87E}</x14:id>
        </ext>
      </extLst>
    </cfRule>
  </conditionalFormatting>
  <conditionalFormatting sqref="X1:X1048576">
    <cfRule type="dataBar" priority="28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{616CDD5A-108D-4DA4-B0D0-2E8B1EAD6A25}</x14:id>
        </ext>
      </extLst>
    </cfRule>
  </conditionalFormatting>
  <conditionalFormatting sqref="AB1:AB1048576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{B074AD81-C359-4C55-A88E-0F8727A25403}</x14:id>
        </ext>
      </extLst>
    </cfRule>
  </conditionalFormatting>
  <conditionalFormatting sqref="AC1:AC1048576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{27F63595-0215-4BD8-A0DE-C219D91963C3}</x14:id>
        </ext>
      </extLst>
    </cfRule>
  </conditionalFormatting>
  <conditionalFormatting sqref="AD1:AD1048576">
    <cfRule type="dataBar" priority="25">
      <dataBar>
        <cfvo type="min"/>
        <cfvo type="max"/>
        <color rgb="FF9E0000"/>
      </dataBar>
      <extLst>
        <ext xmlns:x14="http://schemas.microsoft.com/office/spreadsheetml/2009/9/main" uri="{B025F937-C7B1-47D3-B67F-A62EFF666E3E}">
          <x14:id>{291E76D7-B0DD-4149-B428-ED4838A99F09}</x14:id>
        </ext>
      </extLst>
    </cfRule>
  </conditionalFormatting>
  <conditionalFormatting sqref="AA1:AA1048576">
    <cfRule type="dataBar" priority="24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{71C64141-8B4B-4B90-9526-9B8A9F88AA13}</x14:id>
        </ext>
      </extLst>
    </cfRule>
  </conditionalFormatting>
  <conditionalFormatting sqref="F1:F1048576">
    <cfRule type="colorScale" priority="22">
      <colorScale>
        <cfvo type="min"/>
        <cfvo type="max"/>
        <color rgb="FFFFEF9C"/>
        <color rgb="FF63BE7B"/>
      </colorScale>
    </cfRule>
  </conditionalFormatting>
  <conditionalFormatting sqref="V1:V1048576">
    <cfRule type="dataBar" priority="21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{59DB5919-548F-4D20-AE1A-A695D3603D38}</x14:id>
        </ext>
      </extLst>
    </cfRule>
  </conditionalFormatting>
  <conditionalFormatting sqref="Z1:Z1048576">
    <cfRule type="dataBar" priority="19">
      <dataBar>
        <cfvo type="min"/>
        <cfvo type="max"/>
        <color rgb="FF007A37"/>
      </dataBar>
      <extLst>
        <ext xmlns:x14="http://schemas.microsoft.com/office/spreadsheetml/2009/9/main" uri="{B025F937-C7B1-47D3-B67F-A62EFF666E3E}">
          <x14:id>{9EDDC49C-E254-42AD-A792-0966907C20D3}</x14:id>
        </ext>
      </extLst>
    </cfRule>
    <cfRule type="iconSet" priority="20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:W1048576">
    <cfRule type="dataBar" priority="16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{08793D9A-8218-429A-AC74-97F285D6F012}</x14:id>
        </ext>
      </extLst>
    </cfRule>
  </conditionalFormatting>
  <conditionalFormatting sqref="Y1:Y1048576">
    <cfRule type="dataBar" priority="15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{DA1AADAF-1ED1-4FC2-849B-BD83A048A890}</x14:id>
        </ext>
      </extLst>
    </cfRule>
  </conditionalFormatting>
  <conditionalFormatting sqref="AN1:AN1048576">
    <cfRule type="dataBar" priority="14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{83B4B4EE-05C9-4ACE-82BF-DDDB51D78264}</x14:id>
        </ext>
      </extLst>
    </cfRule>
  </conditionalFormatting>
  <conditionalFormatting sqref="AO1:AO1048576">
    <cfRule type="dataBar" priority="13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{E884251E-F0BF-43DE-9246-DAD033DBCC0A}</x14:id>
        </ext>
      </extLst>
    </cfRule>
  </conditionalFormatting>
  <conditionalFormatting sqref="CD1:CD1048576">
    <cfRule type="iconSet" priority="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1:CA1048576">
    <cfRule type="dataBar" priority="3">
      <dataBar>
        <cfvo type="min"/>
        <cfvo type="max"/>
        <color rgb="FF2F5281"/>
      </dataBar>
      <extLst>
        <ext xmlns:x14="http://schemas.microsoft.com/office/spreadsheetml/2009/9/main" uri="{B025F937-C7B1-47D3-B67F-A62EFF666E3E}">
          <x14:id>{929970D7-4CA4-408D-9F72-991773F48890}</x14:id>
        </ext>
      </extLst>
    </cfRule>
  </conditionalFormatting>
  <conditionalFormatting sqref="CB1:CB1048576">
    <cfRule type="dataBar" priority="2">
      <dataBar>
        <cfvo type="min"/>
        <cfvo type="max"/>
        <color rgb="FF2F5281"/>
      </dataBar>
      <extLst>
        <ext xmlns:x14="http://schemas.microsoft.com/office/spreadsheetml/2009/9/main" uri="{B025F937-C7B1-47D3-B67F-A62EFF666E3E}">
          <x14:id>{F96BA66A-7716-45FA-AC7A-218AA15AFB63}</x14:id>
        </ext>
      </extLst>
    </cfRule>
  </conditionalFormatting>
  <conditionalFormatting sqref="CC1:CC1048576">
    <cfRule type="dataBar" priority="1">
      <dataBar>
        <cfvo type="min"/>
        <cfvo type="max"/>
        <color rgb="FF2F5281"/>
      </dataBar>
      <extLst>
        <ext xmlns:x14="http://schemas.microsoft.com/office/spreadsheetml/2009/9/main" uri="{B025F937-C7B1-47D3-B67F-A62EFF666E3E}">
          <x14:id>{F171C1FE-C031-4961-8008-89926F589704}</x14:id>
        </ext>
      </extLst>
    </cfRule>
  </conditionalFormatting>
  <conditionalFormatting sqref="CE2:CE11">
    <cfRule type="colorScale" priority="2444020">
      <colorScale>
        <cfvo type="min"/>
        <cfvo type="max"/>
        <color rgb="FFFFEF9C"/>
        <color rgb="FF63BE7B"/>
      </colorScale>
    </cfRule>
  </conditionalFormatting>
  <conditionalFormatting sqref="G2:G11">
    <cfRule type="colorScale" priority="2444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2:CL11">
    <cfRule type="colorScale" priority="24440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2:CM11">
    <cfRule type="colorScale" priority="24440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1">
    <cfRule type="iconSet" priority="244402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444025">
      <colorScale>
        <cfvo type="min"/>
        <cfvo type="num" val="75"/>
        <cfvo type="num" val="90"/>
        <color rgb="FFF8696B"/>
        <color rgb="FFFFEB84"/>
        <color rgb="FF63BE7B"/>
      </colorScale>
    </cfRule>
  </conditionalFormatting>
  <conditionalFormatting sqref="O2:O11">
    <cfRule type="dataBar" priority="24440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{F365465D-6539-4357-B48D-9E53260D4998}</x14:id>
        </ext>
      </extLst>
    </cfRule>
    <cfRule type="colorScale" priority="24440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1">
    <cfRule type="colorScale" priority="24440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8559071-2C01-44D9-8EAE-178E70C948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AV1:AV1048576</xm:sqref>
        </x14:conditionalFormatting>
        <x14:conditionalFormatting xmlns:xm="http://schemas.microsoft.com/office/excel/2006/main">
          <x14:cfRule type="dataBar" id="{3B9912E0-EBAC-4EFF-A597-E061788863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AU1:AU1048576</xm:sqref>
        </x14:conditionalFormatting>
        <x14:conditionalFormatting xmlns:xm="http://schemas.microsoft.com/office/excel/2006/main">
          <x14:cfRule type="dataBar" id="{6E4B09BB-34F0-4CE5-B5A0-A172D6E53B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AT1:AT1048576</xm:sqref>
        </x14:conditionalFormatting>
        <x14:conditionalFormatting xmlns:xm="http://schemas.microsoft.com/office/excel/2006/main">
          <x14:cfRule type="dataBar" id="{1D2A42BB-2BB3-4629-A922-97A4C8DFC0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AS1:AS1048576</xm:sqref>
        </x14:conditionalFormatting>
        <x14:conditionalFormatting xmlns:xm="http://schemas.microsoft.com/office/excel/2006/main">
          <x14:cfRule type="dataBar" id="{398FC3BC-5496-48CE-9ECD-55E6BB1114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AR1:AR1048576</xm:sqref>
        </x14:conditionalFormatting>
        <x14:conditionalFormatting xmlns:xm="http://schemas.microsoft.com/office/excel/2006/main">
          <x14:cfRule type="dataBar" id="{C86BE21A-C584-4370-89B1-6A1535BCF0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BO1:BO1048576</xm:sqref>
        </x14:conditionalFormatting>
        <x14:conditionalFormatting xmlns:xm="http://schemas.microsoft.com/office/excel/2006/main">
          <x14:cfRule type="dataBar" id="{1493CFCD-0790-4FD3-A8E5-9E185B3F37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AW1:AW1048576</xm:sqref>
        </x14:conditionalFormatting>
        <x14:conditionalFormatting xmlns:xm="http://schemas.microsoft.com/office/excel/2006/main">
          <x14:cfRule type="dataBar" id="{E6B6B866-5D6E-4392-B419-E248552EB2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AX1:AX1048576</xm:sqref>
        </x14:conditionalFormatting>
        <x14:conditionalFormatting xmlns:xm="http://schemas.microsoft.com/office/excel/2006/main">
          <x14:cfRule type="dataBar" id="{500CE4EC-1C96-47A0-A55A-A81E4C4898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DC1:DC1048576</xm:sqref>
        </x14:conditionalFormatting>
        <x14:conditionalFormatting xmlns:xm="http://schemas.microsoft.com/office/excel/2006/main">
          <x14:cfRule type="dataBar" id="{F63AD596-DA73-4BB7-B99F-9AA81CECC6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DD1:DD1048576</xm:sqref>
        </x14:conditionalFormatting>
        <x14:conditionalFormatting xmlns:xm="http://schemas.microsoft.com/office/excel/2006/main">
          <x14:cfRule type="dataBar" id="{71062AEF-5024-4FC4-B4A7-62CBE8B5C6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AP1:AP1048576</xm:sqref>
        </x14:conditionalFormatting>
        <x14:conditionalFormatting xmlns:xm="http://schemas.microsoft.com/office/excel/2006/main">
          <x14:cfRule type="dataBar" id="{53F1178E-73AF-4844-8A71-137EF38EE8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AQ1:AQ1048576</xm:sqref>
        </x14:conditionalFormatting>
        <x14:conditionalFormatting xmlns:xm="http://schemas.microsoft.com/office/excel/2006/main">
          <x14:cfRule type="dataBar" id="{616CDD5A-108D-4DA4-B0D0-2E8B1EAD6A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X1:X1048576</xm:sqref>
        </x14:conditionalFormatting>
        <x14:conditionalFormatting xmlns:xm="http://schemas.microsoft.com/office/excel/2006/main">
          <x14:cfRule type="dataBar" id="{B074AD81-C359-4C55-A88E-0F8727A2540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AB1:AB1048576</xm:sqref>
        </x14:conditionalFormatting>
        <x14:conditionalFormatting xmlns:xm="http://schemas.microsoft.com/office/excel/2006/main">
          <x14:cfRule type="dataBar" id="{27F63595-0215-4BD8-A0DE-C219D91963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dataBar" id="{291E76D7-B0DD-4149-B428-ED4838A99F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dataBar" id="{71C64141-8B4B-4B90-9526-9B8A9F88AA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AA1:AA1048576</xm:sqref>
        </x14:conditionalFormatting>
        <x14:conditionalFormatting xmlns:xm="http://schemas.microsoft.com/office/excel/2006/main">
          <x14:cfRule type="dataBar" id="{59DB5919-548F-4D20-AE1A-A695D3603D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V1:V1048576</xm:sqref>
        </x14:conditionalFormatting>
        <x14:conditionalFormatting xmlns:xm="http://schemas.microsoft.com/office/excel/2006/main">
          <x14:cfRule type="dataBar" id="{9EDDC49C-E254-42AD-A792-0966907C20D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Z1:Z1048576</xm:sqref>
        </x14:conditionalFormatting>
        <x14:conditionalFormatting xmlns:xm="http://schemas.microsoft.com/office/excel/2006/main">
          <x14:cfRule type="dataBar" id="{08793D9A-8218-429A-AC74-97F285D6F0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W1:W1048576</xm:sqref>
        </x14:conditionalFormatting>
        <x14:conditionalFormatting xmlns:xm="http://schemas.microsoft.com/office/excel/2006/main">
          <x14:cfRule type="dataBar" id="{DA1AADAF-1ED1-4FC2-849B-BD83A048A8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Y1:Y1048576</xm:sqref>
        </x14:conditionalFormatting>
        <x14:conditionalFormatting xmlns:xm="http://schemas.microsoft.com/office/excel/2006/main">
          <x14:cfRule type="dataBar" id="{83B4B4EE-05C9-4ACE-82BF-DDDB51D782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AN1:AN1048576</xm:sqref>
        </x14:conditionalFormatting>
        <x14:conditionalFormatting xmlns:xm="http://schemas.microsoft.com/office/excel/2006/main">
          <x14:cfRule type="dataBar" id="{E884251E-F0BF-43DE-9246-DAD033DBCC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AO1:AO1048576</xm:sqref>
        </x14:conditionalFormatting>
        <x14:conditionalFormatting xmlns:xm="http://schemas.microsoft.com/office/excel/2006/main">
          <x14:cfRule type="dataBar" id="{929970D7-4CA4-408D-9F72-991773F488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CA1:CA1048576</xm:sqref>
        </x14:conditionalFormatting>
        <x14:conditionalFormatting xmlns:xm="http://schemas.microsoft.com/office/excel/2006/main">
          <x14:cfRule type="dataBar" id="{F96BA66A-7716-45FA-AC7A-218AA15AFB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CB1:CB1048576</xm:sqref>
        </x14:conditionalFormatting>
        <x14:conditionalFormatting xmlns:xm="http://schemas.microsoft.com/office/excel/2006/main">
          <x14:cfRule type="dataBar" id="{F171C1FE-C031-4961-8008-89926F5897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CC1:CC1048576</xm:sqref>
        </x14:conditionalFormatting>
        <x14:conditionalFormatting xmlns:xm="http://schemas.microsoft.com/office/excel/2006/main">
          <x14:cfRule type="dataBar" id="{F365465D-6539-4357-B48D-9E53260D49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O2:O11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8">
    <tabColor rgb="FFFF9393"/>
  </sheetPr>
  <dimension ref="A1:GH1001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 x14ac:dyDescent="0.25"/>
  <cols>
    <col min="2" max="2" width="30.7109375" customWidth="1"/>
    <col min="3" max="3" width="12.5703125" customWidth="1"/>
    <col min="4" max="4" width="17.7109375" customWidth="1"/>
    <col min="5" max="5" width="23.5703125" bestFit="1" customWidth="1"/>
    <col min="6" max="6" width="16.28515625" customWidth="1"/>
    <col min="7" max="7" width="18.28515625" customWidth="1"/>
    <col min="8" max="8" width="15.7109375" style="13" customWidth="1"/>
    <col min="9" max="9" width="19.85546875" style="13" customWidth="1"/>
    <col min="10" max="10" width="22.140625" style="190" customWidth="1"/>
    <col min="11" max="11" width="11.140625" customWidth="1"/>
    <col min="12" max="17" width="18.7109375" customWidth="1"/>
    <col min="18" max="23" width="18.7109375" style="13" customWidth="1"/>
    <col min="24" max="28" width="18.7109375" customWidth="1"/>
    <col min="29" max="29" width="18.7109375" style="13" customWidth="1"/>
    <col min="30" max="36" width="18.7109375" customWidth="1"/>
    <col min="37" max="44" width="18.7109375" style="13" customWidth="1"/>
    <col min="45" max="45" width="18.7109375" style="348" customWidth="1"/>
    <col min="46" max="46" width="18.7109375" style="13" customWidth="1"/>
    <col min="47" max="47" width="18.7109375" style="348" customWidth="1"/>
    <col min="48" max="49" width="20.5703125" style="13" customWidth="1"/>
    <col min="50" max="54" width="18.7109375" style="13" customWidth="1"/>
    <col min="55" max="72" width="18.7109375" customWidth="1"/>
    <col min="73" max="73" width="18.7109375" style="13" customWidth="1"/>
    <col min="74" max="83" width="18.7109375" customWidth="1"/>
    <col min="84" max="93" width="18.7109375" style="13" customWidth="1"/>
    <col min="94" max="140" width="18.7109375" customWidth="1"/>
    <col min="141" max="141" width="8.7109375" customWidth="1"/>
    <col min="142" max="147" width="11.7109375" customWidth="1"/>
    <col min="148" max="148" width="11.7109375" style="1" customWidth="1"/>
    <col min="149" max="149" width="11.7109375" style="152" customWidth="1"/>
    <col min="150" max="150" width="11.7109375" customWidth="1"/>
    <col min="151" max="151" width="11.7109375" style="1" customWidth="1"/>
    <col min="152" max="152" width="11.7109375" style="152" customWidth="1"/>
    <col min="153" max="190" width="11.7109375" style="1" customWidth="1"/>
    <col min="196" max="196" width="10.42578125" bestFit="1" customWidth="1"/>
  </cols>
  <sheetData>
    <row r="1" spans="1:190" ht="50.1" customHeight="1" thickBot="1" x14ac:dyDescent="0.3">
      <c r="A1" s="112"/>
      <c r="B1" s="4" t="s">
        <v>20</v>
      </c>
      <c r="C1" s="4" t="s">
        <v>214</v>
      </c>
      <c r="D1" s="94" t="s">
        <v>232</v>
      </c>
      <c r="E1" s="4" t="s">
        <v>28</v>
      </c>
      <c r="F1" s="4" t="s">
        <v>29</v>
      </c>
      <c r="G1" s="4" t="s">
        <v>88</v>
      </c>
      <c r="H1" s="4" t="s">
        <v>1</v>
      </c>
      <c r="I1" s="85" t="s">
        <v>3</v>
      </c>
      <c r="J1" s="4" t="s">
        <v>2</v>
      </c>
      <c r="K1" s="4" t="s">
        <v>231</v>
      </c>
      <c r="L1" s="30" t="s">
        <v>121</v>
      </c>
      <c r="M1" s="30" t="s">
        <v>420</v>
      </c>
      <c r="N1" s="30" t="s">
        <v>421</v>
      </c>
      <c r="O1" s="30" t="s">
        <v>424</v>
      </c>
      <c r="P1" s="30" t="s">
        <v>123</v>
      </c>
      <c r="Q1" s="30" t="s">
        <v>118</v>
      </c>
      <c r="R1" s="31" t="s">
        <v>55</v>
      </c>
      <c r="S1" s="31" t="s">
        <v>127</v>
      </c>
      <c r="T1" s="31" t="s">
        <v>128</v>
      </c>
      <c r="U1" s="98" t="s">
        <v>38</v>
      </c>
      <c r="V1" s="98" t="s">
        <v>417</v>
      </c>
      <c r="W1" s="98" t="s">
        <v>416</v>
      </c>
      <c r="X1" s="224" t="s">
        <v>22</v>
      </c>
      <c r="Y1" s="224" t="s">
        <v>24</v>
      </c>
      <c r="Z1" s="224" t="s">
        <v>66</v>
      </c>
      <c r="AA1" s="224" t="s">
        <v>979</v>
      </c>
      <c r="AB1" s="224" t="s">
        <v>318</v>
      </c>
      <c r="AC1" s="224" t="s">
        <v>242</v>
      </c>
      <c r="AD1" s="224" t="s">
        <v>570</v>
      </c>
      <c r="AE1" s="218" t="s">
        <v>124</v>
      </c>
      <c r="AF1" s="218" t="s">
        <v>125</v>
      </c>
      <c r="AG1" s="218" t="s">
        <v>126</v>
      </c>
      <c r="AH1" s="218" t="s">
        <v>316</v>
      </c>
      <c r="AI1" s="218" t="s">
        <v>317</v>
      </c>
      <c r="AJ1" s="218" t="s">
        <v>591</v>
      </c>
      <c r="AK1" s="219" t="s">
        <v>571</v>
      </c>
      <c r="AL1" s="142" t="s">
        <v>439</v>
      </c>
      <c r="AM1" s="142" t="s">
        <v>440</v>
      </c>
      <c r="AN1" s="142" t="s">
        <v>318</v>
      </c>
      <c r="AO1" s="142" t="s">
        <v>437</v>
      </c>
      <c r="AP1" s="142" t="s">
        <v>438</v>
      </c>
      <c r="AQ1" s="142" t="s">
        <v>319</v>
      </c>
      <c r="AR1" s="104" t="s">
        <v>822</v>
      </c>
      <c r="AS1" s="347" t="s">
        <v>825</v>
      </c>
      <c r="AT1" s="104" t="s">
        <v>816</v>
      </c>
      <c r="AU1" s="347" t="s">
        <v>826</v>
      </c>
      <c r="AV1" s="104" t="s">
        <v>823</v>
      </c>
      <c r="AW1" s="104" t="s">
        <v>817</v>
      </c>
      <c r="AX1" s="104" t="s">
        <v>241</v>
      </c>
      <c r="AY1" s="104" t="s">
        <v>238</v>
      </c>
      <c r="AZ1" s="105" t="s">
        <v>239</v>
      </c>
      <c r="BA1" s="104" t="s">
        <v>320</v>
      </c>
      <c r="BB1" s="104" t="s">
        <v>240</v>
      </c>
      <c r="BC1" s="73" t="s">
        <v>56</v>
      </c>
      <c r="BD1" s="73" t="s">
        <v>57</v>
      </c>
      <c r="BE1" s="73" t="s">
        <v>159</v>
      </c>
      <c r="BF1" s="73" t="s">
        <v>149</v>
      </c>
      <c r="BG1" s="73" t="s">
        <v>58</v>
      </c>
      <c r="BH1" s="87" t="s">
        <v>60</v>
      </c>
      <c r="BI1" s="87" t="s">
        <v>59</v>
      </c>
      <c r="BJ1" s="370" t="s">
        <v>923</v>
      </c>
      <c r="BK1" s="370" t="s">
        <v>924</v>
      </c>
      <c r="BL1" s="41" t="s">
        <v>426</v>
      </c>
      <c r="BM1" s="41" t="s">
        <v>330</v>
      </c>
      <c r="BN1" s="41" t="s">
        <v>329</v>
      </c>
      <c r="BO1" s="41" t="s">
        <v>436</v>
      </c>
      <c r="BP1" s="16" t="s">
        <v>435</v>
      </c>
      <c r="BQ1" s="40" t="s">
        <v>61</v>
      </c>
      <c r="BR1" s="40" t="s">
        <v>86</v>
      </c>
      <c r="BS1" s="40" t="s">
        <v>217</v>
      </c>
      <c r="BT1" s="174" t="s">
        <v>399</v>
      </c>
      <c r="BU1" s="46" t="s">
        <v>471</v>
      </c>
      <c r="BV1" s="33" t="s">
        <v>116</v>
      </c>
      <c r="BW1" s="33" t="s">
        <v>354</v>
      </c>
      <c r="BX1" s="33" t="s">
        <v>355</v>
      </c>
      <c r="BY1" s="33" t="s">
        <v>115</v>
      </c>
      <c r="BZ1" s="4" t="s">
        <v>371</v>
      </c>
      <c r="CA1" s="4" t="s">
        <v>389</v>
      </c>
      <c r="CB1" s="280" t="s">
        <v>484</v>
      </c>
      <c r="CC1" s="280" t="s">
        <v>483</v>
      </c>
      <c r="CD1" s="153" t="s">
        <v>62</v>
      </c>
      <c r="CE1" s="153" t="s">
        <v>477</v>
      </c>
      <c r="CF1" s="46" t="s">
        <v>332</v>
      </c>
      <c r="CG1" s="46" t="s">
        <v>333</v>
      </c>
      <c r="CH1" s="46" t="s">
        <v>334</v>
      </c>
      <c r="CI1" s="46" t="s">
        <v>335</v>
      </c>
      <c r="CJ1" s="46" t="s">
        <v>336</v>
      </c>
      <c r="CK1" s="46" t="s">
        <v>337</v>
      </c>
      <c r="CL1" s="46" t="s">
        <v>357</v>
      </c>
      <c r="CM1" s="46" t="s">
        <v>327</v>
      </c>
      <c r="CN1" s="46" t="s">
        <v>541</v>
      </c>
      <c r="CO1" s="32" t="s">
        <v>433</v>
      </c>
      <c r="CP1" s="32" t="s">
        <v>107</v>
      </c>
      <c r="CQ1" s="32" t="s">
        <v>326</v>
      </c>
      <c r="CR1" s="32" t="s">
        <v>109</v>
      </c>
      <c r="CS1" s="4" t="s">
        <v>390</v>
      </c>
      <c r="CT1" s="4" t="s">
        <v>485</v>
      </c>
      <c r="CU1" s="4" t="s">
        <v>140</v>
      </c>
      <c r="CV1" s="4" t="s">
        <v>486</v>
      </c>
      <c r="CW1" s="4" t="s">
        <v>47</v>
      </c>
      <c r="CX1" s="359" t="s">
        <v>92</v>
      </c>
      <c r="CY1" s="359" t="s">
        <v>171</v>
      </c>
      <c r="CZ1" s="336" t="s">
        <v>430</v>
      </c>
      <c r="DA1" s="4" t="s">
        <v>374</v>
      </c>
      <c r="DB1" s="4" t="s">
        <v>376</v>
      </c>
      <c r="DC1" s="4" t="s">
        <v>375</v>
      </c>
      <c r="DD1" s="4" t="s">
        <v>378</v>
      </c>
      <c r="DE1" s="4" t="s">
        <v>377</v>
      </c>
      <c r="DF1" s="94" t="s">
        <v>339</v>
      </c>
      <c r="DG1" s="162" t="s">
        <v>42</v>
      </c>
      <c r="DH1" s="37" t="s">
        <v>323</v>
      </c>
      <c r="DI1" s="37" t="s">
        <v>324</v>
      </c>
      <c r="DJ1" s="40" t="s">
        <v>18</v>
      </c>
      <c r="DK1" s="40" t="s">
        <v>81</v>
      </c>
      <c r="DL1" s="40" t="s">
        <v>431</v>
      </c>
      <c r="DM1" s="40" t="s">
        <v>177</v>
      </c>
      <c r="DN1" s="120" t="s">
        <v>458</v>
      </c>
      <c r="DO1" s="119" t="s">
        <v>496</v>
      </c>
      <c r="DP1" s="119" t="s">
        <v>459</v>
      </c>
      <c r="DQ1" s="119" t="s">
        <v>497</v>
      </c>
      <c r="DR1" s="214" t="s">
        <v>461</v>
      </c>
      <c r="DS1" s="214" t="s">
        <v>460</v>
      </c>
      <c r="DT1" s="48" t="s">
        <v>462</v>
      </c>
      <c r="DU1" s="22" t="s">
        <v>248</v>
      </c>
      <c r="DV1" s="22" t="s">
        <v>249</v>
      </c>
      <c r="DW1" s="46" t="s">
        <v>136</v>
      </c>
      <c r="DX1" s="200" t="s">
        <v>488</v>
      </c>
      <c r="DY1" s="200" t="s">
        <v>489</v>
      </c>
      <c r="DZ1" s="200" t="s">
        <v>487</v>
      </c>
      <c r="EA1" s="200" t="s">
        <v>490</v>
      </c>
      <c r="EB1" s="200" t="s">
        <v>491</v>
      </c>
      <c r="EC1" s="46" t="s">
        <v>495</v>
      </c>
      <c r="ED1" s="46" t="s">
        <v>208</v>
      </c>
      <c r="EE1" s="71" t="s">
        <v>160</v>
      </c>
      <c r="EF1" s="46" t="s">
        <v>373</v>
      </c>
      <c r="EG1" s="43" t="s">
        <v>414</v>
      </c>
      <c r="EH1" s="43" t="s">
        <v>415</v>
      </c>
      <c r="EI1" s="43" t="s">
        <v>180</v>
      </c>
      <c r="EJ1" s="110" t="s">
        <v>25</v>
      </c>
      <c r="EK1" s="292" t="s">
        <v>14</v>
      </c>
      <c r="EL1" s="293" t="s">
        <v>620</v>
      </c>
      <c r="EM1" s="293" t="s">
        <v>20</v>
      </c>
      <c r="EN1" s="293" t="s">
        <v>1</v>
      </c>
      <c r="EO1" s="293" t="s">
        <v>0</v>
      </c>
      <c r="EP1" s="293" t="s">
        <v>29</v>
      </c>
      <c r="EQ1" s="293" t="s">
        <v>40</v>
      </c>
      <c r="ER1" s="293" t="s">
        <v>2</v>
      </c>
      <c r="ES1" s="293" t="s">
        <v>3</v>
      </c>
      <c r="ET1" s="293" t="s">
        <v>89</v>
      </c>
      <c r="EU1" s="293" t="s">
        <v>621</v>
      </c>
      <c r="EV1" s="293" t="s">
        <v>682</v>
      </c>
      <c r="EW1" s="293" t="s">
        <v>30</v>
      </c>
      <c r="EX1" s="293" t="s">
        <v>683</v>
      </c>
      <c r="EY1" s="293" t="s">
        <v>684</v>
      </c>
      <c r="EZ1" s="293" t="s">
        <v>4</v>
      </c>
      <c r="FA1" s="293" t="s">
        <v>6</v>
      </c>
      <c r="FB1" s="293" t="s">
        <v>119</v>
      </c>
      <c r="FC1" s="293" t="s">
        <v>179</v>
      </c>
      <c r="FD1" s="293" t="s">
        <v>7</v>
      </c>
      <c r="FE1" s="293" t="s">
        <v>166</v>
      </c>
      <c r="FF1" s="293" t="s">
        <v>645</v>
      </c>
      <c r="FG1" s="293" t="s">
        <v>646</v>
      </c>
      <c r="FH1" s="293" t="s">
        <v>15</v>
      </c>
      <c r="FI1" s="293" t="s">
        <v>16</v>
      </c>
      <c r="FJ1" s="293" t="s">
        <v>648</v>
      </c>
      <c r="FK1" s="293" t="s">
        <v>647</v>
      </c>
      <c r="FL1" s="293" t="s">
        <v>10</v>
      </c>
      <c r="FM1" s="293" t="s">
        <v>8</v>
      </c>
      <c r="FN1" s="293" t="s">
        <v>9</v>
      </c>
      <c r="FO1" s="293" t="s">
        <v>11</v>
      </c>
      <c r="FP1" s="293" t="s">
        <v>17</v>
      </c>
      <c r="FQ1" s="293" t="s">
        <v>189</v>
      </c>
      <c r="FR1" s="293" t="s">
        <v>190</v>
      </c>
      <c r="FS1" s="293" t="s">
        <v>104</v>
      </c>
      <c r="FT1" s="293" t="s">
        <v>635</v>
      </c>
      <c r="FU1" s="293" t="s">
        <v>41</v>
      </c>
      <c r="FV1" s="293" t="s">
        <v>568</v>
      </c>
      <c r="FW1" s="293" t="s">
        <v>569</v>
      </c>
      <c r="FX1" s="293" t="s">
        <v>93</v>
      </c>
      <c r="FY1" s="293" t="s">
        <v>94</v>
      </c>
      <c r="FZ1" s="293" t="s">
        <v>810</v>
      </c>
      <c r="GA1" s="293" t="s">
        <v>786</v>
      </c>
      <c r="GB1" s="293" t="s">
        <v>685</v>
      </c>
      <c r="GC1" s="293" t="s">
        <v>12</v>
      </c>
      <c r="GD1" s="293" t="s">
        <v>5</v>
      </c>
      <c r="GE1" s="293" t="s">
        <v>103</v>
      </c>
      <c r="GF1" s="293" t="s">
        <v>167</v>
      </c>
      <c r="GG1" s="293" t="s">
        <v>18</v>
      </c>
      <c r="GH1" s="294" t="s">
        <v>642</v>
      </c>
    </row>
    <row r="2" spans="1:190" ht="24.95" customHeight="1" thickBot="1" x14ac:dyDescent="0.3">
      <c r="A2" s="29" t="str">
        <f t="shared" ref="A2:A11" si="0">ROW()-1 &amp; "º"</f>
        <v>1º</v>
      </c>
      <c r="B2" s="69" t="str">
        <f t="shared" ref="B2:B11" si="1">EM2</f>
        <v>André Luís</v>
      </c>
      <c r="C2" s="86" t="str">
        <f t="shared" ref="C2:C11" si="2">EL2</f>
        <v>BRA</v>
      </c>
      <c r="D2" s="99" t="str">
        <f t="shared" ref="D2:D11" si="3">EQ2</f>
        <v>Pé Direito</v>
      </c>
      <c r="E2" s="28" t="str">
        <f t="shared" ref="E2:E11" si="4">EO2</f>
        <v>Mirassol</v>
      </c>
      <c r="F2" s="167">
        <f t="shared" ref="F2:F11" si="5">IFERROR(SUBSTITUTE(EP2," cm","")/100,0)</f>
        <v>1.84</v>
      </c>
      <c r="G2" s="150">
        <f t="shared" ref="G2:G11" si="6">IF(ET2="-", "Sem Data Final", ET2)</f>
        <v>46752</v>
      </c>
      <c r="H2" s="169">
        <f t="shared" ref="H2:H11" si="7">EN2</f>
        <v>31</v>
      </c>
      <c r="I2" s="203" t="str">
        <f t="shared" ref="I2:I11" si="8">ES2</f>
        <v>11,5m € p/m</v>
      </c>
      <c r="J2" s="189" t="str">
        <f t="shared" ref="J2:J11" si="9">ER2</f>
        <v>Não está à venda</v>
      </c>
      <c r="K2" s="96">
        <f t="shared" ref="K2:K11" si="10">IFERROR(AVERAGE(L:L),0)</f>
        <v>23.671111111111109</v>
      </c>
      <c r="L2" s="146">
        <f t="shared" ref="L2:L11" si="11">IFERROR(EU2/90,0)</f>
        <v>23.31111111111111</v>
      </c>
      <c r="M2" s="146">
        <f t="shared" ref="M2:M11" si="12">IFERROR(IF(ISERROR(FIND("(",EV2)), VALUE(EV2), VALUE(LEFT(EV2,FIND("(",EV2)-2)) + VALUE(MID(EV2,FIND("(",EV2)+1,FIND(")",EV2)-FIND("(",EV2)-1))),0)</f>
        <v>39</v>
      </c>
      <c r="N2" s="146">
        <f t="shared" ref="N2:N11" si="13">IFERROR(EU2/M2,0)</f>
        <v>53.794871794871796</v>
      </c>
      <c r="O2" s="187">
        <f t="shared" ref="O2:O11" si="14">IFERROR(IF(ISERROR(FIND("(",EV2)), "100%", TEXT(VALUE(LEFT(EV2,FIND("(",EV2)-2)) / (VALUE(LEFT(EV2,FIND("(",EV2)-2)) + VALUE(MID(EV2,FIND("(",EV2)+1,FIND(")",EV2)-FIND("(",EV2)-1))),"0%")),0)*1</f>
        <v>0.72</v>
      </c>
      <c r="P2" s="2">
        <f t="shared" ref="P2:P11" si="15">FA2</f>
        <v>91</v>
      </c>
      <c r="Q2" s="5">
        <f t="shared" ref="Q2:Q11" si="16">IFERROR(FA2/FB2,0)</f>
        <v>0.37759336099585061</v>
      </c>
      <c r="R2" s="5">
        <f t="shared" ref="R2:R11" si="17">IFERROR(EX2/L2,0)</f>
        <v>0.68636796949475698</v>
      </c>
      <c r="S2" s="5">
        <f t="shared" ref="S2:S11" si="18">IFERROR((X2+Y2)/L2,0)</f>
        <v>0.81506196377502382</v>
      </c>
      <c r="T2" s="5">
        <f t="shared" ref="T2:T11" si="19">IFERROR((Y2)/L2,0)</f>
        <v>0.12869399428026693</v>
      </c>
      <c r="U2" s="6">
        <f t="shared" ref="U2:U11" si="20">EW2</f>
        <v>3</v>
      </c>
      <c r="V2" s="24">
        <f t="shared" ref="V2:V11" si="21">IFERROR(EU2/U2,5000)</f>
        <v>699.33333333333337</v>
      </c>
      <c r="W2" s="21">
        <f t="shared" ref="W2:W11" si="22">IFERROR(U2/L2,0)</f>
        <v>0.12869399428026693</v>
      </c>
      <c r="X2" s="2">
        <f t="shared" ref="X2:X11" si="23">EX2</f>
        <v>16</v>
      </c>
      <c r="Y2" s="2">
        <f t="shared" ref="Y2:Y11" si="24">EY2</f>
        <v>3</v>
      </c>
      <c r="Z2" s="2">
        <f t="shared" ref="Z2:Z11" si="25">IFERROR(X2+Y2,0)</f>
        <v>19</v>
      </c>
      <c r="AA2" s="371">
        <f t="shared" ref="AA2:AA11" si="26">EX2-GD2-FZ2</f>
        <v>11</v>
      </c>
      <c r="AB2" s="371">
        <f t="shared" ref="AB2:AB11" si="27">FZ2</f>
        <v>5</v>
      </c>
      <c r="AC2" s="372">
        <f t="shared" ref="AC2:AC11" si="28">AY2</f>
        <v>0</v>
      </c>
      <c r="AD2" s="6">
        <f t="shared" ref="AD2:AD11" si="29">IFERROR(EX2-GE2,0)</f>
        <v>16</v>
      </c>
      <c r="AE2" s="20">
        <f t="shared" ref="AE2:AE11" si="30">IFERROR((X2-AC2)/X2,0)</f>
        <v>1</v>
      </c>
      <c r="AF2" s="20">
        <f t="shared" ref="AF2:AF11" si="31">IFERROR(Y2/Z2,0)</f>
        <v>0.15789473684210525</v>
      </c>
      <c r="AG2" s="20">
        <f t="shared" ref="AG2:AG11" si="32">IFERROR((AY2*1)/Z2,0)</f>
        <v>0</v>
      </c>
      <c r="AH2" s="5">
        <f t="shared" ref="AH2:AH11" si="33">IFERROR(X2/L2,0)</f>
        <v>0.68636796949475698</v>
      </c>
      <c r="AI2" s="5">
        <f t="shared" ref="AI2:AI11" si="34">IFERROR(Y2/L2,0)</f>
        <v>0.12869399428026693</v>
      </c>
      <c r="AJ2" s="5">
        <f t="shared" ref="AJ2:AJ11" si="35">IFERROR((EX2+EY2)/L2,0)</f>
        <v>0.81506196377502382</v>
      </c>
      <c r="AK2" s="5">
        <f t="shared" ref="AK2:AK11" si="36">IFERROR(AD2/L2,0)</f>
        <v>0.68636796949475698</v>
      </c>
      <c r="AL2" s="6">
        <f t="shared" ref="AL2:AL11" si="37">IFERROR(EX2-FZ2-GD2,0)</f>
        <v>11</v>
      </c>
      <c r="AM2" s="5">
        <f t="shared" ref="AM2:AM11" si="38">IFERROR(AL2/L2,0)</f>
        <v>0.47187797902764539</v>
      </c>
      <c r="AN2" s="6">
        <f t="shared" ref="AN2:AN11" si="39">FZ2</f>
        <v>5</v>
      </c>
      <c r="AO2" s="5">
        <f t="shared" ref="AO2:AO11" si="40">IFERROR(AN2/L2,0)</f>
        <v>0.21448999046711154</v>
      </c>
      <c r="AP2" s="5">
        <f t="shared" ref="AP2:AP11" si="41">GA2</f>
        <v>1.5</v>
      </c>
      <c r="AQ2" s="21">
        <f t="shared" ref="AQ2:AQ11" si="42">IFERROR((AO2*1)/AP2,0)</f>
        <v>0.14299332697807435</v>
      </c>
      <c r="AR2" s="328">
        <f t="shared" ref="AR2:AR11" si="43">FX2-FV2</f>
        <v>0</v>
      </c>
      <c r="AS2" s="329">
        <f t="shared" ref="AS2:AS11" si="44">AR2/L2</f>
        <v>0</v>
      </c>
      <c r="AT2" s="328">
        <f t="shared" ref="AT2:AT11" si="45">FY2-FW2</f>
        <v>0</v>
      </c>
      <c r="AU2" s="329">
        <f t="shared" ref="AU2:AU11" si="46">AT2/L2</f>
        <v>0</v>
      </c>
      <c r="AV2" s="332">
        <f t="shared" ref="AV2:AV11" si="47">IFERROR(AT2/AR2,)</f>
        <v>0</v>
      </c>
      <c r="AW2" s="343">
        <f t="shared" ref="AW2:AW11" si="48">GB2</f>
        <v>0</v>
      </c>
      <c r="AX2" s="328">
        <f t="shared" ref="AX2:AX11" si="49">GD2</f>
        <v>0</v>
      </c>
      <c r="AY2" s="328">
        <f t="shared" ref="AY2:AY11" si="50">GE2</f>
        <v>0</v>
      </c>
      <c r="AZ2" s="346">
        <f t="shared" ref="AZ2:AZ11" si="51">IFERROR(GD2-GE2,0)</f>
        <v>0</v>
      </c>
      <c r="BA2" s="329">
        <f t="shared" ref="BA2:BA11" si="52">IFERROR(AY2/L2,0)</f>
        <v>0</v>
      </c>
      <c r="BB2" s="20">
        <f t="shared" ref="BB2:BB11" si="53">IFERROR((AY2*1)/GD2,0.00001)</f>
        <v>1.0000000000000001E-5</v>
      </c>
      <c r="BC2" s="2">
        <f t="shared" ref="BC2:BC11" si="54">FO2</f>
        <v>193</v>
      </c>
      <c r="BD2" s="2">
        <f t="shared" ref="BD2:BD11" si="55">FP2</f>
        <v>86</v>
      </c>
      <c r="BE2" s="5">
        <f t="shared" ref="BE2:BE11" si="56">IFERROR(BC2/L2,0)</f>
        <v>8.2793136320305063</v>
      </c>
      <c r="BF2" s="5">
        <f t="shared" ref="BF2:BF11" si="57">IFERROR(BD2/L2,0)</f>
        <v>3.6892278360343185</v>
      </c>
      <c r="BG2" s="2">
        <f t="shared" ref="BG2:BG11" si="58">IFERROR(FO2-FP2,0)</f>
        <v>107</v>
      </c>
      <c r="BH2" s="107">
        <f t="shared" ref="BH2:BH11" si="59">IFERROR((BD2*1)/BC2,0)</f>
        <v>0.44559585492227977</v>
      </c>
      <c r="BI2" s="107">
        <f t="shared" ref="BI2:BI11" si="60">IFERROR(100%-BH2,0)</f>
        <v>0.55440414507772018</v>
      </c>
      <c r="BJ2" s="355">
        <f t="shared" ref="BJ2:BJ11" si="61">GC2</f>
        <v>35</v>
      </c>
      <c r="BK2" s="329">
        <f t="shared" ref="BK2:BK11" si="62">IFERROR(GC2/L2,0)</f>
        <v>1.5014299332697809</v>
      </c>
      <c r="BL2" s="6">
        <f t="shared" ref="BL2:BL11" si="63">FM2</f>
        <v>79</v>
      </c>
      <c r="BM2" s="5">
        <f t="shared" ref="BM2:BM11" si="64">IFERROR(BL2/L2,0)</f>
        <v>3.3889418493803625</v>
      </c>
      <c r="BN2" s="6">
        <f t="shared" ref="BN2:BN11" si="65">FN2</f>
        <v>32</v>
      </c>
      <c r="BO2" s="5">
        <f t="shared" ref="BO2:BO11" si="66">IFERROR(BN2/L2,0)</f>
        <v>1.372735938989514</v>
      </c>
      <c r="BP2" s="21">
        <f t="shared" ref="BP2:BP11" si="67">IFERROR((FN2*1)/FM2,0)</f>
        <v>0.4050632911392405</v>
      </c>
      <c r="BQ2" s="5">
        <f t="shared" ref="BQ2:BQ11" si="68">IFERROR((FM2-GD2)/(EX2-GE2),0)</f>
        <v>4.9375</v>
      </c>
      <c r="BR2" s="5">
        <f t="shared" ref="BR2:BR11" si="69">IFERROR((FN2-GD2)/(EX2-GE2),0)</f>
        <v>2</v>
      </c>
      <c r="BS2" s="5">
        <f t="shared" ref="BS2:BS11" si="70">IFERROR((FM2+FO2-GD2)/(EX2-GE2),0)</f>
        <v>17</v>
      </c>
      <c r="BT2" s="107">
        <f t="shared" ref="BT2:BT11" si="71">IFERROR((EX2-GE2)/(FM2-GD2),0)</f>
        <v>0.20253164556962025</v>
      </c>
      <c r="BU2" s="5">
        <f t="shared" ref="BU2:BU11" si="72">IFERROR(((X2-AY2)/CH2)*(AD2/L2),0)</f>
        <v>1.2148105654774461</v>
      </c>
      <c r="BV2" s="5">
        <f t="shared" ref="BV2:BV11" si="73">IFERROR(CF2/(L2),0)</f>
        <v>0.38779790276453763</v>
      </c>
      <c r="BW2" s="5">
        <f t="shared" ref="BW2:BW11" si="74">IFERROR(EX2/L2,0)</f>
        <v>0.68636796949475698</v>
      </c>
      <c r="BX2" s="279">
        <f t="shared" ref="BX2:BX11" si="75">IFERROR(BW2-BV2,0)</f>
        <v>0.29857006673021935</v>
      </c>
      <c r="BY2" s="278">
        <f t="shared" ref="BY2:BY11" si="76">IFERROR(CH2/(FM2-GD2),0)</f>
        <v>0.11443037974683543</v>
      </c>
      <c r="BZ2" s="5">
        <f t="shared" ref="BZ2:BZ11" si="77">IFERROR(EU2/FM2,0)</f>
        <v>26.556962025316455</v>
      </c>
      <c r="CA2" s="5">
        <f t="shared" ref="CA2:CA11" si="78">IFERROR(EU2/FN2,0)</f>
        <v>65.5625</v>
      </c>
      <c r="CB2" s="5">
        <f t="shared" ref="CB2:CB11" si="79">IFERROR(EU2/EX2,L2*90)</f>
        <v>131.125</v>
      </c>
      <c r="CC2" s="5">
        <f t="shared" ref="CC2:CC11" si="80">IFERROR(EU2/Z2,300)</f>
        <v>110.42105263157895</v>
      </c>
      <c r="CD2" s="5">
        <f t="shared" ref="CD2:CD11" si="81">IFERROR(EX2-CF2,0)</f>
        <v>6.9600000000000009</v>
      </c>
      <c r="CE2" s="5">
        <f>IFERROR((EX2-GE2)-CH2,0)</f>
        <v>6.9600000000000009</v>
      </c>
      <c r="CF2" s="5">
        <f t="shared" ref="CF2:CF11" si="82">SUBSTITUTE(FD2,".","," )*1</f>
        <v>9.0399999999999991</v>
      </c>
      <c r="CG2" s="5">
        <f t="shared" ref="CG2:CG11" si="83">IFERROR(CF2/L2,0)</f>
        <v>0.38779790276453763</v>
      </c>
      <c r="CH2" s="5">
        <f t="shared" ref="CH2:CH11" si="84">IFERROR(CF2-(GD2*0.79),0)</f>
        <v>9.0399999999999991</v>
      </c>
      <c r="CI2" s="5">
        <f t="shared" ref="CI2:CI11" si="85">IFERROR((CH2/L2),0)</f>
        <v>0.38779790276453763</v>
      </c>
      <c r="CJ2" s="5">
        <f t="shared" ref="CJ2:CJ11" si="86">SUBSTITUTE(FE2,".","," )*1</f>
        <v>2.34</v>
      </c>
      <c r="CK2" s="5">
        <f t="shared" ref="CK2:CK11" si="87">IFERROR(CJ2/L2,0)</f>
        <v>0.1003813155386082</v>
      </c>
      <c r="CL2" s="5">
        <f t="shared" ref="CL2:CL11" si="88">IFERROR(CJ2+CH2,0)</f>
        <v>11.379999999999999</v>
      </c>
      <c r="CM2" s="5">
        <f t="shared" ref="CM2:CM11" si="89">IFERROR(CL2/L2,0)</f>
        <v>0.48817921830314581</v>
      </c>
      <c r="CN2" s="21">
        <f t="shared" ref="CN2:CN11" si="90">EX2/(EX2+CF2)</f>
        <v>0.63897763578274758</v>
      </c>
      <c r="CO2" s="6">
        <f t="shared" ref="CO2:CO11" si="91">FJ2</f>
        <v>22</v>
      </c>
      <c r="CP2" s="5">
        <f t="shared" ref="CP2:CP11" si="92">IFERROR(CO2/L2,0)</f>
        <v>0.94375595805529078</v>
      </c>
      <c r="CQ2" s="5">
        <f t="shared" ref="CQ2:CQ11" si="93">CJ2</f>
        <v>2.34</v>
      </c>
      <c r="CR2" s="5">
        <f t="shared" ref="CR2:CR11" si="94">IFERROR(CJ2-EY2,0)</f>
        <v>-0.66000000000000014</v>
      </c>
      <c r="CS2" s="6">
        <f t="shared" ref="CS2:CS11" si="95">FV2</f>
        <v>15</v>
      </c>
      <c r="CT2" s="5">
        <f t="shared" ref="CT2:CT11" si="96">CS2/L2</f>
        <v>0.64346997140133466</v>
      </c>
      <c r="CU2" s="6">
        <f t="shared" ref="CU2:CU11" si="97">FW2</f>
        <v>2</v>
      </c>
      <c r="CV2" s="5">
        <f t="shared" ref="CV2:CV11" si="98">CU2/L2</f>
        <v>8.5795996186844622E-2</v>
      </c>
      <c r="CW2" s="21">
        <f t="shared" ref="CW2:CW11" si="99">IFERROR(CU2/CS2,0)</f>
        <v>0.13333333333333333</v>
      </c>
      <c r="CX2" s="357">
        <f t="shared" ref="CX2:CX11" si="100">FL2</f>
        <v>35</v>
      </c>
      <c r="CY2" s="358">
        <f t="shared" ref="CY2:CY11" si="101">IFERROR(FL2/L2,0)</f>
        <v>1.5014299332697809</v>
      </c>
      <c r="CZ2" s="210">
        <f t="shared" ref="CZ2:CZ11" si="102">IFERROR((((DJ2*1000)/(EU2*60))*3600)/1000,0)</f>
        <v>7.0467111534795048</v>
      </c>
      <c r="DA2" s="2">
        <f t="shared" ref="DA2:DA11" si="103">FQ2+FS2+FF2</f>
        <v>139</v>
      </c>
      <c r="DB2" s="5">
        <f t="shared" ref="DB2:DB11" si="104">IFERROR(DA2/L2,0)</f>
        <v>5.9628217349857007</v>
      </c>
      <c r="DC2" s="2">
        <f t="shared" ref="DC2:DC11" si="105">IFERROR(FT2+FR2,0)</f>
        <v>22</v>
      </c>
      <c r="DD2" s="5">
        <f t="shared" ref="DD2:DD11" si="106">IFERROR(DC2/L2,0)</f>
        <v>0.94375595805529078</v>
      </c>
      <c r="DE2" s="107">
        <f t="shared" ref="DE2:DE11" si="107">IFERROR((DC2*1)/DA2,)</f>
        <v>0.15827338129496402</v>
      </c>
      <c r="DF2" s="6">
        <f t="shared" ref="DF2:DF11" si="108">FU2</f>
        <v>28</v>
      </c>
      <c r="DG2" s="5">
        <f t="shared" ref="DG2:DG11" si="109">IFERROR(DF2/L2,0)</f>
        <v>1.2011439466158247</v>
      </c>
      <c r="DH2" s="6">
        <f t="shared" ref="DH2:DH11" si="110">FG2</f>
        <v>21</v>
      </c>
      <c r="DI2" s="5">
        <f t="shared" ref="DI2:DI11" si="111">IFERROR(DH2/L2,0)</f>
        <v>0.90085795996186846</v>
      </c>
      <c r="DJ2" s="5">
        <f t="shared" ref="DJ2:DJ11" si="112">VALUE(SUBSTITUTE(GG2, " km", ""))</f>
        <v>246.4</v>
      </c>
      <c r="DK2" s="5">
        <f t="shared" ref="DK2:DK11" si="113">IFERROR(DJ2/L2,0)</f>
        <v>10.570066730219256</v>
      </c>
      <c r="DL2" s="328">
        <f t="shared" ref="DL2:DL11" si="114">IFERROR((GF2*L2),0)</f>
        <v>144.52888888888887</v>
      </c>
      <c r="DM2" s="356">
        <f t="shared" ref="DM2:DM11" si="115">GF2</f>
        <v>6.2</v>
      </c>
      <c r="DN2" s="6">
        <f t="shared" ref="DN2:DN11" si="116">(FO2+FM2+GC2+FF2+FG2+FL2+FJ2+GD2+CF2)</f>
        <v>441.04</v>
      </c>
      <c r="DO2" s="5">
        <f t="shared" ref="DO2:DO11" si="117">IFERROR(DN2/L2,0)</f>
        <v>18.919733079122977</v>
      </c>
      <c r="DP2" s="6">
        <f t="shared" ref="DP2:DP11" si="118">(FN2+FG2+FL2+FJ2+GE2+EX2+EY2)</f>
        <v>129</v>
      </c>
      <c r="DQ2" s="5">
        <f t="shared" ref="DQ2:DQ11" si="119">IFERROR(DP2/L2,0)</f>
        <v>5.5338417540514779</v>
      </c>
      <c r="DR2" s="211">
        <f t="shared" ref="DR2:DR11" si="120">DS2*L2</f>
        <v>149.1911111111111</v>
      </c>
      <c r="DS2" s="5">
        <f t="shared" ref="DS2:DS11" si="121">FC2</f>
        <v>6.4</v>
      </c>
      <c r="DT2" s="21">
        <f t="shared" ref="DT2:DT11" si="122">IFERROR(DP2/DN2,0)</f>
        <v>0.29249047705423542</v>
      </c>
      <c r="DU2" s="6">
        <f t="shared" ref="DU2:DU11" si="123">IFERROR(FN2+CJ2+EZ2+FJ2+FZ2+FW2+(EX2*0.5)+(EY2*0.5),0)</f>
        <v>76.84</v>
      </c>
      <c r="DV2" s="5">
        <f t="shared" ref="DV2:DV11" si="124">IFERROR(DU2/L2,0)</f>
        <v>3.2962821734985703</v>
      </c>
      <c r="DW2" s="5">
        <f t="shared" ref="DW2:DW11" si="125">IFERROR((GD2+FO2+FM2+FL2+FH2+FT2)/L2,0)</f>
        <v>34.661582459485224</v>
      </c>
      <c r="DX2" s="181">
        <f t="shared" ref="DX2:DX11" si="126">IFERROR(FV2+FM2+FL2+FJ2,0)</f>
        <v>151</v>
      </c>
      <c r="DY2" s="5">
        <f t="shared" ref="DY2:DY11" si="127">DX2/L2</f>
        <v>6.4775977121067685</v>
      </c>
      <c r="DZ2" s="6">
        <f t="shared" ref="DZ2:DZ11" si="128">IFERROR(FW2+FN2+FL2+FJ2,0)</f>
        <v>91</v>
      </c>
      <c r="EA2" s="5">
        <f t="shared" ref="EA2:EA11" si="129">IFERROR(DZ2/L2,0)</f>
        <v>3.9037178265014303</v>
      </c>
      <c r="EB2" s="21">
        <f t="shared" ref="EB2:EB11" si="130">IFERROR(DZ2/DX2,0)</f>
        <v>0.60264900662251653</v>
      </c>
      <c r="EC2" s="6">
        <f t="shared" ref="EC2:EC11" si="131">IFERROR((FL2+FM2+(EZ2-GD2)+FJ2+DA2+FW2),0)</f>
        <v>281</v>
      </c>
      <c r="ED2" s="5">
        <f t="shared" ref="ED2:ED11" si="132">IFERROR(EC2/L2,0)</f>
        <v>12.054337464251669</v>
      </c>
      <c r="EE2" s="6">
        <f t="shared" ref="EE2:EE11" si="133">IFERROR((FM2+EZ2+FJ2),0)</f>
        <v>105</v>
      </c>
      <c r="EF2" s="5">
        <f t="shared" ref="EF2:EF11" si="134">IFERROR(EE2/L2,0)</f>
        <v>4.5042897998093423</v>
      </c>
      <c r="EG2" s="6">
        <f t="shared" ref="EG2:EG11" si="135">IFERROR((FM2-FN2)+(FH2-FI2),0)</f>
        <v>117</v>
      </c>
      <c r="EH2" s="5">
        <f t="shared" ref="EH2:EH11" si="136">IFERROR(EG2/L2,0)</f>
        <v>5.0190657769304101</v>
      </c>
      <c r="EI2" s="5">
        <f t="shared" ref="EI2:EI11" si="137">FC2</f>
        <v>6.4</v>
      </c>
      <c r="EJ2" s="5">
        <f t="shared" ref="EJ2:EJ11" si="138">IFERROR(VALUE(SUBSTITUTE(GH2, ".", ",")),0)</f>
        <v>6.98</v>
      </c>
      <c r="EK2" s="301"/>
      <c r="EL2" s="297" t="s">
        <v>13</v>
      </c>
      <c r="EM2" s="297" t="s">
        <v>1100</v>
      </c>
      <c r="EN2" s="297">
        <v>31</v>
      </c>
      <c r="EO2" s="297" t="s">
        <v>660</v>
      </c>
      <c r="EP2" s="297" t="s">
        <v>574</v>
      </c>
      <c r="EQ2" s="297" t="s">
        <v>643</v>
      </c>
      <c r="ER2" s="297" t="s">
        <v>413</v>
      </c>
      <c r="ES2" s="297" t="s">
        <v>929</v>
      </c>
      <c r="ET2" s="298">
        <v>46752</v>
      </c>
      <c r="EU2" s="297">
        <v>2098</v>
      </c>
      <c r="EV2" s="297" t="s">
        <v>1101</v>
      </c>
      <c r="EW2" s="297">
        <v>3</v>
      </c>
      <c r="EX2" s="297">
        <v>16</v>
      </c>
      <c r="EY2" s="297">
        <v>3</v>
      </c>
      <c r="EZ2" s="297">
        <v>4</v>
      </c>
      <c r="FA2" s="297">
        <v>91</v>
      </c>
      <c r="FB2" s="297">
        <v>241</v>
      </c>
      <c r="FC2" s="297">
        <v>6.4</v>
      </c>
      <c r="FD2" s="297" t="s">
        <v>1115</v>
      </c>
      <c r="FE2" s="297" t="s">
        <v>1116</v>
      </c>
      <c r="FF2" s="297">
        <v>47</v>
      </c>
      <c r="FG2" s="297">
        <v>21</v>
      </c>
      <c r="FH2" s="297">
        <v>497</v>
      </c>
      <c r="FI2" s="297">
        <v>427</v>
      </c>
      <c r="FJ2" s="297">
        <v>22</v>
      </c>
      <c r="FK2" s="297">
        <v>20</v>
      </c>
      <c r="FL2" s="297">
        <v>35</v>
      </c>
      <c r="FM2" s="297">
        <v>79</v>
      </c>
      <c r="FN2" s="297">
        <v>32</v>
      </c>
      <c r="FO2" s="297">
        <v>193</v>
      </c>
      <c r="FP2" s="297">
        <v>86</v>
      </c>
      <c r="FQ2" s="297">
        <v>77</v>
      </c>
      <c r="FR2" s="297">
        <v>18</v>
      </c>
      <c r="FS2" s="297">
        <v>15</v>
      </c>
      <c r="FT2" s="297">
        <v>4</v>
      </c>
      <c r="FU2" s="297">
        <v>28</v>
      </c>
      <c r="FV2" s="297">
        <v>15</v>
      </c>
      <c r="FW2" s="297">
        <v>2</v>
      </c>
      <c r="FX2" s="297">
        <v>15</v>
      </c>
      <c r="FY2" s="297">
        <v>2</v>
      </c>
      <c r="FZ2" s="297">
        <v>5</v>
      </c>
      <c r="GA2" s="297">
        <v>1.5</v>
      </c>
      <c r="GB2" s="297">
        <v>0</v>
      </c>
      <c r="GC2" s="297">
        <v>35</v>
      </c>
      <c r="GD2" s="297">
        <v>0</v>
      </c>
      <c r="GE2" s="297">
        <v>0</v>
      </c>
      <c r="GF2" s="297">
        <v>6.2</v>
      </c>
      <c r="GG2" s="297" t="s">
        <v>951</v>
      </c>
      <c r="GH2" s="302">
        <v>6.98</v>
      </c>
    </row>
    <row r="3" spans="1:190" ht="24.95" customHeight="1" thickBot="1" x14ac:dyDescent="0.3">
      <c r="A3" s="29" t="str">
        <f t="shared" si="0"/>
        <v>2º</v>
      </c>
      <c r="B3" s="69" t="str">
        <f t="shared" si="1"/>
        <v>Carlinhos</v>
      </c>
      <c r="C3" s="86" t="str">
        <f t="shared" si="2"/>
        <v>BRA</v>
      </c>
      <c r="D3" s="99" t="str">
        <f t="shared" si="3"/>
        <v>Pé Direito</v>
      </c>
      <c r="E3" s="28" t="str">
        <f t="shared" si="4"/>
        <v>Remo</v>
      </c>
      <c r="F3" s="167">
        <f t="shared" si="5"/>
        <v>1.95</v>
      </c>
      <c r="G3" s="150">
        <f t="shared" si="6"/>
        <v>46387</v>
      </c>
      <c r="H3" s="169">
        <f t="shared" si="7"/>
        <v>29</v>
      </c>
      <c r="I3" s="203" t="str">
        <f t="shared" si="8"/>
        <v>11,25m € p/m</v>
      </c>
      <c r="J3" s="189" t="str">
        <f t="shared" si="9"/>
        <v>500 € - 7m €</v>
      </c>
      <c r="K3" s="96">
        <f t="shared" si="10"/>
        <v>23.671111111111109</v>
      </c>
      <c r="L3" s="146">
        <f t="shared" si="11"/>
        <v>26.822222222222223</v>
      </c>
      <c r="M3" s="146">
        <f t="shared" si="12"/>
        <v>44</v>
      </c>
      <c r="N3" s="146">
        <f t="shared" si="13"/>
        <v>54.863636363636367</v>
      </c>
      <c r="O3" s="187">
        <f t="shared" si="14"/>
        <v>0.61</v>
      </c>
      <c r="P3" s="2">
        <f t="shared" si="15"/>
        <v>31</v>
      </c>
      <c r="Q3" s="5">
        <f t="shared" si="16"/>
        <v>0.31</v>
      </c>
      <c r="R3" s="5">
        <f t="shared" si="17"/>
        <v>0.6710853355426678</v>
      </c>
      <c r="S3" s="5">
        <f t="shared" si="18"/>
        <v>0.78293289146644574</v>
      </c>
      <c r="T3" s="5">
        <f t="shared" si="19"/>
        <v>0.11184755592377796</v>
      </c>
      <c r="U3" s="6">
        <f t="shared" si="20"/>
        <v>5</v>
      </c>
      <c r="V3" s="24">
        <f t="shared" si="21"/>
        <v>482.8</v>
      </c>
      <c r="W3" s="21">
        <f t="shared" si="22"/>
        <v>0.18641259320629661</v>
      </c>
      <c r="X3" s="2">
        <f t="shared" si="23"/>
        <v>18</v>
      </c>
      <c r="Y3" s="2">
        <f t="shared" si="24"/>
        <v>3</v>
      </c>
      <c r="Z3" s="2">
        <f t="shared" si="25"/>
        <v>21</v>
      </c>
      <c r="AA3" s="371">
        <f t="shared" si="26"/>
        <v>15</v>
      </c>
      <c r="AB3" s="371">
        <f t="shared" si="27"/>
        <v>3</v>
      </c>
      <c r="AC3" s="372">
        <f t="shared" si="28"/>
        <v>0</v>
      </c>
      <c r="AD3" s="6">
        <f t="shared" si="29"/>
        <v>18</v>
      </c>
      <c r="AE3" s="20">
        <f t="shared" si="30"/>
        <v>1</v>
      </c>
      <c r="AF3" s="20">
        <f t="shared" si="31"/>
        <v>0.14285714285714285</v>
      </c>
      <c r="AG3" s="20">
        <f t="shared" si="32"/>
        <v>0</v>
      </c>
      <c r="AH3" s="5">
        <f t="shared" si="33"/>
        <v>0.6710853355426678</v>
      </c>
      <c r="AI3" s="5">
        <f t="shared" si="34"/>
        <v>0.11184755592377796</v>
      </c>
      <c r="AJ3" s="5">
        <f t="shared" si="35"/>
        <v>0.78293289146644574</v>
      </c>
      <c r="AK3" s="5">
        <f t="shared" si="36"/>
        <v>0.6710853355426678</v>
      </c>
      <c r="AL3" s="6">
        <f t="shared" si="37"/>
        <v>15</v>
      </c>
      <c r="AM3" s="5">
        <f t="shared" si="38"/>
        <v>0.55923777961888976</v>
      </c>
      <c r="AN3" s="6">
        <f t="shared" si="39"/>
        <v>3</v>
      </c>
      <c r="AO3" s="5">
        <f t="shared" si="40"/>
        <v>0.11184755592377796</v>
      </c>
      <c r="AP3" s="5">
        <f t="shared" si="41"/>
        <v>1.2</v>
      </c>
      <c r="AQ3" s="21">
        <f t="shared" si="42"/>
        <v>9.3206296603148303E-2</v>
      </c>
      <c r="AR3" s="328">
        <f t="shared" si="43"/>
        <v>0</v>
      </c>
      <c r="AS3" s="329">
        <f t="shared" si="44"/>
        <v>0</v>
      </c>
      <c r="AT3" s="328">
        <f t="shared" si="45"/>
        <v>0</v>
      </c>
      <c r="AU3" s="329">
        <f t="shared" si="46"/>
        <v>0</v>
      </c>
      <c r="AV3" s="332">
        <f t="shared" si="47"/>
        <v>0</v>
      </c>
      <c r="AW3" s="343">
        <f t="shared" si="48"/>
        <v>0</v>
      </c>
      <c r="AX3" s="328">
        <f t="shared" si="49"/>
        <v>0</v>
      </c>
      <c r="AY3" s="328">
        <f t="shared" si="50"/>
        <v>0</v>
      </c>
      <c r="AZ3" s="346">
        <f t="shared" si="51"/>
        <v>0</v>
      </c>
      <c r="BA3" s="329">
        <f t="shared" si="52"/>
        <v>0</v>
      </c>
      <c r="BB3" s="20">
        <f t="shared" si="53"/>
        <v>1.0000000000000001E-5</v>
      </c>
      <c r="BC3" s="2">
        <f t="shared" si="54"/>
        <v>211</v>
      </c>
      <c r="BD3" s="2">
        <f t="shared" si="55"/>
        <v>122</v>
      </c>
      <c r="BE3" s="5">
        <f t="shared" si="56"/>
        <v>7.8666114333057164</v>
      </c>
      <c r="BF3" s="5">
        <f t="shared" si="57"/>
        <v>4.5484672742336372</v>
      </c>
      <c r="BG3" s="2">
        <f t="shared" si="58"/>
        <v>89</v>
      </c>
      <c r="BH3" s="107">
        <f t="shared" si="59"/>
        <v>0.5781990521327014</v>
      </c>
      <c r="BI3" s="107">
        <f t="shared" si="60"/>
        <v>0.4218009478672986</v>
      </c>
      <c r="BJ3" s="355">
        <f t="shared" si="61"/>
        <v>21</v>
      </c>
      <c r="BK3" s="329">
        <f t="shared" si="62"/>
        <v>0.78293289146644574</v>
      </c>
      <c r="BL3" s="6">
        <f t="shared" si="63"/>
        <v>106</v>
      </c>
      <c r="BM3" s="5">
        <f t="shared" si="64"/>
        <v>3.9519469759734878</v>
      </c>
      <c r="BN3" s="6">
        <f t="shared" si="65"/>
        <v>57</v>
      </c>
      <c r="BO3" s="5">
        <f t="shared" si="66"/>
        <v>2.1251035625517813</v>
      </c>
      <c r="BP3" s="21">
        <f t="shared" si="67"/>
        <v>0.53773584905660377</v>
      </c>
      <c r="BQ3" s="5">
        <f t="shared" si="68"/>
        <v>5.8888888888888893</v>
      </c>
      <c r="BR3" s="5">
        <f t="shared" si="69"/>
        <v>3.1666666666666665</v>
      </c>
      <c r="BS3" s="5">
        <f t="shared" si="70"/>
        <v>17.611111111111111</v>
      </c>
      <c r="BT3" s="107">
        <f t="shared" si="71"/>
        <v>0.16981132075471697</v>
      </c>
      <c r="BU3" s="5">
        <f t="shared" si="72"/>
        <v>0.96636288318144159</v>
      </c>
      <c r="BV3" s="5">
        <f t="shared" si="73"/>
        <v>0.46603148301574149</v>
      </c>
      <c r="BW3" s="5">
        <f t="shared" si="74"/>
        <v>0.6710853355426678</v>
      </c>
      <c r="BX3" s="279">
        <f t="shared" si="75"/>
        <v>0.20505385252692632</v>
      </c>
      <c r="BY3" s="278">
        <f t="shared" si="76"/>
        <v>0.11792452830188679</v>
      </c>
      <c r="BZ3" s="5">
        <f t="shared" si="77"/>
        <v>22.773584905660378</v>
      </c>
      <c r="CA3" s="5">
        <f t="shared" si="78"/>
        <v>42.350877192982459</v>
      </c>
      <c r="CB3" s="5">
        <f t="shared" si="79"/>
        <v>134.11111111111111</v>
      </c>
      <c r="CC3" s="5">
        <f t="shared" si="80"/>
        <v>114.95238095238095</v>
      </c>
      <c r="CD3" s="5">
        <f t="shared" si="81"/>
        <v>5.5</v>
      </c>
      <c r="CE3" s="5">
        <f t="shared" ref="CE3:CE11" si="139">IFERROR((EX3-GE3)-CH3,0)</f>
        <v>5.5</v>
      </c>
      <c r="CF3" s="5">
        <f t="shared" si="82"/>
        <v>12.5</v>
      </c>
      <c r="CG3" s="5">
        <f t="shared" si="83"/>
        <v>0.46603148301574149</v>
      </c>
      <c r="CH3" s="5">
        <f t="shared" si="84"/>
        <v>12.5</v>
      </c>
      <c r="CI3" s="5">
        <f t="shared" si="85"/>
        <v>0.46603148301574149</v>
      </c>
      <c r="CJ3" s="5">
        <f t="shared" si="86"/>
        <v>3.9</v>
      </c>
      <c r="CK3" s="5">
        <f t="shared" si="87"/>
        <v>0.14540182270091134</v>
      </c>
      <c r="CL3" s="5">
        <f t="shared" si="88"/>
        <v>16.399999999999999</v>
      </c>
      <c r="CM3" s="5">
        <f t="shared" si="89"/>
        <v>0.61143330571665278</v>
      </c>
      <c r="CN3" s="21">
        <f t="shared" si="90"/>
        <v>0.5901639344262295</v>
      </c>
      <c r="CO3" s="6">
        <f t="shared" si="91"/>
        <v>34</v>
      </c>
      <c r="CP3" s="5">
        <f t="shared" si="92"/>
        <v>1.2676056338028168</v>
      </c>
      <c r="CQ3" s="5">
        <f t="shared" si="93"/>
        <v>3.9</v>
      </c>
      <c r="CR3" s="5">
        <f t="shared" si="94"/>
        <v>0.89999999999999991</v>
      </c>
      <c r="CS3" s="6">
        <f t="shared" si="95"/>
        <v>29</v>
      </c>
      <c r="CT3" s="5">
        <f t="shared" si="96"/>
        <v>1.0811930405965202</v>
      </c>
      <c r="CU3" s="6">
        <f t="shared" si="97"/>
        <v>6</v>
      </c>
      <c r="CV3" s="5">
        <f t="shared" si="98"/>
        <v>0.22369511184755592</v>
      </c>
      <c r="CW3" s="21">
        <f t="shared" si="99"/>
        <v>0.20689655172413793</v>
      </c>
      <c r="CX3" s="357">
        <f t="shared" si="100"/>
        <v>27</v>
      </c>
      <c r="CY3" s="358">
        <f t="shared" si="101"/>
        <v>1.0066280033140016</v>
      </c>
      <c r="CZ3" s="210">
        <f t="shared" si="102"/>
        <v>7.3272576636288322</v>
      </c>
      <c r="DA3" s="2">
        <f t="shared" si="103"/>
        <v>139</v>
      </c>
      <c r="DB3" s="5">
        <f t="shared" si="104"/>
        <v>5.1822700911350452</v>
      </c>
      <c r="DC3" s="2">
        <f t="shared" si="105"/>
        <v>31</v>
      </c>
      <c r="DD3" s="5">
        <f t="shared" si="106"/>
        <v>1.1557580778790388</v>
      </c>
      <c r="DE3" s="107">
        <f t="shared" si="107"/>
        <v>0.22302158273381295</v>
      </c>
      <c r="DF3" s="6">
        <f t="shared" si="108"/>
        <v>26</v>
      </c>
      <c r="DG3" s="5">
        <f t="shared" si="109"/>
        <v>0.96934548467274229</v>
      </c>
      <c r="DH3" s="6">
        <f t="shared" si="110"/>
        <v>32</v>
      </c>
      <c r="DI3" s="5">
        <f t="shared" si="111"/>
        <v>1.1930405965202981</v>
      </c>
      <c r="DJ3" s="5">
        <f t="shared" si="112"/>
        <v>294.8</v>
      </c>
      <c r="DK3" s="5">
        <f t="shared" si="113"/>
        <v>10.990886495443247</v>
      </c>
      <c r="DL3" s="328">
        <f t="shared" si="114"/>
        <v>177.02666666666667</v>
      </c>
      <c r="DM3" s="356">
        <f t="shared" si="115"/>
        <v>6.6</v>
      </c>
      <c r="DN3" s="6">
        <f t="shared" si="116"/>
        <v>480.5</v>
      </c>
      <c r="DO3" s="5">
        <f t="shared" si="117"/>
        <v>17.914250207125104</v>
      </c>
      <c r="DP3" s="6">
        <f t="shared" si="118"/>
        <v>171</v>
      </c>
      <c r="DQ3" s="5">
        <f t="shared" si="119"/>
        <v>6.375310687655344</v>
      </c>
      <c r="DR3" s="211">
        <f t="shared" si="120"/>
        <v>321.86666666666667</v>
      </c>
      <c r="DS3" s="5">
        <f t="shared" si="121"/>
        <v>12</v>
      </c>
      <c r="DT3" s="21">
        <f t="shared" si="122"/>
        <v>0.35587929240374611</v>
      </c>
      <c r="DU3" s="6">
        <f t="shared" si="123"/>
        <v>123.4</v>
      </c>
      <c r="DV3" s="5">
        <f t="shared" si="124"/>
        <v>4.6006628003314001</v>
      </c>
      <c r="DW3" s="5">
        <f t="shared" si="125"/>
        <v>49.660314830157411</v>
      </c>
      <c r="DX3" s="181">
        <f t="shared" si="126"/>
        <v>196</v>
      </c>
      <c r="DY3" s="5">
        <f t="shared" si="127"/>
        <v>7.3073736536868266</v>
      </c>
      <c r="DZ3" s="6">
        <f t="shared" si="128"/>
        <v>124</v>
      </c>
      <c r="EA3" s="5">
        <f t="shared" si="129"/>
        <v>4.6230323115161553</v>
      </c>
      <c r="EB3" s="21">
        <f t="shared" si="130"/>
        <v>0.63265306122448983</v>
      </c>
      <c r="EC3" s="6">
        <f t="shared" si="131"/>
        <v>321</v>
      </c>
      <c r="ED3" s="5">
        <f t="shared" si="132"/>
        <v>11.967688483844242</v>
      </c>
      <c r="EE3" s="6">
        <f t="shared" si="133"/>
        <v>149</v>
      </c>
      <c r="EF3" s="5">
        <f t="shared" si="134"/>
        <v>5.5550952775476388</v>
      </c>
      <c r="EG3" s="6">
        <f t="shared" si="135"/>
        <v>143</v>
      </c>
      <c r="EH3" s="5">
        <f t="shared" si="136"/>
        <v>5.3314001657000825</v>
      </c>
      <c r="EI3" s="5">
        <f t="shared" si="137"/>
        <v>12</v>
      </c>
      <c r="EJ3" s="5">
        <f t="shared" si="138"/>
        <v>7.19</v>
      </c>
      <c r="EK3" s="301"/>
      <c r="EL3" s="297" t="s">
        <v>13</v>
      </c>
      <c r="EM3" s="297" t="s">
        <v>820</v>
      </c>
      <c r="EN3" s="297">
        <v>29</v>
      </c>
      <c r="EO3" s="297" t="s">
        <v>558</v>
      </c>
      <c r="EP3" s="297" t="s">
        <v>679</v>
      </c>
      <c r="EQ3" s="297" t="s">
        <v>643</v>
      </c>
      <c r="ER3" s="297" t="s">
        <v>992</v>
      </c>
      <c r="ES3" s="297" t="s">
        <v>804</v>
      </c>
      <c r="ET3" s="298">
        <v>46387</v>
      </c>
      <c r="EU3" s="297">
        <v>2414</v>
      </c>
      <c r="EV3" s="297" t="s">
        <v>1097</v>
      </c>
      <c r="EW3" s="297">
        <v>5</v>
      </c>
      <c r="EX3" s="297">
        <v>18</v>
      </c>
      <c r="EY3" s="297">
        <v>3</v>
      </c>
      <c r="EZ3" s="297">
        <v>9</v>
      </c>
      <c r="FA3" s="297">
        <v>31</v>
      </c>
      <c r="FB3" s="297">
        <v>100</v>
      </c>
      <c r="FC3" s="297">
        <v>12</v>
      </c>
      <c r="FD3" s="297" t="s">
        <v>1112</v>
      </c>
      <c r="FE3" s="297" t="s">
        <v>1113</v>
      </c>
      <c r="FF3" s="297">
        <v>37</v>
      </c>
      <c r="FG3" s="297">
        <v>32</v>
      </c>
      <c r="FH3" s="297">
        <v>978</v>
      </c>
      <c r="FI3" s="297">
        <v>884</v>
      </c>
      <c r="FJ3" s="297">
        <v>34</v>
      </c>
      <c r="FK3" s="297">
        <v>23</v>
      </c>
      <c r="FL3" s="297">
        <v>27</v>
      </c>
      <c r="FM3" s="297">
        <v>106</v>
      </c>
      <c r="FN3" s="297">
        <v>57</v>
      </c>
      <c r="FO3" s="297">
        <v>211</v>
      </c>
      <c r="FP3" s="297">
        <v>122</v>
      </c>
      <c r="FQ3" s="297">
        <v>88</v>
      </c>
      <c r="FR3" s="297">
        <v>21</v>
      </c>
      <c r="FS3" s="297">
        <v>14</v>
      </c>
      <c r="FT3" s="297">
        <v>10</v>
      </c>
      <c r="FU3" s="297">
        <v>26</v>
      </c>
      <c r="FV3" s="297">
        <v>29</v>
      </c>
      <c r="FW3" s="297">
        <v>6</v>
      </c>
      <c r="FX3" s="297">
        <v>29</v>
      </c>
      <c r="FY3" s="297">
        <v>6</v>
      </c>
      <c r="FZ3" s="297">
        <v>3</v>
      </c>
      <c r="GA3" s="297">
        <v>1.2</v>
      </c>
      <c r="GB3" s="297">
        <v>0</v>
      </c>
      <c r="GC3" s="297">
        <v>21</v>
      </c>
      <c r="GD3" s="297">
        <v>0</v>
      </c>
      <c r="GE3" s="297">
        <v>0</v>
      </c>
      <c r="GF3" s="297">
        <v>6.6</v>
      </c>
      <c r="GG3" s="297" t="s">
        <v>1098</v>
      </c>
      <c r="GH3" s="302">
        <v>7.19</v>
      </c>
    </row>
    <row r="4" spans="1:190" ht="24.95" customHeight="1" thickBot="1" x14ac:dyDescent="0.3">
      <c r="A4" s="29" t="str">
        <f t="shared" si="0"/>
        <v>3º</v>
      </c>
      <c r="B4" s="69" t="str">
        <f t="shared" si="1"/>
        <v>David Terans</v>
      </c>
      <c r="C4" s="86" t="str">
        <f t="shared" si="2"/>
        <v>URU</v>
      </c>
      <c r="D4" s="99" t="str">
        <f t="shared" si="3"/>
        <v>Pé Esquerdo</v>
      </c>
      <c r="E4" s="28" t="str">
        <f t="shared" si="4"/>
        <v>Fluminense</v>
      </c>
      <c r="F4" s="167">
        <f t="shared" si="5"/>
        <v>1.71</v>
      </c>
      <c r="G4" s="150">
        <f t="shared" si="6"/>
        <v>46752</v>
      </c>
      <c r="H4" s="169">
        <f t="shared" si="7"/>
        <v>32</v>
      </c>
      <c r="I4" s="203" t="str">
        <f t="shared" si="8"/>
        <v>48m € p/m</v>
      </c>
      <c r="J4" s="189" t="str">
        <f t="shared" si="9"/>
        <v>160m € - 1,6M €</v>
      </c>
      <c r="K4" s="96">
        <f t="shared" si="10"/>
        <v>23.671111111111109</v>
      </c>
      <c r="L4" s="146">
        <f t="shared" si="11"/>
        <v>19.7</v>
      </c>
      <c r="M4" s="146">
        <f t="shared" si="12"/>
        <v>35</v>
      </c>
      <c r="N4" s="146">
        <f t="shared" si="13"/>
        <v>50.657142857142858</v>
      </c>
      <c r="O4" s="187">
        <f t="shared" si="14"/>
        <v>0.49</v>
      </c>
      <c r="P4" s="2">
        <f t="shared" si="15"/>
        <v>90</v>
      </c>
      <c r="Q4" s="5">
        <f t="shared" si="16"/>
        <v>0.27272727272727271</v>
      </c>
      <c r="R4" s="5">
        <f t="shared" si="17"/>
        <v>0.50761421319796951</v>
      </c>
      <c r="S4" s="5">
        <f t="shared" si="18"/>
        <v>0.76142131979695438</v>
      </c>
      <c r="T4" s="5">
        <f t="shared" si="19"/>
        <v>0.25380710659898476</v>
      </c>
      <c r="U4" s="6">
        <f t="shared" si="20"/>
        <v>1</v>
      </c>
      <c r="V4" s="24">
        <f t="shared" si="21"/>
        <v>1773</v>
      </c>
      <c r="W4" s="21">
        <f t="shared" si="22"/>
        <v>5.0761421319796954E-2</v>
      </c>
      <c r="X4" s="2">
        <f t="shared" si="23"/>
        <v>10</v>
      </c>
      <c r="Y4" s="2">
        <f t="shared" si="24"/>
        <v>5</v>
      </c>
      <c r="Z4" s="2">
        <f t="shared" si="25"/>
        <v>15</v>
      </c>
      <c r="AA4" s="371">
        <f t="shared" si="26"/>
        <v>5</v>
      </c>
      <c r="AB4" s="371">
        <f t="shared" si="27"/>
        <v>1</v>
      </c>
      <c r="AC4" s="372">
        <f t="shared" si="28"/>
        <v>4</v>
      </c>
      <c r="AD4" s="6">
        <f t="shared" si="29"/>
        <v>6</v>
      </c>
      <c r="AE4" s="20">
        <f t="shared" si="30"/>
        <v>0.6</v>
      </c>
      <c r="AF4" s="20">
        <f t="shared" si="31"/>
        <v>0.33333333333333331</v>
      </c>
      <c r="AG4" s="20">
        <f t="shared" si="32"/>
        <v>0.26666666666666666</v>
      </c>
      <c r="AH4" s="5">
        <f t="shared" si="33"/>
        <v>0.50761421319796951</v>
      </c>
      <c r="AI4" s="5">
        <f t="shared" si="34"/>
        <v>0.25380710659898476</v>
      </c>
      <c r="AJ4" s="5">
        <f t="shared" si="35"/>
        <v>0.76142131979695438</v>
      </c>
      <c r="AK4" s="5">
        <f t="shared" si="36"/>
        <v>0.30456852791878175</v>
      </c>
      <c r="AL4" s="6">
        <f t="shared" si="37"/>
        <v>5</v>
      </c>
      <c r="AM4" s="5">
        <f t="shared" si="38"/>
        <v>0.25380710659898476</v>
      </c>
      <c r="AN4" s="6">
        <f t="shared" si="39"/>
        <v>1</v>
      </c>
      <c r="AO4" s="5">
        <f t="shared" si="40"/>
        <v>5.0761421319796954E-2</v>
      </c>
      <c r="AP4" s="5">
        <f t="shared" si="41"/>
        <v>2.2999999999999998</v>
      </c>
      <c r="AQ4" s="21">
        <f t="shared" si="42"/>
        <v>2.2070183182520416E-2</v>
      </c>
      <c r="AR4" s="328">
        <f t="shared" si="43"/>
        <v>119</v>
      </c>
      <c r="AS4" s="329">
        <f t="shared" si="44"/>
        <v>6.0406091370558377</v>
      </c>
      <c r="AT4" s="328">
        <f t="shared" si="45"/>
        <v>16</v>
      </c>
      <c r="AU4" s="329">
        <f t="shared" si="46"/>
        <v>0.81218274111675126</v>
      </c>
      <c r="AV4" s="332">
        <f t="shared" si="47"/>
        <v>0.13445378151260504</v>
      </c>
      <c r="AW4" s="343">
        <f t="shared" si="48"/>
        <v>12</v>
      </c>
      <c r="AX4" s="328">
        <f t="shared" si="49"/>
        <v>4</v>
      </c>
      <c r="AY4" s="328">
        <f t="shared" si="50"/>
        <v>4</v>
      </c>
      <c r="AZ4" s="346">
        <f t="shared" si="51"/>
        <v>0</v>
      </c>
      <c r="BA4" s="329">
        <f t="shared" si="52"/>
        <v>0.20304568527918782</v>
      </c>
      <c r="BB4" s="20">
        <f t="shared" si="53"/>
        <v>1</v>
      </c>
      <c r="BC4" s="2">
        <f t="shared" si="54"/>
        <v>52</v>
      </c>
      <c r="BD4" s="2">
        <f t="shared" si="55"/>
        <v>4</v>
      </c>
      <c r="BE4" s="5">
        <f t="shared" si="56"/>
        <v>2.6395939086294415</v>
      </c>
      <c r="BF4" s="5">
        <f t="shared" si="57"/>
        <v>0.20304568527918782</v>
      </c>
      <c r="BG4" s="2">
        <f t="shared" si="58"/>
        <v>48</v>
      </c>
      <c r="BH4" s="107">
        <f t="shared" si="59"/>
        <v>7.6923076923076927E-2</v>
      </c>
      <c r="BI4" s="107">
        <f t="shared" si="60"/>
        <v>0.92307692307692313</v>
      </c>
      <c r="BJ4" s="355">
        <f t="shared" si="61"/>
        <v>11</v>
      </c>
      <c r="BK4" s="329">
        <f t="shared" si="62"/>
        <v>0.55837563451776651</v>
      </c>
      <c r="BL4" s="6">
        <f t="shared" si="63"/>
        <v>74</v>
      </c>
      <c r="BM4" s="5">
        <f t="shared" si="64"/>
        <v>3.7563451776649748</v>
      </c>
      <c r="BN4" s="6">
        <f t="shared" si="65"/>
        <v>43</v>
      </c>
      <c r="BO4" s="5">
        <f t="shared" si="66"/>
        <v>2.1827411167512691</v>
      </c>
      <c r="BP4" s="21">
        <f t="shared" si="67"/>
        <v>0.58108108108108103</v>
      </c>
      <c r="BQ4" s="5">
        <f t="shared" si="68"/>
        <v>11.666666666666666</v>
      </c>
      <c r="BR4" s="5">
        <f t="shared" si="69"/>
        <v>6.5</v>
      </c>
      <c r="BS4" s="5">
        <f t="shared" si="70"/>
        <v>20.333333333333332</v>
      </c>
      <c r="BT4" s="107">
        <f t="shared" si="71"/>
        <v>8.5714285714285715E-2</v>
      </c>
      <c r="BU4" s="5">
        <f t="shared" si="72"/>
        <v>0.2261647484545409</v>
      </c>
      <c r="BV4" s="5">
        <f t="shared" si="73"/>
        <v>0.57055837563451783</v>
      </c>
      <c r="BW4" s="5">
        <f t="shared" si="74"/>
        <v>0.50761421319796951</v>
      </c>
      <c r="BX4" s="279">
        <f t="shared" si="75"/>
        <v>-6.2944162436548323E-2</v>
      </c>
      <c r="BY4" s="278">
        <f t="shared" si="76"/>
        <v>0.11542857142857144</v>
      </c>
      <c r="BZ4" s="5">
        <f t="shared" si="77"/>
        <v>23.95945945945946</v>
      </c>
      <c r="CA4" s="5">
        <f t="shared" si="78"/>
        <v>41.232558139534881</v>
      </c>
      <c r="CB4" s="5">
        <f t="shared" si="79"/>
        <v>177.3</v>
      </c>
      <c r="CC4" s="5">
        <f t="shared" si="80"/>
        <v>118.2</v>
      </c>
      <c r="CD4" s="5">
        <f t="shared" si="81"/>
        <v>-1.2400000000000002</v>
      </c>
      <c r="CE4" s="5">
        <f t="shared" si="139"/>
        <v>-2.08</v>
      </c>
      <c r="CF4" s="5">
        <f t="shared" si="82"/>
        <v>11.24</v>
      </c>
      <c r="CG4" s="5">
        <f t="shared" si="83"/>
        <v>0.57055837563451783</v>
      </c>
      <c r="CH4" s="5">
        <f t="shared" si="84"/>
        <v>8.08</v>
      </c>
      <c r="CI4" s="5">
        <f t="shared" si="85"/>
        <v>0.41015228426395939</v>
      </c>
      <c r="CJ4" s="5">
        <f t="shared" si="86"/>
        <v>5.92</v>
      </c>
      <c r="CK4" s="5">
        <f t="shared" si="87"/>
        <v>0.30050761421319799</v>
      </c>
      <c r="CL4" s="5">
        <f t="shared" si="88"/>
        <v>14</v>
      </c>
      <c r="CM4" s="5">
        <f t="shared" si="89"/>
        <v>0.71065989847715738</v>
      </c>
      <c r="CN4" s="21">
        <f t="shared" si="90"/>
        <v>0.47080979284369112</v>
      </c>
      <c r="CO4" s="6">
        <f t="shared" si="91"/>
        <v>63</v>
      </c>
      <c r="CP4" s="5">
        <f t="shared" si="92"/>
        <v>3.1979695431472082</v>
      </c>
      <c r="CQ4" s="5">
        <f t="shared" si="93"/>
        <v>5.92</v>
      </c>
      <c r="CR4" s="5">
        <f t="shared" si="94"/>
        <v>0.91999999999999993</v>
      </c>
      <c r="CS4" s="6">
        <f t="shared" si="95"/>
        <v>62</v>
      </c>
      <c r="CT4" s="5">
        <f t="shared" si="96"/>
        <v>3.1472081218274113</v>
      </c>
      <c r="CU4" s="6">
        <f t="shared" si="97"/>
        <v>13</v>
      </c>
      <c r="CV4" s="5">
        <f t="shared" si="98"/>
        <v>0.65989847715736039</v>
      </c>
      <c r="CW4" s="21">
        <f t="shared" si="99"/>
        <v>0.20967741935483872</v>
      </c>
      <c r="CX4" s="357">
        <f t="shared" si="100"/>
        <v>40</v>
      </c>
      <c r="CY4" s="358">
        <f t="shared" si="101"/>
        <v>2.030456852791878</v>
      </c>
      <c r="CZ4" s="210">
        <f t="shared" si="102"/>
        <v>8.1962774957698823</v>
      </c>
      <c r="DA4" s="2">
        <f t="shared" si="103"/>
        <v>165</v>
      </c>
      <c r="DB4" s="5">
        <f t="shared" si="104"/>
        <v>8.3756345177664979</v>
      </c>
      <c r="DC4" s="2">
        <f t="shared" si="105"/>
        <v>41</v>
      </c>
      <c r="DD4" s="5">
        <f t="shared" si="106"/>
        <v>2.0812182741116754</v>
      </c>
      <c r="DE4" s="107">
        <f t="shared" si="107"/>
        <v>0.24848484848484848</v>
      </c>
      <c r="DF4" s="6">
        <f t="shared" si="108"/>
        <v>27</v>
      </c>
      <c r="DG4" s="5">
        <f t="shared" si="109"/>
        <v>1.3705583756345179</v>
      </c>
      <c r="DH4" s="6">
        <f t="shared" si="110"/>
        <v>23</v>
      </c>
      <c r="DI4" s="5">
        <f t="shared" si="111"/>
        <v>1.1675126903553299</v>
      </c>
      <c r="DJ4" s="5">
        <f t="shared" si="112"/>
        <v>242.2</v>
      </c>
      <c r="DK4" s="5">
        <f t="shared" si="113"/>
        <v>12.294416243654823</v>
      </c>
      <c r="DL4" s="328">
        <f t="shared" si="114"/>
        <v>204.88</v>
      </c>
      <c r="DM4" s="356">
        <f t="shared" si="115"/>
        <v>10.4</v>
      </c>
      <c r="DN4" s="6">
        <f t="shared" si="116"/>
        <v>294.24</v>
      </c>
      <c r="DO4" s="5">
        <f t="shared" si="117"/>
        <v>14.936040609137057</v>
      </c>
      <c r="DP4" s="6">
        <f t="shared" si="118"/>
        <v>188</v>
      </c>
      <c r="DQ4" s="5">
        <f t="shared" si="119"/>
        <v>9.5431472081218285</v>
      </c>
      <c r="DR4" s="211">
        <f t="shared" si="120"/>
        <v>258.07</v>
      </c>
      <c r="DS4" s="5">
        <f t="shared" si="121"/>
        <v>13.1</v>
      </c>
      <c r="DT4" s="21">
        <f t="shared" si="122"/>
        <v>0.6389342033713975</v>
      </c>
      <c r="DU4" s="6">
        <f t="shared" si="123"/>
        <v>145.42000000000002</v>
      </c>
      <c r="DV4" s="5">
        <f t="shared" si="124"/>
        <v>7.3817258883248744</v>
      </c>
      <c r="DW4" s="5">
        <f t="shared" si="125"/>
        <v>53.756345177664976</v>
      </c>
      <c r="DX4" s="181">
        <f t="shared" si="126"/>
        <v>239</v>
      </c>
      <c r="DY4" s="5">
        <f t="shared" si="127"/>
        <v>12.131979695431472</v>
      </c>
      <c r="DZ4" s="6">
        <f t="shared" si="128"/>
        <v>159</v>
      </c>
      <c r="EA4" s="5">
        <f t="shared" si="129"/>
        <v>8.0710659898477157</v>
      </c>
      <c r="EB4" s="21">
        <f t="shared" si="130"/>
        <v>0.66527196652719667</v>
      </c>
      <c r="EC4" s="6">
        <f t="shared" si="131"/>
        <v>363</v>
      </c>
      <c r="ED4" s="5">
        <f t="shared" si="132"/>
        <v>18.426395939086294</v>
      </c>
      <c r="EE4" s="6">
        <f t="shared" si="133"/>
        <v>149</v>
      </c>
      <c r="EF4" s="5">
        <f t="shared" si="134"/>
        <v>7.5634517766497469</v>
      </c>
      <c r="EG4" s="6">
        <f t="shared" si="135"/>
        <v>137</v>
      </c>
      <c r="EH4" s="5">
        <f t="shared" si="136"/>
        <v>6.9543147208121834</v>
      </c>
      <c r="EI4" s="5">
        <f t="shared" si="137"/>
        <v>13.1</v>
      </c>
      <c r="EJ4" s="5">
        <f t="shared" si="138"/>
        <v>6.98</v>
      </c>
      <c r="EK4" s="301" t="s">
        <v>19</v>
      </c>
      <c r="EL4" s="297" t="s">
        <v>594</v>
      </c>
      <c r="EM4" s="297" t="s">
        <v>813</v>
      </c>
      <c r="EN4" s="297">
        <v>32</v>
      </c>
      <c r="EO4" s="297" t="s">
        <v>582</v>
      </c>
      <c r="EP4" s="297" t="s">
        <v>781</v>
      </c>
      <c r="EQ4" s="297" t="s">
        <v>651</v>
      </c>
      <c r="ER4" s="297" t="s">
        <v>619</v>
      </c>
      <c r="ES4" s="297" t="s">
        <v>814</v>
      </c>
      <c r="ET4" s="298">
        <v>46752</v>
      </c>
      <c r="EU4" s="297">
        <v>1773</v>
      </c>
      <c r="EV4" s="297" t="s">
        <v>1087</v>
      </c>
      <c r="EW4" s="297">
        <v>1</v>
      </c>
      <c r="EX4" s="297">
        <v>10</v>
      </c>
      <c r="EY4" s="297">
        <v>5</v>
      </c>
      <c r="EZ4" s="297">
        <v>12</v>
      </c>
      <c r="FA4" s="297">
        <v>90</v>
      </c>
      <c r="FB4" s="297">
        <v>330</v>
      </c>
      <c r="FC4" s="297">
        <v>13.1</v>
      </c>
      <c r="FD4" s="297" t="s">
        <v>1124</v>
      </c>
      <c r="FE4" s="297" t="s">
        <v>1125</v>
      </c>
      <c r="FF4" s="297">
        <v>16</v>
      </c>
      <c r="FG4" s="297">
        <v>23</v>
      </c>
      <c r="FH4" s="297">
        <v>872</v>
      </c>
      <c r="FI4" s="297">
        <v>766</v>
      </c>
      <c r="FJ4" s="297">
        <v>63</v>
      </c>
      <c r="FK4" s="297">
        <v>78</v>
      </c>
      <c r="FL4" s="297">
        <v>40</v>
      </c>
      <c r="FM4" s="297">
        <v>74</v>
      </c>
      <c r="FN4" s="297">
        <v>43</v>
      </c>
      <c r="FO4" s="297">
        <v>52</v>
      </c>
      <c r="FP4" s="297">
        <v>4</v>
      </c>
      <c r="FQ4" s="297">
        <v>123</v>
      </c>
      <c r="FR4" s="297">
        <v>24</v>
      </c>
      <c r="FS4" s="297">
        <v>26</v>
      </c>
      <c r="FT4" s="297">
        <v>17</v>
      </c>
      <c r="FU4" s="297">
        <v>27</v>
      </c>
      <c r="FV4" s="297">
        <v>62</v>
      </c>
      <c r="FW4" s="297">
        <v>13</v>
      </c>
      <c r="FX4" s="297">
        <v>181</v>
      </c>
      <c r="FY4" s="297">
        <v>29</v>
      </c>
      <c r="FZ4" s="297">
        <v>1</v>
      </c>
      <c r="GA4" s="297">
        <v>2.2999999999999998</v>
      </c>
      <c r="GB4" s="297">
        <v>12</v>
      </c>
      <c r="GC4" s="297">
        <v>11</v>
      </c>
      <c r="GD4" s="297">
        <v>4</v>
      </c>
      <c r="GE4" s="297">
        <v>4</v>
      </c>
      <c r="GF4" s="297">
        <v>10.4</v>
      </c>
      <c r="GG4" s="297" t="s">
        <v>709</v>
      </c>
      <c r="GH4" s="302">
        <v>6.98</v>
      </c>
    </row>
    <row r="5" spans="1:190" ht="24.95" customHeight="1" thickBot="1" x14ac:dyDescent="0.3">
      <c r="A5" s="29" t="str">
        <f t="shared" si="0"/>
        <v>4º</v>
      </c>
      <c r="B5" s="69" t="str">
        <f t="shared" si="1"/>
        <v>Everaldo</v>
      </c>
      <c r="C5" s="86" t="str">
        <f t="shared" si="2"/>
        <v>BRA</v>
      </c>
      <c r="D5" s="99" t="str">
        <f t="shared" si="3"/>
        <v>Pé Direito</v>
      </c>
      <c r="E5" s="28" t="str">
        <f t="shared" si="4"/>
        <v>Bahia</v>
      </c>
      <c r="F5" s="167">
        <f t="shared" si="5"/>
        <v>1.82</v>
      </c>
      <c r="G5" s="150">
        <f t="shared" si="6"/>
        <v>46387</v>
      </c>
      <c r="H5" s="169">
        <f t="shared" si="7"/>
        <v>35</v>
      </c>
      <c r="I5" s="203" t="str">
        <f t="shared" si="8"/>
        <v>6,25m € p/m</v>
      </c>
      <c r="J5" s="189" t="str">
        <f t="shared" si="9"/>
        <v>0 € - 35m €</v>
      </c>
      <c r="K5" s="96">
        <f t="shared" si="10"/>
        <v>23.671111111111109</v>
      </c>
      <c r="L5" s="146">
        <f t="shared" si="11"/>
        <v>20.522222222222222</v>
      </c>
      <c r="M5" s="146">
        <f t="shared" si="12"/>
        <v>38</v>
      </c>
      <c r="N5" s="146">
        <f t="shared" si="13"/>
        <v>48.60526315789474</v>
      </c>
      <c r="O5" s="187">
        <f t="shared" si="14"/>
        <v>0.42</v>
      </c>
      <c r="P5" s="2">
        <f t="shared" si="15"/>
        <v>89</v>
      </c>
      <c r="Q5" s="5">
        <f t="shared" si="16"/>
        <v>0.2557471264367816</v>
      </c>
      <c r="R5" s="5">
        <f t="shared" si="17"/>
        <v>0.63345966432051981</v>
      </c>
      <c r="S5" s="5">
        <f t="shared" si="18"/>
        <v>0.68218733080671357</v>
      </c>
      <c r="T5" s="5">
        <f t="shared" si="19"/>
        <v>4.8727666486193831E-2</v>
      </c>
      <c r="U5" s="6">
        <f t="shared" si="20"/>
        <v>2</v>
      </c>
      <c r="V5" s="24">
        <f t="shared" si="21"/>
        <v>923.5</v>
      </c>
      <c r="W5" s="21">
        <f t="shared" si="22"/>
        <v>9.7455332972387662E-2</v>
      </c>
      <c r="X5" s="2">
        <f t="shared" si="23"/>
        <v>13</v>
      </c>
      <c r="Y5" s="2">
        <f t="shared" si="24"/>
        <v>1</v>
      </c>
      <c r="Z5" s="2">
        <f t="shared" si="25"/>
        <v>14</v>
      </c>
      <c r="AA5" s="371">
        <f t="shared" si="26"/>
        <v>11</v>
      </c>
      <c r="AB5" s="371">
        <f t="shared" si="27"/>
        <v>2</v>
      </c>
      <c r="AC5" s="372">
        <f t="shared" si="28"/>
        <v>0</v>
      </c>
      <c r="AD5" s="6">
        <f t="shared" si="29"/>
        <v>13</v>
      </c>
      <c r="AE5" s="20">
        <f t="shared" si="30"/>
        <v>1</v>
      </c>
      <c r="AF5" s="20">
        <f t="shared" si="31"/>
        <v>7.1428571428571425E-2</v>
      </c>
      <c r="AG5" s="20">
        <f t="shared" si="32"/>
        <v>0</v>
      </c>
      <c r="AH5" s="5">
        <f t="shared" si="33"/>
        <v>0.63345966432051981</v>
      </c>
      <c r="AI5" s="5">
        <f t="shared" si="34"/>
        <v>4.8727666486193831E-2</v>
      </c>
      <c r="AJ5" s="5">
        <f t="shared" si="35"/>
        <v>0.68218733080671357</v>
      </c>
      <c r="AK5" s="5">
        <f t="shared" si="36"/>
        <v>0.63345966432051981</v>
      </c>
      <c r="AL5" s="6">
        <f t="shared" si="37"/>
        <v>11</v>
      </c>
      <c r="AM5" s="5">
        <f t="shared" si="38"/>
        <v>0.53600433134813208</v>
      </c>
      <c r="AN5" s="6">
        <f t="shared" si="39"/>
        <v>2</v>
      </c>
      <c r="AO5" s="5">
        <f t="shared" si="40"/>
        <v>9.7455332972387662E-2</v>
      </c>
      <c r="AP5" s="5">
        <f t="shared" si="41"/>
        <v>0.9</v>
      </c>
      <c r="AQ5" s="21">
        <f t="shared" si="42"/>
        <v>0.10828370330265295</v>
      </c>
      <c r="AR5" s="328">
        <f t="shared" si="43"/>
        <v>2</v>
      </c>
      <c r="AS5" s="329">
        <f t="shared" si="44"/>
        <v>9.7455332972387662E-2</v>
      </c>
      <c r="AT5" s="328">
        <f t="shared" si="45"/>
        <v>0</v>
      </c>
      <c r="AU5" s="329">
        <f t="shared" si="46"/>
        <v>0</v>
      </c>
      <c r="AV5" s="332">
        <f t="shared" si="47"/>
        <v>0</v>
      </c>
      <c r="AW5" s="343">
        <f t="shared" si="48"/>
        <v>0</v>
      </c>
      <c r="AX5" s="328">
        <f t="shared" si="49"/>
        <v>0</v>
      </c>
      <c r="AY5" s="328">
        <f t="shared" si="50"/>
        <v>0</v>
      </c>
      <c r="AZ5" s="346">
        <f t="shared" si="51"/>
        <v>0</v>
      </c>
      <c r="BA5" s="329">
        <f t="shared" si="52"/>
        <v>0</v>
      </c>
      <c r="BB5" s="20">
        <f t="shared" si="53"/>
        <v>1.0000000000000001E-5</v>
      </c>
      <c r="BC5" s="2">
        <f t="shared" si="54"/>
        <v>181</v>
      </c>
      <c r="BD5" s="2">
        <f t="shared" si="55"/>
        <v>77</v>
      </c>
      <c r="BE5" s="5">
        <f t="shared" si="56"/>
        <v>8.819707634001082</v>
      </c>
      <c r="BF5" s="5">
        <f t="shared" si="57"/>
        <v>3.7520303194369249</v>
      </c>
      <c r="BG5" s="2">
        <f t="shared" si="58"/>
        <v>104</v>
      </c>
      <c r="BH5" s="107">
        <f t="shared" si="59"/>
        <v>0.425414364640884</v>
      </c>
      <c r="BI5" s="107">
        <f t="shared" si="60"/>
        <v>0.574585635359116</v>
      </c>
      <c r="BJ5" s="355">
        <f t="shared" si="61"/>
        <v>22</v>
      </c>
      <c r="BK5" s="329">
        <f t="shared" si="62"/>
        <v>1.0720086626962642</v>
      </c>
      <c r="BL5" s="6">
        <f t="shared" si="63"/>
        <v>66</v>
      </c>
      <c r="BM5" s="5">
        <f t="shared" si="64"/>
        <v>3.2160259880887927</v>
      </c>
      <c r="BN5" s="6">
        <f t="shared" si="65"/>
        <v>40</v>
      </c>
      <c r="BO5" s="5">
        <f t="shared" si="66"/>
        <v>1.9491066594477531</v>
      </c>
      <c r="BP5" s="21">
        <f t="shared" si="67"/>
        <v>0.60606060606060608</v>
      </c>
      <c r="BQ5" s="5">
        <f t="shared" si="68"/>
        <v>5.0769230769230766</v>
      </c>
      <c r="BR5" s="5">
        <f t="shared" si="69"/>
        <v>3.0769230769230771</v>
      </c>
      <c r="BS5" s="5">
        <f t="shared" si="70"/>
        <v>19</v>
      </c>
      <c r="BT5" s="107">
        <f t="shared" si="71"/>
        <v>0.19696969696969696</v>
      </c>
      <c r="BU5" s="5">
        <f t="shared" si="72"/>
        <v>0.88358107684192677</v>
      </c>
      <c r="BV5" s="5">
        <f t="shared" si="73"/>
        <v>0.45414185165132648</v>
      </c>
      <c r="BW5" s="5">
        <f t="shared" si="74"/>
        <v>0.63345966432051981</v>
      </c>
      <c r="BX5" s="279">
        <f t="shared" si="75"/>
        <v>0.17931781266919333</v>
      </c>
      <c r="BY5" s="278">
        <f t="shared" si="76"/>
        <v>0.14121212121212121</v>
      </c>
      <c r="BZ5" s="5">
        <f t="shared" si="77"/>
        <v>27.984848484848484</v>
      </c>
      <c r="CA5" s="5">
        <f t="shared" si="78"/>
        <v>46.174999999999997</v>
      </c>
      <c r="CB5" s="5">
        <f t="shared" si="79"/>
        <v>142.07692307692307</v>
      </c>
      <c r="CC5" s="5">
        <f t="shared" si="80"/>
        <v>131.92857142857142</v>
      </c>
      <c r="CD5" s="5">
        <f t="shared" si="81"/>
        <v>3.6799999999999997</v>
      </c>
      <c r="CE5" s="5">
        <f t="shared" si="139"/>
        <v>3.6799999999999997</v>
      </c>
      <c r="CF5" s="5">
        <f t="shared" si="82"/>
        <v>9.32</v>
      </c>
      <c r="CG5" s="5">
        <f t="shared" si="83"/>
        <v>0.45414185165132648</v>
      </c>
      <c r="CH5" s="5">
        <f t="shared" si="84"/>
        <v>9.32</v>
      </c>
      <c r="CI5" s="5">
        <f t="shared" si="85"/>
        <v>0.45414185165132648</v>
      </c>
      <c r="CJ5" s="5">
        <f t="shared" si="86"/>
        <v>1.17</v>
      </c>
      <c r="CK5" s="5">
        <f t="shared" si="87"/>
        <v>5.7011369788846772E-2</v>
      </c>
      <c r="CL5" s="5">
        <f t="shared" si="88"/>
        <v>10.49</v>
      </c>
      <c r="CM5" s="5">
        <f t="shared" si="89"/>
        <v>0.51115322144017328</v>
      </c>
      <c r="CN5" s="21">
        <f t="shared" si="90"/>
        <v>0.58243727598566308</v>
      </c>
      <c r="CO5" s="6">
        <f t="shared" si="91"/>
        <v>28</v>
      </c>
      <c r="CP5" s="5">
        <f t="shared" si="92"/>
        <v>1.3643746616134271</v>
      </c>
      <c r="CQ5" s="5">
        <f t="shared" si="93"/>
        <v>1.17</v>
      </c>
      <c r="CR5" s="5">
        <f t="shared" si="94"/>
        <v>0.16999999999999993</v>
      </c>
      <c r="CS5" s="6">
        <f t="shared" si="95"/>
        <v>16</v>
      </c>
      <c r="CT5" s="5">
        <f t="shared" si="96"/>
        <v>0.7796426637791013</v>
      </c>
      <c r="CU5" s="6">
        <f t="shared" si="97"/>
        <v>2</v>
      </c>
      <c r="CV5" s="5">
        <f t="shared" si="98"/>
        <v>9.7455332972387662E-2</v>
      </c>
      <c r="CW5" s="21">
        <f t="shared" si="99"/>
        <v>0.125</v>
      </c>
      <c r="CX5" s="357">
        <f t="shared" si="100"/>
        <v>15</v>
      </c>
      <c r="CY5" s="358">
        <f t="shared" si="101"/>
        <v>0.73091499729290743</v>
      </c>
      <c r="CZ5" s="210">
        <f t="shared" si="102"/>
        <v>7.1239848402815378</v>
      </c>
      <c r="DA5" s="2">
        <f t="shared" si="103"/>
        <v>95</v>
      </c>
      <c r="DB5" s="5">
        <f t="shared" si="104"/>
        <v>4.6291283161884138</v>
      </c>
      <c r="DC5" s="2">
        <f t="shared" si="105"/>
        <v>25</v>
      </c>
      <c r="DD5" s="5">
        <f t="shared" si="106"/>
        <v>1.2181916621548456</v>
      </c>
      <c r="DE5" s="107">
        <f t="shared" si="107"/>
        <v>0.26315789473684209</v>
      </c>
      <c r="DF5" s="6">
        <f t="shared" si="108"/>
        <v>15</v>
      </c>
      <c r="DG5" s="5">
        <f t="shared" si="109"/>
        <v>0.73091499729290743</v>
      </c>
      <c r="DH5" s="6">
        <f t="shared" si="110"/>
        <v>22</v>
      </c>
      <c r="DI5" s="5">
        <f t="shared" si="111"/>
        <v>1.0720086626962642</v>
      </c>
      <c r="DJ5" s="5">
        <f t="shared" si="112"/>
        <v>219.3</v>
      </c>
      <c r="DK5" s="5">
        <f t="shared" si="113"/>
        <v>10.685977260422307</v>
      </c>
      <c r="DL5" s="328">
        <f t="shared" si="114"/>
        <v>141.60333333333335</v>
      </c>
      <c r="DM5" s="356">
        <f t="shared" si="115"/>
        <v>6.9</v>
      </c>
      <c r="DN5" s="6">
        <f t="shared" si="116"/>
        <v>367.32</v>
      </c>
      <c r="DO5" s="5">
        <f t="shared" si="117"/>
        <v>17.898646453708718</v>
      </c>
      <c r="DP5" s="6">
        <f t="shared" si="118"/>
        <v>119</v>
      </c>
      <c r="DQ5" s="5">
        <f t="shared" si="119"/>
        <v>5.7985923118570657</v>
      </c>
      <c r="DR5" s="211">
        <f t="shared" si="120"/>
        <v>227.79666666666665</v>
      </c>
      <c r="DS5" s="5">
        <f t="shared" si="121"/>
        <v>11.1</v>
      </c>
      <c r="DT5" s="21">
        <f t="shared" si="122"/>
        <v>0.32396820211259936</v>
      </c>
      <c r="DU5" s="6">
        <f t="shared" si="123"/>
        <v>80.17</v>
      </c>
      <c r="DV5" s="5">
        <f t="shared" si="124"/>
        <v>3.9064970221981592</v>
      </c>
      <c r="DW5" s="5">
        <f t="shared" si="125"/>
        <v>42.734163508391987</v>
      </c>
      <c r="DX5" s="181">
        <f t="shared" si="126"/>
        <v>125</v>
      </c>
      <c r="DY5" s="5">
        <f t="shared" si="127"/>
        <v>6.0909583107742282</v>
      </c>
      <c r="DZ5" s="6">
        <f t="shared" si="128"/>
        <v>85</v>
      </c>
      <c r="EA5" s="5">
        <f t="shared" si="129"/>
        <v>4.1418516513264754</v>
      </c>
      <c r="EB5" s="21">
        <f t="shared" si="130"/>
        <v>0.68</v>
      </c>
      <c r="EC5" s="6">
        <f t="shared" si="131"/>
        <v>206</v>
      </c>
      <c r="ED5" s="5">
        <f t="shared" si="132"/>
        <v>10.037899296155928</v>
      </c>
      <c r="EE5" s="6">
        <f t="shared" si="133"/>
        <v>94</v>
      </c>
      <c r="EF5" s="5">
        <f t="shared" si="134"/>
        <v>4.5804006497022201</v>
      </c>
      <c r="EG5" s="6">
        <f t="shared" si="135"/>
        <v>96</v>
      </c>
      <c r="EH5" s="5">
        <f t="shared" si="136"/>
        <v>4.6778559826746076</v>
      </c>
      <c r="EI5" s="5">
        <f t="shared" si="137"/>
        <v>11.1</v>
      </c>
      <c r="EJ5" s="5">
        <f t="shared" si="138"/>
        <v>6.91</v>
      </c>
      <c r="EK5" s="301" t="s">
        <v>19</v>
      </c>
      <c r="EL5" s="297" t="s">
        <v>13</v>
      </c>
      <c r="EM5" s="297" t="s">
        <v>1106</v>
      </c>
      <c r="EN5" s="297">
        <v>35</v>
      </c>
      <c r="EO5" s="297" t="s">
        <v>580</v>
      </c>
      <c r="EP5" s="297" t="s">
        <v>546</v>
      </c>
      <c r="EQ5" s="297" t="s">
        <v>643</v>
      </c>
      <c r="ER5" s="297" t="s">
        <v>919</v>
      </c>
      <c r="ES5" s="297" t="s">
        <v>680</v>
      </c>
      <c r="ET5" s="298">
        <v>46387</v>
      </c>
      <c r="EU5" s="297">
        <v>1847</v>
      </c>
      <c r="EV5" s="297" t="s">
        <v>977</v>
      </c>
      <c r="EW5" s="297">
        <v>2</v>
      </c>
      <c r="EX5" s="297">
        <v>13</v>
      </c>
      <c r="EY5" s="297">
        <v>1</v>
      </c>
      <c r="EZ5" s="297">
        <v>0</v>
      </c>
      <c r="FA5" s="297">
        <v>89</v>
      </c>
      <c r="FB5" s="297">
        <v>348</v>
      </c>
      <c r="FC5" s="297">
        <v>11.1</v>
      </c>
      <c r="FD5" s="297" t="s">
        <v>1120</v>
      </c>
      <c r="FE5" s="297" t="s">
        <v>1121</v>
      </c>
      <c r="FF5" s="297">
        <v>24</v>
      </c>
      <c r="FG5" s="297">
        <v>22</v>
      </c>
      <c r="FH5" s="297">
        <v>607</v>
      </c>
      <c r="FI5" s="297">
        <v>537</v>
      </c>
      <c r="FJ5" s="297">
        <v>28</v>
      </c>
      <c r="FK5" s="297">
        <v>25</v>
      </c>
      <c r="FL5" s="297">
        <v>15</v>
      </c>
      <c r="FM5" s="297">
        <v>66</v>
      </c>
      <c r="FN5" s="297">
        <v>40</v>
      </c>
      <c r="FO5" s="297">
        <v>181</v>
      </c>
      <c r="FP5" s="297">
        <v>77</v>
      </c>
      <c r="FQ5" s="297">
        <v>61</v>
      </c>
      <c r="FR5" s="297">
        <v>17</v>
      </c>
      <c r="FS5" s="297">
        <v>10</v>
      </c>
      <c r="FT5" s="297">
        <v>8</v>
      </c>
      <c r="FU5" s="297">
        <v>15</v>
      </c>
      <c r="FV5" s="297">
        <v>16</v>
      </c>
      <c r="FW5" s="297">
        <v>2</v>
      </c>
      <c r="FX5" s="297">
        <v>18</v>
      </c>
      <c r="FY5" s="297">
        <v>2</v>
      </c>
      <c r="FZ5" s="297">
        <v>2</v>
      </c>
      <c r="GA5" s="297">
        <v>0.9</v>
      </c>
      <c r="GB5" s="297">
        <v>0</v>
      </c>
      <c r="GC5" s="297">
        <v>22</v>
      </c>
      <c r="GD5" s="297">
        <v>0</v>
      </c>
      <c r="GE5" s="297">
        <v>0</v>
      </c>
      <c r="GF5" s="297">
        <v>6.9</v>
      </c>
      <c r="GG5" s="297" t="s">
        <v>1012</v>
      </c>
      <c r="GH5" s="302">
        <v>6.91</v>
      </c>
    </row>
    <row r="6" spans="1:190" ht="24.95" customHeight="1" thickBot="1" x14ac:dyDescent="0.3">
      <c r="A6" s="29" t="str">
        <f t="shared" si="0"/>
        <v>5º</v>
      </c>
      <c r="B6" s="69" t="str">
        <f t="shared" si="1"/>
        <v>Hulk</v>
      </c>
      <c r="C6" s="86" t="str">
        <f t="shared" si="2"/>
        <v>BRA</v>
      </c>
      <c r="D6" s="99" t="str">
        <f t="shared" si="3"/>
        <v>Pé Esquerdo</v>
      </c>
      <c r="E6" s="28" t="str">
        <f t="shared" si="4"/>
        <v>Atlético Mineiro</v>
      </c>
      <c r="F6" s="167">
        <f t="shared" si="5"/>
        <v>1.79</v>
      </c>
      <c r="G6" s="150">
        <f t="shared" si="6"/>
        <v>46387</v>
      </c>
      <c r="H6" s="169">
        <f t="shared" si="7"/>
        <v>40</v>
      </c>
      <c r="I6" s="203" t="str">
        <f t="shared" si="8"/>
        <v>375m € p/m</v>
      </c>
      <c r="J6" s="189" t="str">
        <f t="shared" si="9"/>
        <v>30m € - 300m €</v>
      </c>
      <c r="K6" s="96">
        <f t="shared" si="10"/>
        <v>23.671111111111109</v>
      </c>
      <c r="L6" s="146">
        <f t="shared" si="11"/>
        <v>31.744444444444444</v>
      </c>
      <c r="M6" s="146">
        <f t="shared" si="12"/>
        <v>32</v>
      </c>
      <c r="N6" s="146">
        <f t="shared" si="13"/>
        <v>89.28125</v>
      </c>
      <c r="O6" s="187">
        <f t="shared" si="14"/>
        <v>1</v>
      </c>
      <c r="P6" s="2">
        <f t="shared" si="15"/>
        <v>303</v>
      </c>
      <c r="Q6" s="5">
        <f t="shared" si="16"/>
        <v>0.5509090909090909</v>
      </c>
      <c r="R6" s="5">
        <f t="shared" si="17"/>
        <v>0.53552677633881696</v>
      </c>
      <c r="S6" s="5">
        <f t="shared" si="18"/>
        <v>0.66153307665383276</v>
      </c>
      <c r="T6" s="5">
        <f t="shared" si="19"/>
        <v>0.12600630031501575</v>
      </c>
      <c r="U6" s="6">
        <f t="shared" si="20"/>
        <v>2</v>
      </c>
      <c r="V6" s="24">
        <f t="shared" si="21"/>
        <v>1428.5</v>
      </c>
      <c r="W6" s="21">
        <f t="shared" si="22"/>
        <v>6.3003150157507876E-2</v>
      </c>
      <c r="X6" s="2">
        <f t="shared" si="23"/>
        <v>17</v>
      </c>
      <c r="Y6" s="2">
        <f t="shared" si="24"/>
        <v>4</v>
      </c>
      <c r="Z6" s="2">
        <f t="shared" si="25"/>
        <v>21</v>
      </c>
      <c r="AA6" s="371">
        <f t="shared" si="26"/>
        <v>9</v>
      </c>
      <c r="AB6" s="371">
        <f t="shared" si="27"/>
        <v>4</v>
      </c>
      <c r="AC6" s="372">
        <f t="shared" si="28"/>
        <v>3</v>
      </c>
      <c r="AD6" s="6">
        <f t="shared" si="29"/>
        <v>14</v>
      </c>
      <c r="AE6" s="20">
        <f t="shared" si="30"/>
        <v>0.82352941176470584</v>
      </c>
      <c r="AF6" s="20">
        <f t="shared" si="31"/>
        <v>0.19047619047619047</v>
      </c>
      <c r="AG6" s="20">
        <f t="shared" si="32"/>
        <v>0.14285714285714285</v>
      </c>
      <c r="AH6" s="5">
        <f t="shared" si="33"/>
        <v>0.53552677633881696</v>
      </c>
      <c r="AI6" s="5">
        <f t="shared" si="34"/>
        <v>0.12600630031501575</v>
      </c>
      <c r="AJ6" s="5">
        <f t="shared" si="35"/>
        <v>0.66153307665383276</v>
      </c>
      <c r="AK6" s="5">
        <f t="shared" si="36"/>
        <v>0.44102205110255516</v>
      </c>
      <c r="AL6" s="6">
        <f t="shared" si="37"/>
        <v>9</v>
      </c>
      <c r="AM6" s="5">
        <f t="shared" si="38"/>
        <v>0.28351417570878545</v>
      </c>
      <c r="AN6" s="6">
        <f t="shared" si="39"/>
        <v>4</v>
      </c>
      <c r="AO6" s="5">
        <f t="shared" si="40"/>
        <v>0.12600630031501575</v>
      </c>
      <c r="AP6" s="5">
        <f t="shared" si="41"/>
        <v>1.3</v>
      </c>
      <c r="AQ6" s="21">
        <f t="shared" si="42"/>
        <v>9.6927923319242881E-2</v>
      </c>
      <c r="AR6" s="328">
        <f t="shared" si="43"/>
        <v>50</v>
      </c>
      <c r="AS6" s="329">
        <f t="shared" si="44"/>
        <v>1.5750787539376969</v>
      </c>
      <c r="AT6" s="328">
        <f t="shared" si="45"/>
        <v>10</v>
      </c>
      <c r="AU6" s="329">
        <f t="shared" si="46"/>
        <v>0.31501575078753941</v>
      </c>
      <c r="AV6" s="332">
        <f t="shared" si="47"/>
        <v>0.2</v>
      </c>
      <c r="AW6" s="343">
        <f t="shared" si="48"/>
        <v>11</v>
      </c>
      <c r="AX6" s="328">
        <f t="shared" si="49"/>
        <v>4</v>
      </c>
      <c r="AY6" s="328">
        <f t="shared" si="50"/>
        <v>3</v>
      </c>
      <c r="AZ6" s="346">
        <f t="shared" si="51"/>
        <v>1</v>
      </c>
      <c r="BA6" s="329">
        <f t="shared" si="52"/>
        <v>9.4504725236261813E-2</v>
      </c>
      <c r="BB6" s="20">
        <f t="shared" si="53"/>
        <v>0.75</v>
      </c>
      <c r="BC6" s="2">
        <f t="shared" si="54"/>
        <v>187</v>
      </c>
      <c r="BD6" s="2">
        <f t="shared" si="55"/>
        <v>31</v>
      </c>
      <c r="BE6" s="5">
        <f t="shared" si="56"/>
        <v>5.8907945397269863</v>
      </c>
      <c r="BF6" s="5">
        <f t="shared" si="57"/>
        <v>0.97654882744137206</v>
      </c>
      <c r="BG6" s="2">
        <f t="shared" si="58"/>
        <v>156</v>
      </c>
      <c r="BH6" s="107">
        <f t="shared" si="59"/>
        <v>0.16577540106951871</v>
      </c>
      <c r="BI6" s="107">
        <f t="shared" si="60"/>
        <v>0.83422459893048129</v>
      </c>
      <c r="BJ6" s="355">
        <f t="shared" si="61"/>
        <v>28</v>
      </c>
      <c r="BK6" s="329">
        <f t="shared" si="62"/>
        <v>0.88204410220511031</v>
      </c>
      <c r="BL6" s="6">
        <f t="shared" si="63"/>
        <v>97</v>
      </c>
      <c r="BM6" s="5">
        <f t="shared" si="64"/>
        <v>3.055652782639132</v>
      </c>
      <c r="BN6" s="6">
        <f t="shared" si="65"/>
        <v>39</v>
      </c>
      <c r="BO6" s="5">
        <f t="shared" si="66"/>
        <v>1.2285614280714037</v>
      </c>
      <c r="BP6" s="21">
        <f t="shared" si="67"/>
        <v>0.40206185567010311</v>
      </c>
      <c r="BQ6" s="5">
        <f t="shared" si="68"/>
        <v>6.6428571428571432</v>
      </c>
      <c r="BR6" s="5">
        <f t="shared" si="69"/>
        <v>2.5</v>
      </c>
      <c r="BS6" s="5">
        <f t="shared" si="70"/>
        <v>20</v>
      </c>
      <c r="BT6" s="107">
        <f t="shared" si="71"/>
        <v>0.15053763440860216</v>
      </c>
      <c r="BU6" s="5">
        <f t="shared" si="72"/>
        <v>0.51754473725362715</v>
      </c>
      <c r="BV6" s="5">
        <f t="shared" si="73"/>
        <v>0.47535876793839693</v>
      </c>
      <c r="BW6" s="5">
        <f t="shared" si="74"/>
        <v>0.53552677633881696</v>
      </c>
      <c r="BX6" s="279">
        <f t="shared" si="75"/>
        <v>6.0168008400420026E-2</v>
      </c>
      <c r="BY6" s="278">
        <f t="shared" si="76"/>
        <v>0.12827956989247311</v>
      </c>
      <c r="BZ6" s="5">
        <f t="shared" si="77"/>
        <v>29.453608247422679</v>
      </c>
      <c r="CA6" s="5">
        <f t="shared" si="78"/>
        <v>73.256410256410263</v>
      </c>
      <c r="CB6" s="5">
        <f t="shared" si="79"/>
        <v>168.05882352941177</v>
      </c>
      <c r="CC6" s="5">
        <f t="shared" si="80"/>
        <v>136.04761904761904</v>
      </c>
      <c r="CD6" s="5">
        <f t="shared" si="81"/>
        <v>1.9100000000000001</v>
      </c>
      <c r="CE6" s="5">
        <f t="shared" si="139"/>
        <v>2.0700000000000003</v>
      </c>
      <c r="CF6" s="5">
        <f t="shared" si="82"/>
        <v>15.09</v>
      </c>
      <c r="CG6" s="5">
        <f t="shared" si="83"/>
        <v>0.47535876793839693</v>
      </c>
      <c r="CH6" s="5">
        <f t="shared" si="84"/>
        <v>11.93</v>
      </c>
      <c r="CI6" s="5">
        <f t="shared" si="85"/>
        <v>0.37581379068953447</v>
      </c>
      <c r="CJ6" s="5">
        <f t="shared" si="86"/>
        <v>6.66</v>
      </c>
      <c r="CK6" s="5">
        <f t="shared" si="87"/>
        <v>0.20980049002450124</v>
      </c>
      <c r="CL6" s="5">
        <f t="shared" si="88"/>
        <v>18.59</v>
      </c>
      <c r="CM6" s="5">
        <f t="shared" si="89"/>
        <v>0.58561428071403576</v>
      </c>
      <c r="CN6" s="21">
        <f t="shared" si="90"/>
        <v>0.52976004985976932</v>
      </c>
      <c r="CO6" s="6">
        <f t="shared" si="91"/>
        <v>47</v>
      </c>
      <c r="CP6" s="5">
        <f t="shared" si="92"/>
        <v>1.4805740287014351</v>
      </c>
      <c r="CQ6" s="5">
        <f t="shared" si="93"/>
        <v>6.66</v>
      </c>
      <c r="CR6" s="5">
        <f t="shared" si="94"/>
        <v>2.66</v>
      </c>
      <c r="CS6" s="6">
        <f t="shared" si="95"/>
        <v>14</v>
      </c>
      <c r="CT6" s="5">
        <f t="shared" si="96"/>
        <v>0.44102205110255516</v>
      </c>
      <c r="CU6" s="6">
        <f t="shared" si="97"/>
        <v>5</v>
      </c>
      <c r="CV6" s="5">
        <f t="shared" si="98"/>
        <v>0.1575078753937697</v>
      </c>
      <c r="CW6" s="21">
        <f t="shared" si="99"/>
        <v>0.35714285714285715</v>
      </c>
      <c r="CX6" s="357">
        <f t="shared" si="100"/>
        <v>36</v>
      </c>
      <c r="CY6" s="358">
        <f t="shared" si="101"/>
        <v>1.1340567028351418</v>
      </c>
      <c r="CZ6" s="210">
        <f t="shared" si="102"/>
        <v>7.4763738186909352</v>
      </c>
      <c r="DA6" s="2">
        <f t="shared" si="103"/>
        <v>105</v>
      </c>
      <c r="DB6" s="5">
        <f t="shared" si="104"/>
        <v>3.3076653832691636</v>
      </c>
      <c r="DC6" s="2">
        <f t="shared" si="105"/>
        <v>19</v>
      </c>
      <c r="DD6" s="5">
        <f t="shared" si="106"/>
        <v>0.59852992649632486</v>
      </c>
      <c r="DE6" s="107">
        <f t="shared" si="107"/>
        <v>0.18095238095238095</v>
      </c>
      <c r="DF6" s="6">
        <f t="shared" si="108"/>
        <v>33</v>
      </c>
      <c r="DG6" s="5">
        <f t="shared" si="109"/>
        <v>1.03955197759888</v>
      </c>
      <c r="DH6" s="6">
        <f t="shared" si="110"/>
        <v>30</v>
      </c>
      <c r="DI6" s="5">
        <f t="shared" si="111"/>
        <v>0.94504725236261811</v>
      </c>
      <c r="DJ6" s="5">
        <f t="shared" si="112"/>
        <v>356</v>
      </c>
      <c r="DK6" s="5">
        <f t="shared" si="113"/>
        <v>11.214560728036401</v>
      </c>
      <c r="DL6" s="328">
        <f t="shared" si="114"/>
        <v>257.13</v>
      </c>
      <c r="DM6" s="356">
        <f t="shared" si="115"/>
        <v>8.1</v>
      </c>
      <c r="DN6" s="6">
        <f t="shared" si="116"/>
        <v>483.09</v>
      </c>
      <c r="DO6" s="5">
        <f t="shared" si="117"/>
        <v>15.21809590479524</v>
      </c>
      <c r="DP6" s="6">
        <f t="shared" si="118"/>
        <v>176</v>
      </c>
      <c r="DQ6" s="5">
        <f t="shared" si="119"/>
        <v>5.5442772138606928</v>
      </c>
      <c r="DR6" s="211">
        <f t="shared" si="120"/>
        <v>276.17666666666662</v>
      </c>
      <c r="DS6" s="5">
        <f t="shared" si="121"/>
        <v>8.6999999999999993</v>
      </c>
      <c r="DT6" s="21">
        <f t="shared" si="122"/>
        <v>0.36432134798898758</v>
      </c>
      <c r="DU6" s="6">
        <f t="shared" si="123"/>
        <v>124.16</v>
      </c>
      <c r="DV6" s="5">
        <f t="shared" si="124"/>
        <v>3.911235561778089</v>
      </c>
      <c r="DW6" s="5">
        <f t="shared" si="125"/>
        <v>36.825341267063351</v>
      </c>
      <c r="DX6" s="181">
        <f t="shared" si="126"/>
        <v>194</v>
      </c>
      <c r="DY6" s="5">
        <f t="shared" si="127"/>
        <v>6.111305565278264</v>
      </c>
      <c r="DZ6" s="6">
        <f t="shared" si="128"/>
        <v>127</v>
      </c>
      <c r="EA6" s="5">
        <f t="shared" si="129"/>
        <v>4.0007000350017501</v>
      </c>
      <c r="EB6" s="21">
        <f t="shared" si="130"/>
        <v>0.65463917525773196</v>
      </c>
      <c r="EC6" s="6">
        <f t="shared" si="131"/>
        <v>298</v>
      </c>
      <c r="ED6" s="5">
        <f t="shared" si="132"/>
        <v>9.387469373468674</v>
      </c>
      <c r="EE6" s="6">
        <f t="shared" si="133"/>
        <v>156</v>
      </c>
      <c r="EF6" s="5">
        <f t="shared" si="134"/>
        <v>4.9142457122856147</v>
      </c>
      <c r="EG6" s="6">
        <f t="shared" si="135"/>
        <v>158</v>
      </c>
      <c r="EH6" s="5">
        <f t="shared" si="136"/>
        <v>4.9772488624431226</v>
      </c>
      <c r="EI6" s="5">
        <f t="shared" si="137"/>
        <v>8.6999999999999993</v>
      </c>
      <c r="EJ6" s="5">
        <f t="shared" si="138"/>
        <v>6.92</v>
      </c>
      <c r="EK6" s="299" t="s">
        <v>19</v>
      </c>
      <c r="EL6" s="295" t="s">
        <v>13</v>
      </c>
      <c r="EM6" s="295" t="s">
        <v>818</v>
      </c>
      <c r="EN6" s="295">
        <v>40</v>
      </c>
      <c r="EO6" s="295" t="s">
        <v>557</v>
      </c>
      <c r="EP6" s="295" t="s">
        <v>616</v>
      </c>
      <c r="EQ6" s="295" t="s">
        <v>651</v>
      </c>
      <c r="ER6" s="295" t="s">
        <v>760</v>
      </c>
      <c r="ES6" s="295" t="s">
        <v>819</v>
      </c>
      <c r="ET6" s="296">
        <v>46387</v>
      </c>
      <c r="EU6" s="295">
        <v>2857</v>
      </c>
      <c r="EV6" s="295">
        <v>32</v>
      </c>
      <c r="EW6" s="295">
        <v>2</v>
      </c>
      <c r="EX6" s="295">
        <v>17</v>
      </c>
      <c r="EY6" s="295">
        <v>4</v>
      </c>
      <c r="EZ6" s="295">
        <v>12</v>
      </c>
      <c r="FA6" s="295">
        <v>303</v>
      </c>
      <c r="FB6" s="295">
        <v>550</v>
      </c>
      <c r="FC6" s="295">
        <v>8.6999999999999993</v>
      </c>
      <c r="FD6" s="295" t="s">
        <v>1114</v>
      </c>
      <c r="FE6" s="295" t="s">
        <v>824</v>
      </c>
      <c r="FF6" s="295">
        <v>39</v>
      </c>
      <c r="FG6" s="295">
        <v>30</v>
      </c>
      <c r="FH6" s="295">
        <v>840</v>
      </c>
      <c r="FI6" s="295">
        <v>740</v>
      </c>
      <c r="FJ6" s="295">
        <v>47</v>
      </c>
      <c r="FK6" s="295">
        <v>35</v>
      </c>
      <c r="FL6" s="295">
        <v>36</v>
      </c>
      <c r="FM6" s="295">
        <v>97</v>
      </c>
      <c r="FN6" s="295">
        <v>39</v>
      </c>
      <c r="FO6" s="295">
        <v>187</v>
      </c>
      <c r="FP6" s="295">
        <v>31</v>
      </c>
      <c r="FQ6" s="295">
        <v>53</v>
      </c>
      <c r="FR6" s="295">
        <v>14</v>
      </c>
      <c r="FS6" s="295">
        <v>13</v>
      </c>
      <c r="FT6" s="295">
        <v>5</v>
      </c>
      <c r="FU6" s="295">
        <v>33</v>
      </c>
      <c r="FV6" s="295">
        <v>14</v>
      </c>
      <c r="FW6" s="295">
        <v>5</v>
      </c>
      <c r="FX6" s="295">
        <v>64</v>
      </c>
      <c r="FY6" s="295">
        <v>15</v>
      </c>
      <c r="FZ6" s="295">
        <v>4</v>
      </c>
      <c r="GA6" s="295">
        <v>1.3</v>
      </c>
      <c r="GB6" s="295">
        <v>11</v>
      </c>
      <c r="GC6" s="295">
        <v>28</v>
      </c>
      <c r="GD6" s="295">
        <v>4</v>
      </c>
      <c r="GE6" s="295">
        <v>3</v>
      </c>
      <c r="GF6" s="295">
        <v>8.1</v>
      </c>
      <c r="GG6" s="295" t="s">
        <v>1099</v>
      </c>
      <c r="GH6" s="300">
        <v>6.92</v>
      </c>
    </row>
    <row r="7" spans="1:190" ht="24.95" customHeight="1" thickBot="1" x14ac:dyDescent="0.3">
      <c r="A7" s="29" t="str">
        <f t="shared" si="0"/>
        <v>6º</v>
      </c>
      <c r="B7" s="69" t="str">
        <f t="shared" si="1"/>
        <v>João Pedro</v>
      </c>
      <c r="C7" s="86" t="str">
        <f t="shared" si="2"/>
        <v>GNB</v>
      </c>
      <c r="D7" s="99" t="str">
        <f t="shared" si="3"/>
        <v>Pé Direito</v>
      </c>
      <c r="E7" s="28" t="str">
        <f t="shared" si="4"/>
        <v>Remo</v>
      </c>
      <c r="F7" s="167">
        <f t="shared" si="5"/>
        <v>1.85</v>
      </c>
      <c r="G7" s="150">
        <f t="shared" si="6"/>
        <v>47118</v>
      </c>
      <c r="H7" s="169">
        <f t="shared" si="7"/>
        <v>29</v>
      </c>
      <c r="I7" s="203" t="str">
        <f t="shared" si="8"/>
        <v>8,5m € p/m</v>
      </c>
      <c r="J7" s="189" t="str">
        <f t="shared" si="9"/>
        <v>90m € - 300m €</v>
      </c>
      <c r="K7" s="96">
        <f t="shared" si="10"/>
        <v>23.671111111111109</v>
      </c>
      <c r="L7" s="146">
        <f t="shared" si="11"/>
        <v>35.544444444444444</v>
      </c>
      <c r="M7" s="146">
        <f t="shared" si="12"/>
        <v>45</v>
      </c>
      <c r="N7" s="146">
        <f t="shared" si="13"/>
        <v>71.088888888888889</v>
      </c>
      <c r="O7" s="187">
        <f t="shared" si="14"/>
        <v>0.8</v>
      </c>
      <c r="P7" s="2">
        <f t="shared" si="15"/>
        <v>77</v>
      </c>
      <c r="Q7" s="5">
        <f t="shared" si="16"/>
        <v>0.23333333333333334</v>
      </c>
      <c r="R7" s="5">
        <f t="shared" si="17"/>
        <v>0.42200687714910912</v>
      </c>
      <c r="S7" s="5">
        <f t="shared" si="18"/>
        <v>0.70334479524851512</v>
      </c>
      <c r="T7" s="5">
        <f t="shared" si="19"/>
        <v>0.28133791809940606</v>
      </c>
      <c r="U7" s="6">
        <f t="shared" si="20"/>
        <v>4</v>
      </c>
      <c r="V7" s="24">
        <f t="shared" si="21"/>
        <v>799.75</v>
      </c>
      <c r="W7" s="21">
        <f t="shared" si="22"/>
        <v>0.11253516723976242</v>
      </c>
      <c r="X7" s="2">
        <f t="shared" si="23"/>
        <v>15</v>
      </c>
      <c r="Y7" s="2">
        <f t="shared" si="24"/>
        <v>10</v>
      </c>
      <c r="Z7" s="2">
        <f t="shared" si="25"/>
        <v>25</v>
      </c>
      <c r="AA7" s="371">
        <f t="shared" si="26"/>
        <v>8</v>
      </c>
      <c r="AB7" s="371">
        <f t="shared" si="27"/>
        <v>3</v>
      </c>
      <c r="AC7" s="372">
        <f t="shared" si="28"/>
        <v>3</v>
      </c>
      <c r="AD7" s="6">
        <f t="shared" si="29"/>
        <v>12</v>
      </c>
      <c r="AE7" s="20">
        <f t="shared" si="30"/>
        <v>0.8</v>
      </c>
      <c r="AF7" s="20">
        <f t="shared" si="31"/>
        <v>0.4</v>
      </c>
      <c r="AG7" s="20">
        <f t="shared" si="32"/>
        <v>0.12</v>
      </c>
      <c r="AH7" s="5">
        <f t="shared" si="33"/>
        <v>0.42200687714910912</v>
      </c>
      <c r="AI7" s="5">
        <f t="shared" si="34"/>
        <v>0.28133791809940606</v>
      </c>
      <c r="AJ7" s="5">
        <f t="shared" si="35"/>
        <v>0.70334479524851512</v>
      </c>
      <c r="AK7" s="5">
        <f t="shared" si="36"/>
        <v>0.33760550171928727</v>
      </c>
      <c r="AL7" s="6">
        <f t="shared" si="37"/>
        <v>8</v>
      </c>
      <c r="AM7" s="5">
        <f t="shared" si="38"/>
        <v>0.22507033447952485</v>
      </c>
      <c r="AN7" s="6">
        <f t="shared" si="39"/>
        <v>3</v>
      </c>
      <c r="AO7" s="5">
        <f t="shared" si="40"/>
        <v>8.4401375429821818E-2</v>
      </c>
      <c r="AP7" s="5">
        <f t="shared" si="41"/>
        <v>0.8</v>
      </c>
      <c r="AQ7" s="21">
        <f t="shared" si="42"/>
        <v>0.10550171928727727</v>
      </c>
      <c r="AR7" s="328">
        <f t="shared" si="43"/>
        <v>0</v>
      </c>
      <c r="AS7" s="329">
        <f t="shared" si="44"/>
        <v>0</v>
      </c>
      <c r="AT7" s="328">
        <f t="shared" si="45"/>
        <v>0</v>
      </c>
      <c r="AU7" s="329">
        <f t="shared" si="46"/>
        <v>0</v>
      </c>
      <c r="AV7" s="332">
        <f t="shared" si="47"/>
        <v>0</v>
      </c>
      <c r="AW7" s="343">
        <f t="shared" si="48"/>
        <v>1</v>
      </c>
      <c r="AX7" s="328">
        <f t="shared" si="49"/>
        <v>4</v>
      </c>
      <c r="AY7" s="328">
        <f t="shared" si="50"/>
        <v>3</v>
      </c>
      <c r="AZ7" s="346">
        <f t="shared" si="51"/>
        <v>1</v>
      </c>
      <c r="BA7" s="329">
        <f t="shared" si="52"/>
        <v>8.4401375429821818E-2</v>
      </c>
      <c r="BB7" s="20">
        <f t="shared" si="53"/>
        <v>0.75</v>
      </c>
      <c r="BC7" s="2">
        <f t="shared" si="54"/>
        <v>294</v>
      </c>
      <c r="BD7" s="2">
        <f t="shared" si="55"/>
        <v>108</v>
      </c>
      <c r="BE7" s="5">
        <f t="shared" si="56"/>
        <v>8.2713347921225377</v>
      </c>
      <c r="BF7" s="5">
        <f t="shared" si="57"/>
        <v>3.0384495154735855</v>
      </c>
      <c r="BG7" s="2">
        <f t="shared" si="58"/>
        <v>186</v>
      </c>
      <c r="BH7" s="107">
        <f t="shared" si="59"/>
        <v>0.36734693877551022</v>
      </c>
      <c r="BI7" s="107">
        <f t="shared" si="60"/>
        <v>0.63265306122448983</v>
      </c>
      <c r="BJ7" s="355">
        <f t="shared" si="61"/>
        <v>36</v>
      </c>
      <c r="BK7" s="329">
        <f t="shared" si="62"/>
        <v>1.0128165051578619</v>
      </c>
      <c r="BL7" s="6">
        <f t="shared" si="63"/>
        <v>94</v>
      </c>
      <c r="BM7" s="5">
        <f t="shared" si="64"/>
        <v>2.6445764301344172</v>
      </c>
      <c r="BN7" s="6">
        <f t="shared" si="65"/>
        <v>45</v>
      </c>
      <c r="BO7" s="5">
        <f t="shared" si="66"/>
        <v>1.2660206314473272</v>
      </c>
      <c r="BP7" s="21">
        <f t="shared" si="67"/>
        <v>0.47872340425531917</v>
      </c>
      <c r="BQ7" s="5">
        <f t="shared" si="68"/>
        <v>7.5</v>
      </c>
      <c r="BR7" s="5">
        <f t="shared" si="69"/>
        <v>3.4166666666666665</v>
      </c>
      <c r="BS7" s="5">
        <f t="shared" si="70"/>
        <v>32</v>
      </c>
      <c r="BT7" s="107">
        <f t="shared" si="71"/>
        <v>0.13333333333333333</v>
      </c>
      <c r="BU7" s="5">
        <f t="shared" si="72"/>
        <v>0.42644905480331019</v>
      </c>
      <c r="BV7" s="5">
        <f t="shared" si="73"/>
        <v>0.3561738043138481</v>
      </c>
      <c r="BW7" s="5">
        <f t="shared" si="74"/>
        <v>0.42200687714910912</v>
      </c>
      <c r="BX7" s="279">
        <f t="shared" si="75"/>
        <v>6.5833072835261019E-2</v>
      </c>
      <c r="BY7" s="278">
        <f t="shared" si="76"/>
        <v>0.10555555555555556</v>
      </c>
      <c r="BZ7" s="5">
        <f t="shared" si="77"/>
        <v>34.031914893617021</v>
      </c>
      <c r="CA7" s="5">
        <f t="shared" si="78"/>
        <v>71.088888888888889</v>
      </c>
      <c r="CB7" s="5">
        <f t="shared" si="79"/>
        <v>213.26666666666668</v>
      </c>
      <c r="CC7" s="5">
        <f t="shared" si="80"/>
        <v>127.96</v>
      </c>
      <c r="CD7" s="5">
        <f t="shared" si="81"/>
        <v>2.34</v>
      </c>
      <c r="CE7" s="5">
        <f t="shared" si="139"/>
        <v>2.5</v>
      </c>
      <c r="CF7" s="5">
        <f t="shared" si="82"/>
        <v>12.66</v>
      </c>
      <c r="CG7" s="5">
        <f t="shared" si="83"/>
        <v>0.3561738043138481</v>
      </c>
      <c r="CH7" s="5">
        <f t="shared" si="84"/>
        <v>9.5</v>
      </c>
      <c r="CI7" s="5">
        <f t="shared" si="85"/>
        <v>0.26727102219443577</v>
      </c>
      <c r="CJ7" s="5">
        <f t="shared" si="86"/>
        <v>7.55</v>
      </c>
      <c r="CK7" s="5">
        <f t="shared" si="87"/>
        <v>0.21241012816505159</v>
      </c>
      <c r="CL7" s="5">
        <f t="shared" si="88"/>
        <v>17.05</v>
      </c>
      <c r="CM7" s="5">
        <f t="shared" si="89"/>
        <v>0.47968115035948738</v>
      </c>
      <c r="CN7" s="21">
        <f t="shared" si="90"/>
        <v>0.54229934924078094</v>
      </c>
      <c r="CO7" s="6">
        <f t="shared" si="91"/>
        <v>50</v>
      </c>
      <c r="CP7" s="5">
        <f t="shared" si="92"/>
        <v>1.4066895904970302</v>
      </c>
      <c r="CQ7" s="5">
        <f t="shared" si="93"/>
        <v>7.55</v>
      </c>
      <c r="CR7" s="5">
        <f t="shared" si="94"/>
        <v>-2.4500000000000002</v>
      </c>
      <c r="CS7" s="6">
        <f t="shared" si="95"/>
        <v>42</v>
      </c>
      <c r="CT7" s="5">
        <f t="shared" si="96"/>
        <v>1.1816192560175054</v>
      </c>
      <c r="CU7" s="6">
        <f t="shared" si="97"/>
        <v>13</v>
      </c>
      <c r="CV7" s="5">
        <f t="shared" si="98"/>
        <v>0.3657392935292279</v>
      </c>
      <c r="CW7" s="21">
        <f t="shared" si="99"/>
        <v>0.30952380952380953</v>
      </c>
      <c r="CX7" s="357">
        <f t="shared" si="100"/>
        <v>30</v>
      </c>
      <c r="CY7" s="358">
        <f t="shared" si="101"/>
        <v>0.84401375429821823</v>
      </c>
      <c r="CZ7" s="210">
        <f t="shared" si="102"/>
        <v>7.2472647702406991</v>
      </c>
      <c r="DA7" s="2">
        <f t="shared" si="103"/>
        <v>173</v>
      </c>
      <c r="DB7" s="5">
        <f t="shared" si="104"/>
        <v>4.867145983119725</v>
      </c>
      <c r="DC7" s="2">
        <f t="shared" si="105"/>
        <v>37</v>
      </c>
      <c r="DD7" s="5">
        <f t="shared" si="106"/>
        <v>1.0409502969678024</v>
      </c>
      <c r="DE7" s="107">
        <f t="shared" si="107"/>
        <v>0.2138728323699422</v>
      </c>
      <c r="DF7" s="6">
        <f t="shared" si="108"/>
        <v>31</v>
      </c>
      <c r="DG7" s="5">
        <f t="shared" si="109"/>
        <v>0.87214754610815881</v>
      </c>
      <c r="DH7" s="6">
        <f t="shared" si="110"/>
        <v>28</v>
      </c>
      <c r="DI7" s="5">
        <f t="shared" si="111"/>
        <v>0.78774617067833697</v>
      </c>
      <c r="DJ7" s="5">
        <f t="shared" si="112"/>
        <v>386.4</v>
      </c>
      <c r="DK7" s="5">
        <f t="shared" si="113"/>
        <v>10.87089715536105</v>
      </c>
      <c r="DL7" s="328">
        <f t="shared" si="114"/>
        <v>231.03888888888889</v>
      </c>
      <c r="DM7" s="356">
        <f t="shared" si="115"/>
        <v>6.5</v>
      </c>
      <c r="DN7" s="6">
        <f t="shared" si="116"/>
        <v>595.66</v>
      </c>
      <c r="DO7" s="5">
        <f t="shared" si="117"/>
        <v>16.758174429509221</v>
      </c>
      <c r="DP7" s="6">
        <f t="shared" si="118"/>
        <v>181</v>
      </c>
      <c r="DQ7" s="5">
        <f t="shared" si="119"/>
        <v>5.0922163175992496</v>
      </c>
      <c r="DR7" s="211">
        <f t="shared" si="120"/>
        <v>387.43444444444447</v>
      </c>
      <c r="DS7" s="5">
        <f t="shared" si="121"/>
        <v>10.9</v>
      </c>
      <c r="DT7" s="21">
        <f t="shared" si="122"/>
        <v>0.30386462075680759</v>
      </c>
      <c r="DU7" s="6">
        <f t="shared" si="123"/>
        <v>148.05000000000001</v>
      </c>
      <c r="DV7" s="5">
        <f t="shared" si="124"/>
        <v>4.1652078774617074</v>
      </c>
      <c r="DW7" s="5">
        <f t="shared" si="125"/>
        <v>50.809628008752739</v>
      </c>
      <c r="DX7" s="181">
        <f t="shared" si="126"/>
        <v>216</v>
      </c>
      <c r="DY7" s="5">
        <f t="shared" si="127"/>
        <v>6.0768990309471711</v>
      </c>
      <c r="DZ7" s="6">
        <f t="shared" si="128"/>
        <v>138</v>
      </c>
      <c r="EA7" s="5">
        <f t="shared" si="129"/>
        <v>3.8824632697718036</v>
      </c>
      <c r="EB7" s="21">
        <f t="shared" si="130"/>
        <v>0.63888888888888884</v>
      </c>
      <c r="EC7" s="6">
        <f t="shared" si="131"/>
        <v>373</v>
      </c>
      <c r="ED7" s="5">
        <f t="shared" si="132"/>
        <v>10.493904345107847</v>
      </c>
      <c r="EE7" s="6">
        <f t="shared" si="133"/>
        <v>161</v>
      </c>
      <c r="EF7" s="5">
        <f t="shared" si="134"/>
        <v>4.5295404814004376</v>
      </c>
      <c r="EG7" s="6">
        <f t="shared" si="135"/>
        <v>206</v>
      </c>
      <c r="EH7" s="5">
        <f t="shared" si="136"/>
        <v>5.7955611128477651</v>
      </c>
      <c r="EI7" s="5">
        <f t="shared" si="137"/>
        <v>10.9</v>
      </c>
      <c r="EJ7" s="5">
        <f t="shared" si="138"/>
        <v>7.07</v>
      </c>
      <c r="EK7" s="299"/>
      <c r="EL7" s="295" t="s">
        <v>821</v>
      </c>
      <c r="EM7" s="295" t="s">
        <v>585</v>
      </c>
      <c r="EN7" s="295">
        <v>29</v>
      </c>
      <c r="EO7" s="295" t="s">
        <v>558</v>
      </c>
      <c r="EP7" s="295" t="s">
        <v>587</v>
      </c>
      <c r="EQ7" s="295" t="s">
        <v>643</v>
      </c>
      <c r="ER7" s="295" t="s">
        <v>1102</v>
      </c>
      <c r="ES7" s="295" t="s">
        <v>761</v>
      </c>
      <c r="ET7" s="296">
        <v>47118</v>
      </c>
      <c r="EU7" s="295">
        <v>3199</v>
      </c>
      <c r="EV7" s="295" t="s">
        <v>1103</v>
      </c>
      <c r="EW7" s="295">
        <v>4</v>
      </c>
      <c r="EX7" s="295">
        <v>15</v>
      </c>
      <c r="EY7" s="295">
        <v>10</v>
      </c>
      <c r="EZ7" s="295">
        <v>17</v>
      </c>
      <c r="FA7" s="295">
        <v>77</v>
      </c>
      <c r="FB7" s="295">
        <v>330</v>
      </c>
      <c r="FC7" s="295">
        <v>10.9</v>
      </c>
      <c r="FD7" s="295" t="s">
        <v>1117</v>
      </c>
      <c r="FE7" s="295" t="s">
        <v>1118</v>
      </c>
      <c r="FF7" s="295">
        <v>47</v>
      </c>
      <c r="FG7" s="295">
        <v>28</v>
      </c>
      <c r="FH7" s="295">
        <v>1373</v>
      </c>
      <c r="FI7" s="295">
        <v>1216</v>
      </c>
      <c r="FJ7" s="295">
        <v>50</v>
      </c>
      <c r="FK7" s="295">
        <v>40</v>
      </c>
      <c r="FL7" s="295">
        <v>30</v>
      </c>
      <c r="FM7" s="295">
        <v>94</v>
      </c>
      <c r="FN7" s="295">
        <v>45</v>
      </c>
      <c r="FO7" s="295">
        <v>294</v>
      </c>
      <c r="FP7" s="295">
        <v>108</v>
      </c>
      <c r="FQ7" s="295">
        <v>109</v>
      </c>
      <c r="FR7" s="295">
        <v>26</v>
      </c>
      <c r="FS7" s="295">
        <v>17</v>
      </c>
      <c r="FT7" s="295">
        <v>11</v>
      </c>
      <c r="FU7" s="295">
        <v>31</v>
      </c>
      <c r="FV7" s="295">
        <v>42</v>
      </c>
      <c r="FW7" s="295">
        <v>13</v>
      </c>
      <c r="FX7" s="295">
        <v>42</v>
      </c>
      <c r="FY7" s="295">
        <v>13</v>
      </c>
      <c r="FZ7" s="295">
        <v>3</v>
      </c>
      <c r="GA7" s="295">
        <v>0.8</v>
      </c>
      <c r="GB7" s="295">
        <v>1</v>
      </c>
      <c r="GC7" s="295">
        <v>36</v>
      </c>
      <c r="GD7" s="295">
        <v>4</v>
      </c>
      <c r="GE7" s="295">
        <v>3</v>
      </c>
      <c r="GF7" s="295">
        <v>6.5</v>
      </c>
      <c r="GG7" s="295" t="s">
        <v>1104</v>
      </c>
      <c r="GH7" s="300">
        <v>7.07</v>
      </c>
    </row>
    <row r="8" spans="1:190" ht="24.95" customHeight="1" thickBot="1" x14ac:dyDescent="0.3">
      <c r="A8" s="29" t="str">
        <f t="shared" si="0"/>
        <v>7º</v>
      </c>
      <c r="B8" s="69" t="str">
        <f t="shared" si="1"/>
        <v>Mateo Cassierra</v>
      </c>
      <c r="C8" s="86" t="str">
        <f t="shared" si="2"/>
        <v>COL</v>
      </c>
      <c r="D8" s="99" t="str">
        <f t="shared" si="3"/>
        <v>Pé Direito</v>
      </c>
      <c r="E8" s="28" t="str">
        <f t="shared" si="4"/>
        <v>Atlético Mineiro</v>
      </c>
      <c r="F8" s="167">
        <f t="shared" si="5"/>
        <v>1.86</v>
      </c>
      <c r="G8" s="150">
        <f t="shared" si="6"/>
        <v>47483</v>
      </c>
      <c r="H8" s="169">
        <f t="shared" si="7"/>
        <v>29</v>
      </c>
      <c r="I8" s="203" t="str">
        <f t="shared" si="8"/>
        <v>41m € p/m</v>
      </c>
      <c r="J8" s="189" t="str">
        <f t="shared" si="9"/>
        <v>1,7M €</v>
      </c>
      <c r="K8" s="96">
        <f t="shared" si="10"/>
        <v>23.671111111111109</v>
      </c>
      <c r="L8" s="146">
        <f t="shared" si="11"/>
        <v>21.81111111111111</v>
      </c>
      <c r="M8" s="146">
        <f t="shared" si="12"/>
        <v>28</v>
      </c>
      <c r="N8" s="146">
        <f t="shared" si="13"/>
        <v>70.107142857142861</v>
      </c>
      <c r="O8" s="187">
        <f t="shared" si="14"/>
        <v>0.79</v>
      </c>
      <c r="P8" s="2">
        <f t="shared" si="15"/>
        <v>115</v>
      </c>
      <c r="Q8" s="5">
        <f t="shared" si="16"/>
        <v>0.36050156739811912</v>
      </c>
      <c r="R8" s="5">
        <f t="shared" si="17"/>
        <v>0.45848191543555783</v>
      </c>
      <c r="S8" s="5">
        <f t="shared" si="18"/>
        <v>0.59602649006622521</v>
      </c>
      <c r="T8" s="5">
        <f t="shared" si="19"/>
        <v>0.13754457463066735</v>
      </c>
      <c r="U8" s="6">
        <f t="shared" si="20"/>
        <v>2</v>
      </c>
      <c r="V8" s="24">
        <f t="shared" si="21"/>
        <v>981.5</v>
      </c>
      <c r="W8" s="21">
        <f t="shared" si="22"/>
        <v>9.1696383087111574E-2</v>
      </c>
      <c r="X8" s="2">
        <f t="shared" si="23"/>
        <v>10</v>
      </c>
      <c r="Y8" s="2">
        <f t="shared" si="24"/>
        <v>3</v>
      </c>
      <c r="Z8" s="2">
        <f t="shared" si="25"/>
        <v>13</v>
      </c>
      <c r="AA8" s="371">
        <f t="shared" si="26"/>
        <v>8</v>
      </c>
      <c r="AB8" s="371">
        <f t="shared" si="27"/>
        <v>1</v>
      </c>
      <c r="AC8" s="372">
        <f t="shared" si="28"/>
        <v>1</v>
      </c>
      <c r="AD8" s="6">
        <f t="shared" si="29"/>
        <v>9</v>
      </c>
      <c r="AE8" s="20">
        <f t="shared" si="30"/>
        <v>0.9</v>
      </c>
      <c r="AF8" s="20">
        <f t="shared" si="31"/>
        <v>0.23076923076923078</v>
      </c>
      <c r="AG8" s="20">
        <f t="shared" si="32"/>
        <v>7.6923076923076927E-2</v>
      </c>
      <c r="AH8" s="5">
        <f t="shared" si="33"/>
        <v>0.45848191543555783</v>
      </c>
      <c r="AI8" s="5">
        <f t="shared" si="34"/>
        <v>0.13754457463066735</v>
      </c>
      <c r="AJ8" s="5">
        <f t="shared" si="35"/>
        <v>0.59602649006622521</v>
      </c>
      <c r="AK8" s="5">
        <f t="shared" si="36"/>
        <v>0.41263372389200204</v>
      </c>
      <c r="AL8" s="6">
        <f t="shared" si="37"/>
        <v>8</v>
      </c>
      <c r="AM8" s="5">
        <f t="shared" si="38"/>
        <v>0.3667855323484463</v>
      </c>
      <c r="AN8" s="6">
        <f t="shared" si="39"/>
        <v>1</v>
      </c>
      <c r="AO8" s="5">
        <f t="shared" si="40"/>
        <v>4.5848191543555787E-2</v>
      </c>
      <c r="AP8" s="5">
        <f t="shared" si="41"/>
        <v>0.7</v>
      </c>
      <c r="AQ8" s="21">
        <f t="shared" si="42"/>
        <v>6.5497416490793992E-2</v>
      </c>
      <c r="AR8" s="328">
        <f t="shared" si="43"/>
        <v>0</v>
      </c>
      <c r="AS8" s="329">
        <f t="shared" si="44"/>
        <v>0</v>
      </c>
      <c r="AT8" s="328">
        <f t="shared" si="45"/>
        <v>0</v>
      </c>
      <c r="AU8" s="329">
        <f t="shared" si="46"/>
        <v>0</v>
      </c>
      <c r="AV8" s="332">
        <f t="shared" si="47"/>
        <v>0</v>
      </c>
      <c r="AW8" s="343">
        <f t="shared" si="48"/>
        <v>0</v>
      </c>
      <c r="AX8" s="328">
        <f t="shared" si="49"/>
        <v>1</v>
      </c>
      <c r="AY8" s="328">
        <f t="shared" si="50"/>
        <v>1</v>
      </c>
      <c r="AZ8" s="346">
        <f t="shared" si="51"/>
        <v>0</v>
      </c>
      <c r="BA8" s="329">
        <f t="shared" si="52"/>
        <v>4.5848191543555787E-2</v>
      </c>
      <c r="BB8" s="20">
        <f t="shared" si="53"/>
        <v>1</v>
      </c>
      <c r="BC8" s="2">
        <f t="shared" si="54"/>
        <v>186</v>
      </c>
      <c r="BD8" s="2">
        <f t="shared" si="55"/>
        <v>58</v>
      </c>
      <c r="BE8" s="5">
        <f t="shared" si="56"/>
        <v>8.5277636271013755</v>
      </c>
      <c r="BF8" s="5">
        <f t="shared" si="57"/>
        <v>2.6591951095262356</v>
      </c>
      <c r="BG8" s="2">
        <f t="shared" si="58"/>
        <v>128</v>
      </c>
      <c r="BH8" s="107">
        <f t="shared" si="59"/>
        <v>0.31182795698924731</v>
      </c>
      <c r="BI8" s="107">
        <f t="shared" si="60"/>
        <v>0.68817204301075274</v>
      </c>
      <c r="BJ8" s="355">
        <f t="shared" si="61"/>
        <v>25</v>
      </c>
      <c r="BK8" s="329">
        <f t="shared" si="62"/>
        <v>1.1462047885888946</v>
      </c>
      <c r="BL8" s="6">
        <f t="shared" si="63"/>
        <v>56</v>
      </c>
      <c r="BM8" s="5">
        <f t="shared" si="64"/>
        <v>2.567498726439124</v>
      </c>
      <c r="BN8" s="6">
        <f t="shared" si="65"/>
        <v>30</v>
      </c>
      <c r="BO8" s="5">
        <f t="shared" si="66"/>
        <v>1.3754457463066736</v>
      </c>
      <c r="BP8" s="21">
        <f t="shared" si="67"/>
        <v>0.5357142857142857</v>
      </c>
      <c r="BQ8" s="5">
        <f t="shared" si="68"/>
        <v>6.1111111111111107</v>
      </c>
      <c r="BR8" s="5">
        <f t="shared" si="69"/>
        <v>3.2222222222222223</v>
      </c>
      <c r="BS8" s="5">
        <f t="shared" si="70"/>
        <v>26.777777777777779</v>
      </c>
      <c r="BT8" s="107">
        <f t="shared" si="71"/>
        <v>0.16363636363636364</v>
      </c>
      <c r="BU8" s="5">
        <f t="shared" si="72"/>
        <v>0.56871416769188643</v>
      </c>
      <c r="BV8" s="5">
        <f t="shared" si="73"/>
        <v>0.33560876209882834</v>
      </c>
      <c r="BW8" s="5">
        <f t="shared" si="74"/>
        <v>0.45848191543555783</v>
      </c>
      <c r="BX8" s="279">
        <f t="shared" si="75"/>
        <v>0.12287315333672949</v>
      </c>
      <c r="BY8" s="278">
        <f t="shared" si="76"/>
        <v>0.11872727272727274</v>
      </c>
      <c r="BZ8" s="5">
        <f t="shared" si="77"/>
        <v>35.053571428571431</v>
      </c>
      <c r="CA8" s="5">
        <f t="shared" si="78"/>
        <v>65.433333333333337</v>
      </c>
      <c r="CB8" s="5">
        <f t="shared" si="79"/>
        <v>196.3</v>
      </c>
      <c r="CC8" s="5">
        <f t="shared" si="80"/>
        <v>151</v>
      </c>
      <c r="CD8" s="5">
        <f t="shared" si="81"/>
        <v>2.6799999999999997</v>
      </c>
      <c r="CE8" s="5">
        <f t="shared" si="139"/>
        <v>2.4699999999999998</v>
      </c>
      <c r="CF8" s="5">
        <f t="shared" si="82"/>
        <v>7.32</v>
      </c>
      <c r="CG8" s="5">
        <f t="shared" si="83"/>
        <v>0.33560876209882834</v>
      </c>
      <c r="CH8" s="5">
        <f t="shared" si="84"/>
        <v>6.53</v>
      </c>
      <c r="CI8" s="5">
        <f t="shared" si="85"/>
        <v>0.29938869077941926</v>
      </c>
      <c r="CJ8" s="5">
        <f t="shared" si="86"/>
        <v>1.89</v>
      </c>
      <c r="CK8" s="5">
        <f t="shared" si="87"/>
        <v>8.6653082017320429E-2</v>
      </c>
      <c r="CL8" s="5">
        <f t="shared" si="88"/>
        <v>8.42</v>
      </c>
      <c r="CM8" s="5">
        <f t="shared" si="89"/>
        <v>0.38604177279673968</v>
      </c>
      <c r="CN8" s="21">
        <f t="shared" si="90"/>
        <v>0.57736720554272514</v>
      </c>
      <c r="CO8" s="6">
        <f t="shared" si="91"/>
        <v>17</v>
      </c>
      <c r="CP8" s="5">
        <f t="shared" si="92"/>
        <v>0.77941925624044839</v>
      </c>
      <c r="CQ8" s="5">
        <f t="shared" si="93"/>
        <v>1.89</v>
      </c>
      <c r="CR8" s="5">
        <f t="shared" si="94"/>
        <v>-1.1100000000000001</v>
      </c>
      <c r="CS8" s="6">
        <f t="shared" si="95"/>
        <v>10</v>
      </c>
      <c r="CT8" s="5">
        <f t="shared" si="96"/>
        <v>0.45848191543555783</v>
      </c>
      <c r="CU8" s="6">
        <f t="shared" si="97"/>
        <v>1</v>
      </c>
      <c r="CV8" s="5">
        <f t="shared" si="98"/>
        <v>4.5848191543555787E-2</v>
      </c>
      <c r="CW8" s="21">
        <f t="shared" si="99"/>
        <v>0.1</v>
      </c>
      <c r="CX8" s="357">
        <f t="shared" si="100"/>
        <v>12</v>
      </c>
      <c r="CY8" s="358">
        <f t="shared" si="101"/>
        <v>0.55017829852266942</v>
      </c>
      <c r="CZ8" s="210">
        <f t="shared" si="102"/>
        <v>7.201222618441161</v>
      </c>
      <c r="DA8" s="2">
        <f t="shared" si="103"/>
        <v>44</v>
      </c>
      <c r="DB8" s="5">
        <f t="shared" si="104"/>
        <v>2.0173204279164545</v>
      </c>
      <c r="DC8" s="2">
        <f t="shared" si="105"/>
        <v>4</v>
      </c>
      <c r="DD8" s="5">
        <f t="shared" si="106"/>
        <v>0.18339276617422315</v>
      </c>
      <c r="DE8" s="107">
        <f t="shared" si="107"/>
        <v>9.0909090909090912E-2</v>
      </c>
      <c r="DF8" s="6">
        <f t="shared" si="108"/>
        <v>15</v>
      </c>
      <c r="DG8" s="5">
        <f t="shared" si="109"/>
        <v>0.6877228731533368</v>
      </c>
      <c r="DH8" s="6">
        <f t="shared" si="110"/>
        <v>24</v>
      </c>
      <c r="DI8" s="5">
        <f t="shared" si="111"/>
        <v>1.1003565970453388</v>
      </c>
      <c r="DJ8" s="5">
        <f t="shared" si="112"/>
        <v>235.6</v>
      </c>
      <c r="DK8" s="5">
        <f t="shared" si="113"/>
        <v>10.801833927661743</v>
      </c>
      <c r="DL8" s="328">
        <f t="shared" si="114"/>
        <v>104.69333333333333</v>
      </c>
      <c r="DM8" s="356">
        <f t="shared" si="115"/>
        <v>4.8</v>
      </c>
      <c r="DN8" s="6">
        <f t="shared" si="116"/>
        <v>355.32</v>
      </c>
      <c r="DO8" s="5">
        <f t="shared" si="117"/>
        <v>16.290779419256243</v>
      </c>
      <c r="DP8" s="6">
        <f t="shared" si="118"/>
        <v>97</v>
      </c>
      <c r="DQ8" s="5">
        <f t="shared" si="119"/>
        <v>4.4472745797249109</v>
      </c>
      <c r="DR8" s="211">
        <f t="shared" si="120"/>
        <v>170.12666666666667</v>
      </c>
      <c r="DS8" s="5">
        <f t="shared" si="121"/>
        <v>7.8</v>
      </c>
      <c r="DT8" s="21">
        <f t="shared" si="122"/>
        <v>0.27299335809974107</v>
      </c>
      <c r="DU8" s="6">
        <f t="shared" si="123"/>
        <v>62.39</v>
      </c>
      <c r="DV8" s="5">
        <f t="shared" si="124"/>
        <v>2.8604686704024456</v>
      </c>
      <c r="DW8" s="5">
        <f t="shared" si="125"/>
        <v>36.220071319409072</v>
      </c>
      <c r="DX8" s="181">
        <f t="shared" si="126"/>
        <v>95</v>
      </c>
      <c r="DY8" s="5">
        <f t="shared" si="127"/>
        <v>4.3555781966377998</v>
      </c>
      <c r="DZ8" s="6">
        <f t="shared" si="128"/>
        <v>60</v>
      </c>
      <c r="EA8" s="5">
        <f t="shared" si="129"/>
        <v>2.7508914926133472</v>
      </c>
      <c r="EB8" s="21">
        <f t="shared" si="130"/>
        <v>0.63157894736842102</v>
      </c>
      <c r="EC8" s="6">
        <f t="shared" si="131"/>
        <v>134</v>
      </c>
      <c r="ED8" s="5">
        <f t="shared" si="132"/>
        <v>6.1436576668364751</v>
      </c>
      <c r="EE8" s="6">
        <f t="shared" si="133"/>
        <v>78</v>
      </c>
      <c r="EF8" s="5">
        <f t="shared" si="134"/>
        <v>3.576158940397351</v>
      </c>
      <c r="EG8" s="6">
        <f t="shared" si="135"/>
        <v>88</v>
      </c>
      <c r="EH8" s="5">
        <f t="shared" si="136"/>
        <v>4.034640855832909</v>
      </c>
      <c r="EI8" s="5">
        <f t="shared" si="137"/>
        <v>7.8</v>
      </c>
      <c r="EJ8" s="5">
        <f t="shared" si="138"/>
        <v>6.77</v>
      </c>
      <c r="EK8" s="301" t="s">
        <v>19</v>
      </c>
      <c r="EL8" s="297" t="s">
        <v>553</v>
      </c>
      <c r="EM8" s="297" t="s">
        <v>921</v>
      </c>
      <c r="EN8" s="297">
        <v>29</v>
      </c>
      <c r="EO8" s="297" t="s">
        <v>557</v>
      </c>
      <c r="EP8" s="297" t="s">
        <v>575</v>
      </c>
      <c r="EQ8" s="297" t="s">
        <v>643</v>
      </c>
      <c r="ER8" s="297" t="s">
        <v>1109</v>
      </c>
      <c r="ES8" s="297" t="s">
        <v>659</v>
      </c>
      <c r="ET8" s="298">
        <v>47483</v>
      </c>
      <c r="EU8" s="297">
        <v>1963</v>
      </c>
      <c r="EV8" s="297" t="s">
        <v>1110</v>
      </c>
      <c r="EW8" s="297">
        <v>2</v>
      </c>
      <c r="EX8" s="297">
        <v>10</v>
      </c>
      <c r="EY8" s="297">
        <v>3</v>
      </c>
      <c r="EZ8" s="297">
        <v>5</v>
      </c>
      <c r="FA8" s="297">
        <v>115</v>
      </c>
      <c r="FB8" s="297">
        <v>319</v>
      </c>
      <c r="FC8" s="297">
        <v>7.8</v>
      </c>
      <c r="FD8" s="297" t="s">
        <v>1128</v>
      </c>
      <c r="FE8" s="297" t="s">
        <v>1129</v>
      </c>
      <c r="FF8" s="297">
        <v>27</v>
      </c>
      <c r="FG8" s="297">
        <v>24</v>
      </c>
      <c r="FH8" s="297">
        <v>534</v>
      </c>
      <c r="FI8" s="297">
        <v>472</v>
      </c>
      <c r="FJ8" s="297">
        <v>17</v>
      </c>
      <c r="FK8" s="297">
        <v>10</v>
      </c>
      <c r="FL8" s="297">
        <v>12</v>
      </c>
      <c r="FM8" s="297">
        <v>56</v>
      </c>
      <c r="FN8" s="297">
        <v>30</v>
      </c>
      <c r="FO8" s="297">
        <v>186</v>
      </c>
      <c r="FP8" s="297">
        <v>58</v>
      </c>
      <c r="FQ8" s="297">
        <v>14</v>
      </c>
      <c r="FR8" s="297">
        <v>3</v>
      </c>
      <c r="FS8" s="297">
        <v>3</v>
      </c>
      <c r="FT8" s="297">
        <v>1</v>
      </c>
      <c r="FU8" s="297">
        <v>15</v>
      </c>
      <c r="FV8" s="297">
        <v>10</v>
      </c>
      <c r="FW8" s="297">
        <v>1</v>
      </c>
      <c r="FX8" s="297">
        <v>10</v>
      </c>
      <c r="FY8" s="297">
        <v>1</v>
      </c>
      <c r="FZ8" s="297">
        <v>1</v>
      </c>
      <c r="GA8" s="297">
        <v>0.7</v>
      </c>
      <c r="GB8" s="297">
        <v>0</v>
      </c>
      <c r="GC8" s="297">
        <v>25</v>
      </c>
      <c r="GD8" s="297">
        <v>1</v>
      </c>
      <c r="GE8" s="297">
        <v>1</v>
      </c>
      <c r="GF8" s="297">
        <v>4.8</v>
      </c>
      <c r="GG8" s="297" t="s">
        <v>1111</v>
      </c>
      <c r="GH8" s="302">
        <v>6.77</v>
      </c>
    </row>
    <row r="9" spans="1:190" ht="24.95" customHeight="1" thickBot="1" x14ac:dyDescent="0.3">
      <c r="A9" s="29" t="str">
        <f t="shared" si="0"/>
        <v>8º</v>
      </c>
      <c r="B9" s="69" t="str">
        <f t="shared" si="1"/>
        <v>Rafael Santos Borré</v>
      </c>
      <c r="C9" s="86" t="str">
        <f t="shared" si="2"/>
        <v>COL</v>
      </c>
      <c r="D9" s="99" t="str">
        <f t="shared" si="3"/>
        <v>Pé Direito</v>
      </c>
      <c r="E9" s="28" t="str">
        <f t="shared" si="4"/>
        <v>Internacional</v>
      </c>
      <c r="F9" s="167">
        <f t="shared" si="5"/>
        <v>1.74</v>
      </c>
      <c r="G9" s="150">
        <f t="shared" si="6"/>
        <v>47118</v>
      </c>
      <c r="H9" s="169">
        <f t="shared" si="7"/>
        <v>30</v>
      </c>
      <c r="I9" s="203" t="str">
        <f t="shared" si="8"/>
        <v>319m € p/m</v>
      </c>
      <c r="J9" s="189" t="str">
        <f t="shared" si="9"/>
        <v>600m € - 5,8M €</v>
      </c>
      <c r="K9" s="96">
        <f t="shared" si="10"/>
        <v>23.671111111111109</v>
      </c>
      <c r="L9" s="146">
        <f t="shared" si="11"/>
        <v>23.077777777777779</v>
      </c>
      <c r="M9" s="146">
        <f t="shared" si="12"/>
        <v>41</v>
      </c>
      <c r="N9" s="146">
        <f t="shared" si="13"/>
        <v>50.658536585365852</v>
      </c>
      <c r="O9" s="187">
        <f t="shared" si="14"/>
        <v>0.39</v>
      </c>
      <c r="P9" s="2">
        <f t="shared" si="15"/>
        <v>91</v>
      </c>
      <c r="Q9" s="5">
        <f t="shared" si="16"/>
        <v>0.31164383561643838</v>
      </c>
      <c r="R9" s="5">
        <f t="shared" si="17"/>
        <v>0.60664419836302352</v>
      </c>
      <c r="S9" s="5">
        <f t="shared" si="18"/>
        <v>0.82330284063553194</v>
      </c>
      <c r="T9" s="5">
        <f t="shared" si="19"/>
        <v>0.21665864227250842</v>
      </c>
      <c r="U9" s="6">
        <f t="shared" si="20"/>
        <v>3</v>
      </c>
      <c r="V9" s="24">
        <f t="shared" si="21"/>
        <v>692.33333333333337</v>
      </c>
      <c r="W9" s="21">
        <f t="shared" si="22"/>
        <v>0.12999518536350504</v>
      </c>
      <c r="X9" s="2">
        <f t="shared" si="23"/>
        <v>14</v>
      </c>
      <c r="Y9" s="2">
        <f t="shared" si="24"/>
        <v>5</v>
      </c>
      <c r="Z9" s="2">
        <f t="shared" si="25"/>
        <v>19</v>
      </c>
      <c r="AA9" s="371">
        <f t="shared" si="26"/>
        <v>10</v>
      </c>
      <c r="AB9" s="371">
        <f t="shared" si="27"/>
        <v>2</v>
      </c>
      <c r="AC9" s="372">
        <f t="shared" si="28"/>
        <v>2</v>
      </c>
      <c r="AD9" s="6">
        <f t="shared" si="29"/>
        <v>12</v>
      </c>
      <c r="AE9" s="20">
        <f t="shared" si="30"/>
        <v>0.8571428571428571</v>
      </c>
      <c r="AF9" s="20">
        <f t="shared" si="31"/>
        <v>0.26315789473684209</v>
      </c>
      <c r="AG9" s="20">
        <f t="shared" si="32"/>
        <v>0.10526315789473684</v>
      </c>
      <c r="AH9" s="5">
        <f t="shared" si="33"/>
        <v>0.60664419836302352</v>
      </c>
      <c r="AI9" s="5">
        <f t="shared" si="34"/>
        <v>0.21665864227250842</v>
      </c>
      <c r="AJ9" s="5">
        <f t="shared" si="35"/>
        <v>0.82330284063553194</v>
      </c>
      <c r="AK9" s="5">
        <f t="shared" si="36"/>
        <v>0.51998074145402018</v>
      </c>
      <c r="AL9" s="6">
        <f t="shared" si="37"/>
        <v>10</v>
      </c>
      <c r="AM9" s="5">
        <f t="shared" si="38"/>
        <v>0.43331728454501683</v>
      </c>
      <c r="AN9" s="6">
        <f t="shared" si="39"/>
        <v>2</v>
      </c>
      <c r="AO9" s="5">
        <f t="shared" si="40"/>
        <v>8.6663456909003359E-2</v>
      </c>
      <c r="AP9" s="5">
        <f t="shared" si="41"/>
        <v>1</v>
      </c>
      <c r="AQ9" s="21">
        <f t="shared" si="42"/>
        <v>8.6663456909003359E-2</v>
      </c>
      <c r="AR9" s="328">
        <f t="shared" si="43"/>
        <v>0</v>
      </c>
      <c r="AS9" s="329">
        <f t="shared" si="44"/>
        <v>0</v>
      </c>
      <c r="AT9" s="328">
        <f t="shared" si="45"/>
        <v>0</v>
      </c>
      <c r="AU9" s="329">
        <f t="shared" si="46"/>
        <v>0</v>
      </c>
      <c r="AV9" s="332">
        <f t="shared" si="47"/>
        <v>0</v>
      </c>
      <c r="AW9" s="343">
        <f t="shared" si="48"/>
        <v>0</v>
      </c>
      <c r="AX9" s="328">
        <f t="shared" si="49"/>
        <v>2</v>
      </c>
      <c r="AY9" s="328">
        <f t="shared" si="50"/>
        <v>2</v>
      </c>
      <c r="AZ9" s="346">
        <f t="shared" si="51"/>
        <v>0</v>
      </c>
      <c r="BA9" s="329">
        <f t="shared" si="52"/>
        <v>8.6663456909003359E-2</v>
      </c>
      <c r="BB9" s="20">
        <f t="shared" si="53"/>
        <v>1</v>
      </c>
      <c r="BC9" s="2">
        <f t="shared" si="54"/>
        <v>139</v>
      </c>
      <c r="BD9" s="2">
        <f t="shared" si="55"/>
        <v>36</v>
      </c>
      <c r="BE9" s="5">
        <f t="shared" si="56"/>
        <v>6.0231102551757338</v>
      </c>
      <c r="BF9" s="5">
        <f t="shared" si="57"/>
        <v>1.5599422243620606</v>
      </c>
      <c r="BG9" s="2">
        <f t="shared" si="58"/>
        <v>103</v>
      </c>
      <c r="BH9" s="107">
        <f t="shared" si="59"/>
        <v>0.25899280575539568</v>
      </c>
      <c r="BI9" s="107">
        <f t="shared" si="60"/>
        <v>0.74100719424460437</v>
      </c>
      <c r="BJ9" s="355">
        <f t="shared" si="61"/>
        <v>9</v>
      </c>
      <c r="BK9" s="329">
        <f t="shared" si="62"/>
        <v>0.38998555609051516</v>
      </c>
      <c r="BL9" s="6">
        <f t="shared" si="63"/>
        <v>80</v>
      </c>
      <c r="BM9" s="5">
        <f t="shared" si="64"/>
        <v>3.4665382763601347</v>
      </c>
      <c r="BN9" s="6">
        <f t="shared" si="65"/>
        <v>40</v>
      </c>
      <c r="BO9" s="5">
        <f t="shared" si="66"/>
        <v>1.7332691381800673</v>
      </c>
      <c r="BP9" s="21">
        <f t="shared" si="67"/>
        <v>0.5</v>
      </c>
      <c r="BQ9" s="5">
        <f t="shared" si="68"/>
        <v>6.5</v>
      </c>
      <c r="BR9" s="5">
        <f t="shared" si="69"/>
        <v>3.1666666666666665</v>
      </c>
      <c r="BS9" s="5">
        <f t="shared" si="70"/>
        <v>18.083333333333332</v>
      </c>
      <c r="BT9" s="107">
        <f t="shared" si="71"/>
        <v>0.15384615384615385</v>
      </c>
      <c r="BU9" s="5">
        <f t="shared" si="72"/>
        <v>0.71149018214917248</v>
      </c>
      <c r="BV9" s="5">
        <f t="shared" si="73"/>
        <v>0.44848338950409239</v>
      </c>
      <c r="BW9" s="5">
        <f t="shared" si="74"/>
        <v>0.60664419836302352</v>
      </c>
      <c r="BX9" s="279">
        <f t="shared" si="75"/>
        <v>0.15816080885893113</v>
      </c>
      <c r="BY9" s="278">
        <f t="shared" si="76"/>
        <v>0.11243589743589744</v>
      </c>
      <c r="BZ9" s="5">
        <f t="shared" si="77"/>
        <v>25.962499999999999</v>
      </c>
      <c r="CA9" s="5">
        <f t="shared" si="78"/>
        <v>51.924999999999997</v>
      </c>
      <c r="CB9" s="5">
        <f t="shared" si="79"/>
        <v>148.35714285714286</v>
      </c>
      <c r="CC9" s="5">
        <f t="shared" si="80"/>
        <v>109.31578947368421</v>
      </c>
      <c r="CD9" s="5">
        <f t="shared" si="81"/>
        <v>3.6500000000000004</v>
      </c>
      <c r="CE9" s="5">
        <f t="shared" si="139"/>
        <v>3.2300000000000004</v>
      </c>
      <c r="CF9" s="5">
        <f t="shared" si="82"/>
        <v>10.35</v>
      </c>
      <c r="CG9" s="5">
        <f t="shared" si="83"/>
        <v>0.44848338950409239</v>
      </c>
      <c r="CH9" s="5">
        <f t="shared" si="84"/>
        <v>8.77</v>
      </c>
      <c r="CI9" s="5">
        <f t="shared" si="85"/>
        <v>0.38001925854597973</v>
      </c>
      <c r="CJ9" s="5">
        <f t="shared" si="86"/>
        <v>2.36</v>
      </c>
      <c r="CK9" s="5">
        <f t="shared" si="87"/>
        <v>0.10226287915262397</v>
      </c>
      <c r="CL9" s="5">
        <f t="shared" si="88"/>
        <v>11.129999999999999</v>
      </c>
      <c r="CM9" s="5">
        <f t="shared" si="89"/>
        <v>0.48228213769860367</v>
      </c>
      <c r="CN9" s="21">
        <f t="shared" si="90"/>
        <v>0.57494866529774125</v>
      </c>
      <c r="CO9" s="6">
        <f t="shared" si="91"/>
        <v>23</v>
      </c>
      <c r="CP9" s="5">
        <f t="shared" si="92"/>
        <v>0.99662975445353874</v>
      </c>
      <c r="CQ9" s="5">
        <f t="shared" si="93"/>
        <v>2.36</v>
      </c>
      <c r="CR9" s="5">
        <f t="shared" si="94"/>
        <v>-2.64</v>
      </c>
      <c r="CS9" s="6">
        <f t="shared" si="95"/>
        <v>11</v>
      </c>
      <c r="CT9" s="5">
        <f t="shared" si="96"/>
        <v>0.47664901299951851</v>
      </c>
      <c r="CU9" s="6">
        <f t="shared" si="97"/>
        <v>5</v>
      </c>
      <c r="CV9" s="5">
        <f t="shared" si="98"/>
        <v>0.21665864227250842</v>
      </c>
      <c r="CW9" s="21">
        <f t="shared" si="99"/>
        <v>0.45454545454545453</v>
      </c>
      <c r="CX9" s="357">
        <f t="shared" si="100"/>
        <v>17</v>
      </c>
      <c r="CY9" s="358">
        <f t="shared" si="101"/>
        <v>0.7366393837265286</v>
      </c>
      <c r="CZ9" s="210">
        <f t="shared" si="102"/>
        <v>7.7477130476649005</v>
      </c>
      <c r="DA9" s="2">
        <f t="shared" si="103"/>
        <v>134</v>
      </c>
      <c r="DB9" s="5">
        <f t="shared" si="104"/>
        <v>5.8064516129032251</v>
      </c>
      <c r="DC9" s="2">
        <f t="shared" si="105"/>
        <v>41</v>
      </c>
      <c r="DD9" s="5">
        <f t="shared" si="106"/>
        <v>1.776600866634569</v>
      </c>
      <c r="DE9" s="107">
        <f t="shared" si="107"/>
        <v>0.30597014925373134</v>
      </c>
      <c r="DF9" s="6">
        <f t="shared" si="108"/>
        <v>19</v>
      </c>
      <c r="DG9" s="5">
        <f t="shared" si="109"/>
        <v>0.82330284063553194</v>
      </c>
      <c r="DH9" s="6">
        <f t="shared" si="110"/>
        <v>22</v>
      </c>
      <c r="DI9" s="5">
        <f t="shared" si="111"/>
        <v>0.95329802599903701</v>
      </c>
      <c r="DJ9" s="5">
        <f t="shared" si="112"/>
        <v>268.2</v>
      </c>
      <c r="DK9" s="5">
        <f t="shared" si="113"/>
        <v>11.62156957149735</v>
      </c>
      <c r="DL9" s="328">
        <f t="shared" si="114"/>
        <v>327.70444444444445</v>
      </c>
      <c r="DM9" s="356">
        <f t="shared" si="115"/>
        <v>14.2</v>
      </c>
      <c r="DN9" s="6">
        <f t="shared" si="116"/>
        <v>318.35000000000002</v>
      </c>
      <c r="DO9" s="5">
        <f t="shared" si="117"/>
        <v>13.794655753490611</v>
      </c>
      <c r="DP9" s="6">
        <f t="shared" si="118"/>
        <v>123</v>
      </c>
      <c r="DQ9" s="5">
        <f t="shared" si="119"/>
        <v>5.3298025999037071</v>
      </c>
      <c r="DR9" s="211">
        <f t="shared" si="120"/>
        <v>258.4711111111111</v>
      </c>
      <c r="DS9" s="5">
        <f t="shared" si="121"/>
        <v>11.2</v>
      </c>
      <c r="DT9" s="21">
        <f t="shared" si="122"/>
        <v>0.38636720590544993</v>
      </c>
      <c r="DU9" s="6">
        <f t="shared" si="123"/>
        <v>88.86</v>
      </c>
      <c r="DV9" s="5">
        <f t="shared" si="124"/>
        <v>3.8504573904670196</v>
      </c>
      <c r="DW9" s="5">
        <f t="shared" si="125"/>
        <v>43.375060182956183</v>
      </c>
      <c r="DX9" s="181">
        <f t="shared" si="126"/>
        <v>131</v>
      </c>
      <c r="DY9" s="5">
        <f t="shared" si="127"/>
        <v>5.67645642753972</v>
      </c>
      <c r="DZ9" s="6">
        <f t="shared" si="128"/>
        <v>85</v>
      </c>
      <c r="EA9" s="5">
        <f t="shared" si="129"/>
        <v>3.683196918632643</v>
      </c>
      <c r="EB9" s="21">
        <f t="shared" si="130"/>
        <v>0.64885496183206104</v>
      </c>
      <c r="EC9" s="6">
        <f t="shared" si="131"/>
        <v>264</v>
      </c>
      <c r="ED9" s="5">
        <f t="shared" si="132"/>
        <v>11.439576311988445</v>
      </c>
      <c r="EE9" s="6">
        <f t="shared" si="133"/>
        <v>110</v>
      </c>
      <c r="EF9" s="5">
        <f t="shared" si="134"/>
        <v>4.7664901299951854</v>
      </c>
      <c r="EG9" s="6">
        <f t="shared" si="135"/>
        <v>123</v>
      </c>
      <c r="EH9" s="5">
        <f t="shared" si="136"/>
        <v>5.3298025999037071</v>
      </c>
      <c r="EI9" s="5">
        <f t="shared" si="137"/>
        <v>11.2</v>
      </c>
      <c r="EJ9" s="5">
        <f t="shared" si="138"/>
        <v>6.93</v>
      </c>
      <c r="EK9" s="299"/>
      <c r="EL9" s="295" t="s">
        <v>553</v>
      </c>
      <c r="EM9" s="295" t="s">
        <v>907</v>
      </c>
      <c r="EN9" s="295">
        <v>30</v>
      </c>
      <c r="EO9" s="295" t="s">
        <v>584</v>
      </c>
      <c r="EP9" s="295" t="s">
        <v>775</v>
      </c>
      <c r="EQ9" s="295" t="s">
        <v>643</v>
      </c>
      <c r="ER9" s="295" t="s">
        <v>917</v>
      </c>
      <c r="ES9" s="295" t="s">
        <v>908</v>
      </c>
      <c r="ET9" s="296">
        <v>47118</v>
      </c>
      <c r="EU9" s="295">
        <v>2077</v>
      </c>
      <c r="EV9" s="295" t="s">
        <v>1090</v>
      </c>
      <c r="EW9" s="295">
        <v>3</v>
      </c>
      <c r="EX9" s="295">
        <v>14</v>
      </c>
      <c r="EY9" s="295">
        <v>5</v>
      </c>
      <c r="EZ9" s="295">
        <v>7</v>
      </c>
      <c r="FA9" s="295">
        <v>91</v>
      </c>
      <c r="FB9" s="295">
        <v>292</v>
      </c>
      <c r="FC9" s="295">
        <v>11.2</v>
      </c>
      <c r="FD9" s="295" t="s">
        <v>1119</v>
      </c>
      <c r="FE9" s="295" t="s">
        <v>750</v>
      </c>
      <c r="FF9" s="295">
        <v>16</v>
      </c>
      <c r="FG9" s="295">
        <v>22</v>
      </c>
      <c r="FH9" s="295">
        <v>746</v>
      </c>
      <c r="FI9" s="295">
        <v>663</v>
      </c>
      <c r="FJ9" s="295">
        <v>23</v>
      </c>
      <c r="FK9" s="295">
        <v>22</v>
      </c>
      <c r="FL9" s="295">
        <v>17</v>
      </c>
      <c r="FM9" s="295">
        <v>80</v>
      </c>
      <c r="FN9" s="295">
        <v>40</v>
      </c>
      <c r="FO9" s="295">
        <v>139</v>
      </c>
      <c r="FP9" s="295">
        <v>36</v>
      </c>
      <c r="FQ9" s="295">
        <v>99</v>
      </c>
      <c r="FR9" s="295">
        <v>24</v>
      </c>
      <c r="FS9" s="295">
        <v>19</v>
      </c>
      <c r="FT9" s="295">
        <v>17</v>
      </c>
      <c r="FU9" s="295">
        <v>19</v>
      </c>
      <c r="FV9" s="295">
        <v>11</v>
      </c>
      <c r="FW9" s="295">
        <v>5</v>
      </c>
      <c r="FX9" s="295">
        <v>11</v>
      </c>
      <c r="FY9" s="295">
        <v>5</v>
      </c>
      <c r="FZ9" s="295">
        <v>2</v>
      </c>
      <c r="GA9" s="295">
        <v>1</v>
      </c>
      <c r="GB9" s="295">
        <v>0</v>
      </c>
      <c r="GC9" s="295">
        <v>9</v>
      </c>
      <c r="GD9" s="295">
        <v>2</v>
      </c>
      <c r="GE9" s="295">
        <v>2</v>
      </c>
      <c r="GF9" s="295">
        <v>14.2</v>
      </c>
      <c r="GG9" s="295" t="s">
        <v>1105</v>
      </c>
      <c r="GH9" s="300">
        <v>6.93</v>
      </c>
    </row>
    <row r="10" spans="1:190" ht="24.95" customHeight="1" thickBot="1" x14ac:dyDescent="0.3">
      <c r="A10" s="29" t="str">
        <f t="shared" si="0"/>
        <v>9º</v>
      </c>
      <c r="B10" s="69" t="str">
        <f t="shared" si="1"/>
        <v>Renan Peixoto</v>
      </c>
      <c r="C10" s="86" t="str">
        <f t="shared" si="2"/>
        <v>BRA</v>
      </c>
      <c r="D10" s="99" t="str">
        <f t="shared" si="3"/>
        <v>Pé Direito</v>
      </c>
      <c r="E10" s="28" t="str">
        <f t="shared" si="4"/>
        <v>Fluminense</v>
      </c>
      <c r="F10" s="167">
        <f t="shared" si="5"/>
        <v>1.85</v>
      </c>
      <c r="G10" s="150">
        <f t="shared" si="6"/>
        <v>47118</v>
      </c>
      <c r="H10" s="169">
        <f t="shared" si="7"/>
        <v>26</v>
      </c>
      <c r="I10" s="203" t="str">
        <f t="shared" si="8"/>
        <v>500 € p/m</v>
      </c>
      <c r="J10" s="189" t="str">
        <f t="shared" si="9"/>
        <v>550m €</v>
      </c>
      <c r="K10" s="96">
        <f t="shared" si="10"/>
        <v>23.671111111111109</v>
      </c>
      <c r="L10" s="146">
        <f t="shared" si="11"/>
        <v>15.533333333333333</v>
      </c>
      <c r="M10" s="146">
        <f t="shared" si="12"/>
        <v>22</v>
      </c>
      <c r="N10" s="146">
        <f t="shared" si="13"/>
        <v>63.545454545454547</v>
      </c>
      <c r="O10" s="187">
        <f t="shared" si="14"/>
        <v>0.73</v>
      </c>
      <c r="P10" s="2">
        <f t="shared" si="15"/>
        <v>61</v>
      </c>
      <c r="Q10" s="5">
        <f t="shared" si="16"/>
        <v>0.65591397849462363</v>
      </c>
      <c r="R10" s="5">
        <f t="shared" si="17"/>
        <v>0.70815450643776823</v>
      </c>
      <c r="S10" s="5">
        <f t="shared" si="18"/>
        <v>0.70815450643776823</v>
      </c>
      <c r="T10" s="5">
        <f t="shared" si="19"/>
        <v>0</v>
      </c>
      <c r="U10" s="6">
        <f t="shared" si="20"/>
        <v>2</v>
      </c>
      <c r="V10" s="24">
        <f t="shared" si="21"/>
        <v>699</v>
      </c>
      <c r="W10" s="21">
        <f t="shared" si="22"/>
        <v>0.12875536480686695</v>
      </c>
      <c r="X10" s="2">
        <f t="shared" si="23"/>
        <v>11</v>
      </c>
      <c r="Y10" s="2">
        <f t="shared" si="24"/>
        <v>0</v>
      </c>
      <c r="Z10" s="2">
        <f t="shared" si="25"/>
        <v>11</v>
      </c>
      <c r="AA10" s="371">
        <f t="shared" si="26"/>
        <v>10</v>
      </c>
      <c r="AB10" s="371">
        <f t="shared" si="27"/>
        <v>1</v>
      </c>
      <c r="AC10" s="372">
        <f t="shared" si="28"/>
        <v>0</v>
      </c>
      <c r="AD10" s="6">
        <f t="shared" si="29"/>
        <v>11</v>
      </c>
      <c r="AE10" s="20">
        <f t="shared" si="30"/>
        <v>1</v>
      </c>
      <c r="AF10" s="20">
        <f t="shared" si="31"/>
        <v>0</v>
      </c>
      <c r="AG10" s="20">
        <f t="shared" si="32"/>
        <v>0</v>
      </c>
      <c r="AH10" s="5">
        <f t="shared" si="33"/>
        <v>0.70815450643776823</v>
      </c>
      <c r="AI10" s="5">
        <f t="shared" si="34"/>
        <v>0</v>
      </c>
      <c r="AJ10" s="5">
        <f t="shared" si="35"/>
        <v>0.70815450643776823</v>
      </c>
      <c r="AK10" s="5">
        <f t="shared" si="36"/>
        <v>0.70815450643776823</v>
      </c>
      <c r="AL10" s="6">
        <f t="shared" si="37"/>
        <v>10</v>
      </c>
      <c r="AM10" s="5">
        <f t="shared" si="38"/>
        <v>0.64377682403433478</v>
      </c>
      <c r="AN10" s="6">
        <f t="shared" si="39"/>
        <v>1</v>
      </c>
      <c r="AO10" s="5">
        <f t="shared" si="40"/>
        <v>6.4377682403433473E-2</v>
      </c>
      <c r="AP10" s="5">
        <f t="shared" si="41"/>
        <v>0.7</v>
      </c>
      <c r="AQ10" s="21">
        <f t="shared" si="42"/>
        <v>9.1968117719190681E-2</v>
      </c>
      <c r="AR10" s="328">
        <f t="shared" si="43"/>
        <v>0</v>
      </c>
      <c r="AS10" s="329">
        <f t="shared" si="44"/>
        <v>0</v>
      </c>
      <c r="AT10" s="328">
        <f t="shared" si="45"/>
        <v>0</v>
      </c>
      <c r="AU10" s="329">
        <f t="shared" si="46"/>
        <v>0</v>
      </c>
      <c r="AV10" s="332">
        <f t="shared" si="47"/>
        <v>0</v>
      </c>
      <c r="AW10" s="343">
        <f t="shared" si="48"/>
        <v>0</v>
      </c>
      <c r="AX10" s="328">
        <f t="shared" si="49"/>
        <v>0</v>
      </c>
      <c r="AY10" s="328">
        <f t="shared" si="50"/>
        <v>0</v>
      </c>
      <c r="AZ10" s="346">
        <f t="shared" si="51"/>
        <v>0</v>
      </c>
      <c r="BA10" s="329">
        <f t="shared" si="52"/>
        <v>0</v>
      </c>
      <c r="BB10" s="20">
        <f t="shared" si="53"/>
        <v>1.0000000000000001E-5</v>
      </c>
      <c r="BC10" s="2">
        <f t="shared" si="54"/>
        <v>113</v>
      </c>
      <c r="BD10" s="2">
        <f t="shared" si="55"/>
        <v>56</v>
      </c>
      <c r="BE10" s="5">
        <f t="shared" si="56"/>
        <v>7.2746781115879831</v>
      </c>
      <c r="BF10" s="5">
        <f t="shared" si="57"/>
        <v>3.6051502145922747</v>
      </c>
      <c r="BG10" s="2">
        <f t="shared" si="58"/>
        <v>57</v>
      </c>
      <c r="BH10" s="107">
        <f t="shared" si="59"/>
        <v>0.49557522123893805</v>
      </c>
      <c r="BI10" s="107">
        <f t="shared" si="60"/>
        <v>0.50442477876106195</v>
      </c>
      <c r="BJ10" s="355">
        <f t="shared" si="61"/>
        <v>26</v>
      </c>
      <c r="BK10" s="329">
        <f t="shared" si="62"/>
        <v>1.6738197424892705</v>
      </c>
      <c r="BL10" s="6">
        <f t="shared" si="63"/>
        <v>49</v>
      </c>
      <c r="BM10" s="5">
        <f t="shared" si="64"/>
        <v>3.1545064377682404</v>
      </c>
      <c r="BN10" s="6">
        <f t="shared" si="65"/>
        <v>24</v>
      </c>
      <c r="BO10" s="5">
        <f t="shared" si="66"/>
        <v>1.5450643776824033</v>
      </c>
      <c r="BP10" s="21">
        <f t="shared" si="67"/>
        <v>0.48979591836734693</v>
      </c>
      <c r="BQ10" s="5">
        <f t="shared" si="68"/>
        <v>4.4545454545454541</v>
      </c>
      <c r="BR10" s="5">
        <f t="shared" si="69"/>
        <v>2.1818181818181817</v>
      </c>
      <c r="BS10" s="5">
        <f t="shared" si="70"/>
        <v>14.727272727272727</v>
      </c>
      <c r="BT10" s="107">
        <f t="shared" si="71"/>
        <v>0.22448979591836735</v>
      </c>
      <c r="BU10" s="5">
        <f t="shared" si="72"/>
        <v>0.79976381630548776</v>
      </c>
      <c r="BV10" s="5">
        <f t="shared" si="73"/>
        <v>0.6270386266094421</v>
      </c>
      <c r="BW10" s="5">
        <f t="shared" si="74"/>
        <v>0.70815450643776823</v>
      </c>
      <c r="BX10" s="279">
        <f t="shared" si="75"/>
        <v>8.1115879828326132E-2</v>
      </c>
      <c r="BY10" s="278">
        <f t="shared" si="76"/>
        <v>0.19877551020408163</v>
      </c>
      <c r="BZ10" s="5">
        <f t="shared" si="77"/>
        <v>28.530612244897959</v>
      </c>
      <c r="CA10" s="5">
        <f t="shared" si="78"/>
        <v>58.25</v>
      </c>
      <c r="CB10" s="5">
        <f t="shared" si="79"/>
        <v>127.09090909090909</v>
      </c>
      <c r="CC10" s="5">
        <f t="shared" si="80"/>
        <v>127.09090909090909</v>
      </c>
      <c r="CD10" s="5">
        <f t="shared" si="81"/>
        <v>1.2599999999999998</v>
      </c>
      <c r="CE10" s="5">
        <f t="shared" si="139"/>
        <v>1.2599999999999998</v>
      </c>
      <c r="CF10" s="5">
        <f t="shared" si="82"/>
        <v>9.74</v>
      </c>
      <c r="CG10" s="5">
        <f t="shared" si="83"/>
        <v>0.6270386266094421</v>
      </c>
      <c r="CH10" s="5">
        <f t="shared" si="84"/>
        <v>9.74</v>
      </c>
      <c r="CI10" s="5">
        <f t="shared" si="85"/>
        <v>0.6270386266094421</v>
      </c>
      <c r="CJ10" s="5">
        <f t="shared" si="86"/>
        <v>0.98</v>
      </c>
      <c r="CK10" s="5">
        <f t="shared" si="87"/>
        <v>6.3090128755364808E-2</v>
      </c>
      <c r="CL10" s="5">
        <f t="shared" si="88"/>
        <v>10.72</v>
      </c>
      <c r="CM10" s="5">
        <f t="shared" si="89"/>
        <v>0.69012875536480689</v>
      </c>
      <c r="CN10" s="21">
        <f t="shared" si="90"/>
        <v>0.53037608486017351</v>
      </c>
      <c r="CO10" s="6">
        <f t="shared" si="91"/>
        <v>12</v>
      </c>
      <c r="CP10" s="5">
        <f t="shared" si="92"/>
        <v>0.77253218884120167</v>
      </c>
      <c r="CQ10" s="5">
        <f t="shared" si="93"/>
        <v>0.98</v>
      </c>
      <c r="CR10" s="5">
        <f t="shared" si="94"/>
        <v>0.98</v>
      </c>
      <c r="CS10" s="6">
        <f t="shared" si="95"/>
        <v>1</v>
      </c>
      <c r="CT10" s="5">
        <f t="shared" si="96"/>
        <v>6.4377682403433473E-2</v>
      </c>
      <c r="CU10" s="6">
        <f t="shared" si="97"/>
        <v>0</v>
      </c>
      <c r="CV10" s="5">
        <f t="shared" si="98"/>
        <v>0</v>
      </c>
      <c r="CW10" s="21">
        <f t="shared" si="99"/>
        <v>0</v>
      </c>
      <c r="CX10" s="357">
        <f t="shared" si="100"/>
        <v>6</v>
      </c>
      <c r="CY10" s="358">
        <f t="shared" si="101"/>
        <v>0.38626609442060084</v>
      </c>
      <c r="CZ10" s="210">
        <f t="shared" si="102"/>
        <v>7.2489270386266087</v>
      </c>
      <c r="DA10" s="2">
        <f t="shared" si="103"/>
        <v>70</v>
      </c>
      <c r="DB10" s="5">
        <f t="shared" si="104"/>
        <v>4.5064377682403434</v>
      </c>
      <c r="DC10" s="2">
        <f t="shared" si="105"/>
        <v>5</v>
      </c>
      <c r="DD10" s="5">
        <f t="shared" si="106"/>
        <v>0.32188841201716739</v>
      </c>
      <c r="DE10" s="107">
        <f t="shared" si="107"/>
        <v>7.1428571428571425E-2</v>
      </c>
      <c r="DF10" s="6">
        <f t="shared" si="108"/>
        <v>8</v>
      </c>
      <c r="DG10" s="5">
        <f t="shared" si="109"/>
        <v>0.51502145922746778</v>
      </c>
      <c r="DH10" s="6">
        <f t="shared" si="110"/>
        <v>13</v>
      </c>
      <c r="DI10" s="5">
        <f t="shared" si="111"/>
        <v>0.83690987124463523</v>
      </c>
      <c r="DJ10" s="5">
        <f t="shared" si="112"/>
        <v>168.9</v>
      </c>
      <c r="DK10" s="5">
        <f t="shared" si="113"/>
        <v>10.873390557939915</v>
      </c>
      <c r="DL10" s="328">
        <f t="shared" si="114"/>
        <v>91.646666666666675</v>
      </c>
      <c r="DM10" s="356">
        <f t="shared" si="115"/>
        <v>5.9</v>
      </c>
      <c r="DN10" s="6">
        <f t="shared" si="116"/>
        <v>254.74</v>
      </c>
      <c r="DO10" s="5">
        <f t="shared" si="117"/>
        <v>16.399570815450645</v>
      </c>
      <c r="DP10" s="6">
        <f t="shared" si="118"/>
        <v>66</v>
      </c>
      <c r="DQ10" s="5">
        <f t="shared" si="119"/>
        <v>4.2489270386266096</v>
      </c>
      <c r="DR10" s="211">
        <f t="shared" si="120"/>
        <v>65.240000000000009</v>
      </c>
      <c r="DS10" s="5">
        <f t="shared" si="121"/>
        <v>4.2</v>
      </c>
      <c r="DT10" s="21">
        <f t="shared" si="122"/>
        <v>0.25908769725995129</v>
      </c>
      <c r="DU10" s="6">
        <f t="shared" si="123"/>
        <v>45.480000000000004</v>
      </c>
      <c r="DV10" s="5">
        <f t="shared" si="124"/>
        <v>2.9278969957081546</v>
      </c>
      <c r="DW10" s="5">
        <f t="shared" si="125"/>
        <v>30.965665236051503</v>
      </c>
      <c r="DX10" s="181">
        <f t="shared" si="126"/>
        <v>68</v>
      </c>
      <c r="DY10" s="5">
        <f t="shared" si="127"/>
        <v>4.377682403433476</v>
      </c>
      <c r="DZ10" s="6">
        <f t="shared" si="128"/>
        <v>42</v>
      </c>
      <c r="EA10" s="5">
        <f t="shared" si="129"/>
        <v>2.703862660944206</v>
      </c>
      <c r="EB10" s="21">
        <f t="shared" si="130"/>
        <v>0.61764705882352944</v>
      </c>
      <c r="EC10" s="6">
        <f t="shared" si="131"/>
        <v>139</v>
      </c>
      <c r="ED10" s="5">
        <f t="shared" si="132"/>
        <v>8.9484978540772531</v>
      </c>
      <c r="EE10" s="6">
        <f t="shared" si="133"/>
        <v>63</v>
      </c>
      <c r="EF10" s="5">
        <f t="shared" si="134"/>
        <v>4.0557939914163095</v>
      </c>
      <c r="EG10" s="6">
        <f t="shared" si="135"/>
        <v>60</v>
      </c>
      <c r="EH10" s="5">
        <f t="shared" si="136"/>
        <v>3.8626609442060085</v>
      </c>
      <c r="EI10" s="5">
        <f t="shared" si="137"/>
        <v>4.2</v>
      </c>
      <c r="EJ10" s="5">
        <f t="shared" si="138"/>
        <v>6.91</v>
      </c>
      <c r="EK10" s="299" t="s">
        <v>19</v>
      </c>
      <c r="EL10" s="295" t="s">
        <v>13</v>
      </c>
      <c r="EM10" s="295" t="s">
        <v>915</v>
      </c>
      <c r="EN10" s="295">
        <v>26</v>
      </c>
      <c r="EO10" s="295" t="s">
        <v>582</v>
      </c>
      <c r="EP10" s="295" t="s">
        <v>587</v>
      </c>
      <c r="EQ10" s="295" t="s">
        <v>643</v>
      </c>
      <c r="ER10" s="295" t="s">
        <v>916</v>
      </c>
      <c r="ES10" s="295" t="s">
        <v>759</v>
      </c>
      <c r="ET10" s="296">
        <v>47118</v>
      </c>
      <c r="EU10" s="295">
        <v>1398</v>
      </c>
      <c r="EV10" s="295" t="s">
        <v>1008</v>
      </c>
      <c r="EW10" s="295">
        <v>2</v>
      </c>
      <c r="EX10" s="295">
        <v>11</v>
      </c>
      <c r="EY10" s="295">
        <v>0</v>
      </c>
      <c r="EZ10" s="295">
        <v>2</v>
      </c>
      <c r="FA10" s="295">
        <v>61</v>
      </c>
      <c r="FB10" s="295">
        <v>93</v>
      </c>
      <c r="FC10" s="295">
        <v>4.2</v>
      </c>
      <c r="FD10" s="295" t="s">
        <v>1122</v>
      </c>
      <c r="FE10" s="295" t="s">
        <v>1123</v>
      </c>
      <c r="FF10" s="295">
        <v>26</v>
      </c>
      <c r="FG10" s="295">
        <v>13</v>
      </c>
      <c r="FH10" s="295">
        <v>313</v>
      </c>
      <c r="FI10" s="295">
        <v>278</v>
      </c>
      <c r="FJ10" s="295">
        <v>12</v>
      </c>
      <c r="FK10" s="295">
        <v>9</v>
      </c>
      <c r="FL10" s="295">
        <v>6</v>
      </c>
      <c r="FM10" s="295">
        <v>49</v>
      </c>
      <c r="FN10" s="295">
        <v>24</v>
      </c>
      <c r="FO10" s="295">
        <v>113</v>
      </c>
      <c r="FP10" s="295">
        <v>56</v>
      </c>
      <c r="FQ10" s="295">
        <v>43</v>
      </c>
      <c r="FR10" s="295">
        <v>5</v>
      </c>
      <c r="FS10" s="295">
        <v>1</v>
      </c>
      <c r="FT10" s="295">
        <v>0</v>
      </c>
      <c r="FU10" s="295">
        <v>8</v>
      </c>
      <c r="FV10" s="295">
        <v>1</v>
      </c>
      <c r="FW10" s="295">
        <v>0</v>
      </c>
      <c r="FX10" s="295">
        <v>1</v>
      </c>
      <c r="FY10" s="295">
        <v>0</v>
      </c>
      <c r="FZ10" s="295">
        <v>1</v>
      </c>
      <c r="GA10" s="295">
        <v>0.7</v>
      </c>
      <c r="GB10" s="295">
        <v>0</v>
      </c>
      <c r="GC10" s="295">
        <v>26</v>
      </c>
      <c r="GD10" s="295">
        <v>0</v>
      </c>
      <c r="GE10" s="295">
        <v>0</v>
      </c>
      <c r="GF10" s="295">
        <v>5.9</v>
      </c>
      <c r="GG10" s="295" t="s">
        <v>945</v>
      </c>
      <c r="GH10" s="300">
        <v>6.91</v>
      </c>
    </row>
    <row r="11" spans="1:190" ht="24.95" customHeight="1" thickBot="1" x14ac:dyDescent="0.3">
      <c r="A11" s="29" t="str">
        <f t="shared" si="0"/>
        <v>10º</v>
      </c>
      <c r="B11" s="69" t="str">
        <f t="shared" si="1"/>
        <v>Rodrigo Rodrigues</v>
      </c>
      <c r="C11" s="86" t="str">
        <f t="shared" si="2"/>
        <v>BRA</v>
      </c>
      <c r="D11" s="99" t="str">
        <f t="shared" si="3"/>
        <v>Pé Direito</v>
      </c>
      <c r="E11" s="28" t="str">
        <f t="shared" si="4"/>
        <v>Coritiba</v>
      </c>
      <c r="F11" s="167">
        <f t="shared" si="5"/>
        <v>1.91</v>
      </c>
      <c r="G11" s="150">
        <f t="shared" si="6"/>
        <v>46752</v>
      </c>
      <c r="H11" s="169">
        <f t="shared" si="7"/>
        <v>30</v>
      </c>
      <c r="I11" s="203" t="str">
        <f t="shared" si="8"/>
        <v>1,8m € p/m</v>
      </c>
      <c r="J11" s="189" t="str">
        <f t="shared" si="9"/>
        <v>60m € - 200m €</v>
      </c>
      <c r="K11" s="96">
        <f t="shared" si="10"/>
        <v>23.671111111111109</v>
      </c>
      <c r="L11" s="146">
        <f t="shared" si="11"/>
        <v>18.644444444444446</v>
      </c>
      <c r="M11" s="146">
        <f t="shared" si="12"/>
        <v>38</v>
      </c>
      <c r="N11" s="146">
        <f t="shared" si="13"/>
        <v>44.157894736842103</v>
      </c>
      <c r="O11" s="187">
        <f t="shared" si="14"/>
        <v>0.39</v>
      </c>
      <c r="P11" s="2">
        <f t="shared" si="15"/>
        <v>48</v>
      </c>
      <c r="Q11" s="5">
        <f t="shared" si="16"/>
        <v>0.29447852760736198</v>
      </c>
      <c r="R11" s="5">
        <f t="shared" si="17"/>
        <v>0.53635280095351601</v>
      </c>
      <c r="S11" s="5">
        <f t="shared" si="18"/>
        <v>0.69725864123957082</v>
      </c>
      <c r="T11" s="5">
        <f t="shared" si="19"/>
        <v>0.16090584028605481</v>
      </c>
      <c r="U11" s="6">
        <f t="shared" si="20"/>
        <v>1</v>
      </c>
      <c r="V11" s="24">
        <f t="shared" si="21"/>
        <v>1678</v>
      </c>
      <c r="W11" s="21">
        <f t="shared" si="22"/>
        <v>5.3635280095351602E-2</v>
      </c>
      <c r="X11" s="2">
        <f t="shared" si="23"/>
        <v>10</v>
      </c>
      <c r="Y11" s="2">
        <f t="shared" si="24"/>
        <v>3</v>
      </c>
      <c r="Z11" s="2">
        <f t="shared" si="25"/>
        <v>13</v>
      </c>
      <c r="AA11" s="371">
        <f t="shared" si="26"/>
        <v>10</v>
      </c>
      <c r="AB11" s="371">
        <f t="shared" si="27"/>
        <v>0</v>
      </c>
      <c r="AC11" s="372">
        <f t="shared" si="28"/>
        <v>0</v>
      </c>
      <c r="AD11" s="6">
        <f t="shared" si="29"/>
        <v>10</v>
      </c>
      <c r="AE11" s="20">
        <f t="shared" si="30"/>
        <v>1</v>
      </c>
      <c r="AF11" s="20">
        <f t="shared" si="31"/>
        <v>0.23076923076923078</v>
      </c>
      <c r="AG11" s="20">
        <f t="shared" si="32"/>
        <v>0</v>
      </c>
      <c r="AH11" s="5">
        <f t="shared" si="33"/>
        <v>0.53635280095351601</v>
      </c>
      <c r="AI11" s="5">
        <f t="shared" si="34"/>
        <v>0.16090584028605481</v>
      </c>
      <c r="AJ11" s="5">
        <f t="shared" si="35"/>
        <v>0.69725864123957082</v>
      </c>
      <c r="AK11" s="5">
        <f t="shared" si="36"/>
        <v>0.53635280095351601</v>
      </c>
      <c r="AL11" s="6">
        <f t="shared" si="37"/>
        <v>10</v>
      </c>
      <c r="AM11" s="5">
        <f t="shared" si="38"/>
        <v>0.53635280095351601</v>
      </c>
      <c r="AN11" s="6">
        <f t="shared" si="39"/>
        <v>0</v>
      </c>
      <c r="AO11" s="5">
        <f t="shared" si="40"/>
        <v>0</v>
      </c>
      <c r="AP11" s="5">
        <f t="shared" si="41"/>
        <v>0.8</v>
      </c>
      <c r="AQ11" s="21">
        <f t="shared" si="42"/>
        <v>0</v>
      </c>
      <c r="AR11" s="328">
        <f t="shared" si="43"/>
        <v>0</v>
      </c>
      <c r="AS11" s="329">
        <f t="shared" si="44"/>
        <v>0</v>
      </c>
      <c r="AT11" s="328">
        <f t="shared" si="45"/>
        <v>0</v>
      </c>
      <c r="AU11" s="329">
        <f t="shared" si="46"/>
        <v>0</v>
      </c>
      <c r="AV11" s="332">
        <f t="shared" si="47"/>
        <v>0</v>
      </c>
      <c r="AW11" s="343">
        <f t="shared" si="48"/>
        <v>0</v>
      </c>
      <c r="AX11" s="328">
        <f t="shared" si="49"/>
        <v>0</v>
      </c>
      <c r="AY11" s="328">
        <f t="shared" si="50"/>
        <v>0</v>
      </c>
      <c r="AZ11" s="346">
        <f t="shared" si="51"/>
        <v>0</v>
      </c>
      <c r="BA11" s="329">
        <f t="shared" si="52"/>
        <v>0</v>
      </c>
      <c r="BB11" s="20">
        <f t="shared" si="53"/>
        <v>1.0000000000000001E-5</v>
      </c>
      <c r="BC11" s="2">
        <f t="shared" si="54"/>
        <v>126</v>
      </c>
      <c r="BD11" s="2">
        <f t="shared" si="55"/>
        <v>44</v>
      </c>
      <c r="BE11" s="5">
        <f t="shared" si="56"/>
        <v>6.7580452920143026</v>
      </c>
      <c r="BF11" s="5">
        <f t="shared" si="57"/>
        <v>2.3599523241954707</v>
      </c>
      <c r="BG11" s="2">
        <f t="shared" si="58"/>
        <v>82</v>
      </c>
      <c r="BH11" s="107">
        <f t="shared" si="59"/>
        <v>0.34920634920634919</v>
      </c>
      <c r="BI11" s="107">
        <f t="shared" si="60"/>
        <v>0.65079365079365081</v>
      </c>
      <c r="BJ11" s="355">
        <f t="shared" si="61"/>
        <v>16</v>
      </c>
      <c r="BK11" s="329">
        <f t="shared" si="62"/>
        <v>0.85816448152562563</v>
      </c>
      <c r="BL11" s="6">
        <f t="shared" si="63"/>
        <v>51</v>
      </c>
      <c r="BM11" s="5">
        <f t="shared" si="64"/>
        <v>2.735399284862932</v>
      </c>
      <c r="BN11" s="6">
        <f t="shared" si="65"/>
        <v>23</v>
      </c>
      <c r="BO11" s="5">
        <f t="shared" si="66"/>
        <v>1.2336114421930868</v>
      </c>
      <c r="BP11" s="21">
        <f t="shared" si="67"/>
        <v>0.45098039215686275</v>
      </c>
      <c r="BQ11" s="5">
        <f t="shared" si="68"/>
        <v>5.0999999999999996</v>
      </c>
      <c r="BR11" s="5">
        <f t="shared" si="69"/>
        <v>2.2999999999999998</v>
      </c>
      <c r="BS11" s="5">
        <f t="shared" si="70"/>
        <v>17.7</v>
      </c>
      <c r="BT11" s="107">
        <f t="shared" si="71"/>
        <v>0.19607843137254902</v>
      </c>
      <c r="BU11" s="5">
        <f t="shared" si="72"/>
        <v>0.69928657229923863</v>
      </c>
      <c r="BV11" s="5">
        <f t="shared" si="73"/>
        <v>0.41138259833134683</v>
      </c>
      <c r="BW11" s="5">
        <f t="shared" si="74"/>
        <v>0.53635280095351601</v>
      </c>
      <c r="BX11" s="279">
        <f t="shared" si="75"/>
        <v>0.12497020262216918</v>
      </c>
      <c r="BY11" s="278">
        <f t="shared" si="76"/>
        <v>0.1503921568627451</v>
      </c>
      <c r="BZ11" s="5">
        <f t="shared" si="77"/>
        <v>32.901960784313722</v>
      </c>
      <c r="CA11" s="5">
        <f t="shared" si="78"/>
        <v>72.956521739130437</v>
      </c>
      <c r="CB11" s="5">
        <f t="shared" si="79"/>
        <v>167.8</v>
      </c>
      <c r="CC11" s="5">
        <f t="shared" si="80"/>
        <v>129.07692307692307</v>
      </c>
      <c r="CD11" s="5">
        <f t="shared" si="81"/>
        <v>2.33</v>
      </c>
      <c r="CE11" s="5">
        <f t="shared" si="139"/>
        <v>2.33</v>
      </c>
      <c r="CF11" s="5">
        <f t="shared" si="82"/>
        <v>7.67</v>
      </c>
      <c r="CG11" s="5">
        <f t="shared" si="83"/>
        <v>0.41138259833134683</v>
      </c>
      <c r="CH11" s="5">
        <f t="shared" si="84"/>
        <v>7.67</v>
      </c>
      <c r="CI11" s="5">
        <f t="shared" si="85"/>
        <v>0.41138259833134683</v>
      </c>
      <c r="CJ11" s="5">
        <f t="shared" si="86"/>
        <v>1.73</v>
      </c>
      <c r="CK11" s="5">
        <f t="shared" si="87"/>
        <v>9.2789034564958281E-2</v>
      </c>
      <c r="CL11" s="5">
        <f t="shared" si="88"/>
        <v>9.4</v>
      </c>
      <c r="CM11" s="5">
        <f t="shared" si="89"/>
        <v>0.50417163289630507</v>
      </c>
      <c r="CN11" s="21">
        <f t="shared" si="90"/>
        <v>0.56593095642331626</v>
      </c>
      <c r="CO11" s="6">
        <f t="shared" si="91"/>
        <v>18</v>
      </c>
      <c r="CP11" s="5">
        <f t="shared" si="92"/>
        <v>0.96543504171632888</v>
      </c>
      <c r="CQ11" s="5">
        <f t="shared" si="93"/>
        <v>1.73</v>
      </c>
      <c r="CR11" s="5">
        <f t="shared" si="94"/>
        <v>-1.27</v>
      </c>
      <c r="CS11" s="6">
        <f t="shared" si="95"/>
        <v>8</v>
      </c>
      <c r="CT11" s="5">
        <f t="shared" si="96"/>
        <v>0.42908224076281282</v>
      </c>
      <c r="CU11" s="6">
        <f t="shared" si="97"/>
        <v>5</v>
      </c>
      <c r="CV11" s="5">
        <f t="shared" si="98"/>
        <v>0.268176400476758</v>
      </c>
      <c r="CW11" s="21">
        <f t="shared" si="99"/>
        <v>0.625</v>
      </c>
      <c r="CX11" s="357">
        <f t="shared" si="100"/>
        <v>10</v>
      </c>
      <c r="CY11" s="358">
        <f t="shared" si="101"/>
        <v>0.53635280095351601</v>
      </c>
      <c r="CZ11" s="210">
        <f t="shared" si="102"/>
        <v>6.7973778307508947</v>
      </c>
      <c r="DA11" s="2">
        <f t="shared" si="103"/>
        <v>38</v>
      </c>
      <c r="DB11" s="5">
        <f t="shared" si="104"/>
        <v>2.0381406436233611</v>
      </c>
      <c r="DC11" s="2">
        <f t="shared" si="105"/>
        <v>6</v>
      </c>
      <c r="DD11" s="5">
        <f t="shared" si="106"/>
        <v>0.32181168057210963</v>
      </c>
      <c r="DE11" s="107">
        <f t="shared" si="107"/>
        <v>0.15789473684210525</v>
      </c>
      <c r="DF11" s="6">
        <f t="shared" si="108"/>
        <v>5</v>
      </c>
      <c r="DG11" s="5">
        <f t="shared" si="109"/>
        <v>0.268176400476758</v>
      </c>
      <c r="DH11" s="6">
        <f t="shared" si="110"/>
        <v>10</v>
      </c>
      <c r="DI11" s="5">
        <f t="shared" si="111"/>
        <v>0.53635280095351601</v>
      </c>
      <c r="DJ11" s="5">
        <f t="shared" si="112"/>
        <v>190.1</v>
      </c>
      <c r="DK11" s="5">
        <f t="shared" si="113"/>
        <v>10.196066746126339</v>
      </c>
      <c r="DL11" s="328">
        <f t="shared" si="114"/>
        <v>102.54444444444445</v>
      </c>
      <c r="DM11" s="356">
        <f t="shared" si="115"/>
        <v>5.5</v>
      </c>
      <c r="DN11" s="6">
        <f t="shared" si="116"/>
        <v>256.67</v>
      </c>
      <c r="DO11" s="5">
        <f t="shared" si="117"/>
        <v>13.766567342073897</v>
      </c>
      <c r="DP11" s="6">
        <f t="shared" si="118"/>
        <v>74</v>
      </c>
      <c r="DQ11" s="5">
        <f t="shared" si="119"/>
        <v>3.9690107270560189</v>
      </c>
      <c r="DR11" s="211">
        <f t="shared" si="120"/>
        <v>162.20666666666668</v>
      </c>
      <c r="DS11" s="5">
        <f t="shared" si="121"/>
        <v>8.6999999999999993</v>
      </c>
      <c r="DT11" s="21">
        <f t="shared" si="122"/>
        <v>0.28830794405267463</v>
      </c>
      <c r="DU11" s="6">
        <f t="shared" si="123"/>
        <v>58.230000000000004</v>
      </c>
      <c r="DV11" s="5">
        <f t="shared" si="124"/>
        <v>3.1231823599523243</v>
      </c>
      <c r="DW11" s="5">
        <f t="shared" si="125"/>
        <v>43.390941597139452</v>
      </c>
      <c r="DX11" s="181">
        <f t="shared" si="126"/>
        <v>87</v>
      </c>
      <c r="DY11" s="5">
        <f t="shared" si="127"/>
        <v>4.6662693682955894</v>
      </c>
      <c r="DZ11" s="6">
        <f t="shared" si="128"/>
        <v>56</v>
      </c>
      <c r="EA11" s="5">
        <f t="shared" si="129"/>
        <v>3.00357568533969</v>
      </c>
      <c r="EB11" s="21">
        <f t="shared" si="130"/>
        <v>0.64367816091954022</v>
      </c>
      <c r="EC11" s="6">
        <f t="shared" si="131"/>
        <v>126</v>
      </c>
      <c r="ED11" s="5">
        <f t="shared" si="132"/>
        <v>6.7580452920143026</v>
      </c>
      <c r="EE11" s="6">
        <f t="shared" si="133"/>
        <v>73</v>
      </c>
      <c r="EF11" s="5">
        <f t="shared" si="134"/>
        <v>3.9153754469606672</v>
      </c>
      <c r="EG11" s="6">
        <f t="shared" si="135"/>
        <v>101</v>
      </c>
      <c r="EH11" s="5">
        <f t="shared" si="136"/>
        <v>5.417163289630512</v>
      </c>
      <c r="EI11" s="5">
        <f t="shared" si="137"/>
        <v>8.6999999999999993</v>
      </c>
      <c r="EJ11" s="5">
        <f t="shared" si="138"/>
        <v>6.89</v>
      </c>
      <c r="EK11" s="299" t="s">
        <v>19</v>
      </c>
      <c r="EL11" s="295" t="s">
        <v>13</v>
      </c>
      <c r="EM11" s="295" t="s">
        <v>920</v>
      </c>
      <c r="EN11" s="295">
        <v>30</v>
      </c>
      <c r="EO11" s="295" t="s">
        <v>658</v>
      </c>
      <c r="EP11" s="295" t="s">
        <v>595</v>
      </c>
      <c r="EQ11" s="295" t="s">
        <v>643</v>
      </c>
      <c r="ER11" s="295" t="s">
        <v>968</v>
      </c>
      <c r="ES11" s="295" t="s">
        <v>913</v>
      </c>
      <c r="ET11" s="296">
        <v>46752</v>
      </c>
      <c r="EU11" s="295">
        <v>1678</v>
      </c>
      <c r="EV11" s="295" t="s">
        <v>1107</v>
      </c>
      <c r="EW11" s="295">
        <v>1</v>
      </c>
      <c r="EX11" s="295">
        <v>10</v>
      </c>
      <c r="EY11" s="295">
        <v>3</v>
      </c>
      <c r="EZ11" s="295">
        <v>4</v>
      </c>
      <c r="FA11" s="295">
        <v>48</v>
      </c>
      <c r="FB11" s="295">
        <v>163</v>
      </c>
      <c r="FC11" s="295">
        <v>8.6999999999999993</v>
      </c>
      <c r="FD11" s="295" t="s">
        <v>1126</v>
      </c>
      <c r="FE11" s="295" t="s">
        <v>1127</v>
      </c>
      <c r="FF11" s="295">
        <v>18</v>
      </c>
      <c r="FG11" s="295">
        <v>10</v>
      </c>
      <c r="FH11" s="295">
        <v>621</v>
      </c>
      <c r="FI11" s="295">
        <v>548</v>
      </c>
      <c r="FJ11" s="295">
        <v>18</v>
      </c>
      <c r="FK11" s="295">
        <v>15</v>
      </c>
      <c r="FL11" s="295">
        <v>10</v>
      </c>
      <c r="FM11" s="295">
        <v>51</v>
      </c>
      <c r="FN11" s="295">
        <v>23</v>
      </c>
      <c r="FO11" s="295">
        <v>126</v>
      </c>
      <c r="FP11" s="295">
        <v>44</v>
      </c>
      <c r="FQ11" s="295">
        <v>17</v>
      </c>
      <c r="FR11" s="295">
        <v>5</v>
      </c>
      <c r="FS11" s="295">
        <v>3</v>
      </c>
      <c r="FT11" s="295">
        <v>1</v>
      </c>
      <c r="FU11" s="295">
        <v>5</v>
      </c>
      <c r="FV11" s="295">
        <v>8</v>
      </c>
      <c r="FW11" s="295">
        <v>5</v>
      </c>
      <c r="FX11" s="295">
        <v>8</v>
      </c>
      <c r="FY11" s="295">
        <v>5</v>
      </c>
      <c r="FZ11" s="295">
        <v>0</v>
      </c>
      <c r="GA11" s="295">
        <v>0.8</v>
      </c>
      <c r="GB11" s="295">
        <v>0</v>
      </c>
      <c r="GC11" s="295">
        <v>16</v>
      </c>
      <c r="GD11" s="295">
        <v>0</v>
      </c>
      <c r="GE11" s="295">
        <v>0</v>
      </c>
      <c r="GF11" s="295">
        <v>5.5</v>
      </c>
      <c r="GG11" s="295" t="s">
        <v>1108</v>
      </c>
      <c r="GH11" s="300">
        <v>6.89</v>
      </c>
    </row>
    <row r="12" spans="1:190" ht="24.95" customHeight="1" x14ac:dyDescent="0.25"/>
    <row r="13" spans="1:190" ht="24.95" customHeight="1" x14ac:dyDescent="0.25"/>
    <row r="14" spans="1:190" ht="24.95" customHeight="1" x14ac:dyDescent="0.25"/>
    <row r="15" spans="1:190" ht="24.95" customHeight="1" x14ac:dyDescent="0.25"/>
    <row r="16" spans="1:190" ht="24.95" customHeight="1" x14ac:dyDescent="0.25"/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  <row r="26" ht="24.95" customHeight="1" x14ac:dyDescent="0.25"/>
    <row r="27" ht="24.95" customHeight="1" x14ac:dyDescent="0.25"/>
    <row r="28" ht="24.95" customHeight="1" x14ac:dyDescent="0.25"/>
    <row r="29" ht="24.95" customHeight="1" x14ac:dyDescent="0.25"/>
    <row r="30" ht="24.95" customHeight="1" x14ac:dyDescent="0.25"/>
    <row r="31" ht="24.95" customHeight="1" x14ac:dyDescent="0.25"/>
    <row r="3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  <row r="363" ht="24.95" customHeight="1" x14ac:dyDescent="0.25"/>
    <row r="364" ht="24.95" customHeight="1" x14ac:dyDescent="0.25"/>
    <row r="365" ht="24.95" customHeight="1" x14ac:dyDescent="0.25"/>
    <row r="366" ht="24.95" customHeight="1" x14ac:dyDescent="0.25"/>
    <row r="367" ht="24.95" customHeight="1" x14ac:dyDescent="0.25"/>
    <row r="368" ht="24.95" customHeight="1" x14ac:dyDescent="0.25"/>
    <row r="369" ht="24.95" customHeight="1" x14ac:dyDescent="0.25"/>
    <row r="370" ht="24.95" customHeight="1" x14ac:dyDescent="0.25"/>
    <row r="371" ht="24.95" customHeight="1" x14ac:dyDescent="0.25"/>
    <row r="372" ht="24.95" customHeight="1" x14ac:dyDescent="0.25"/>
    <row r="373" ht="24.95" customHeight="1" x14ac:dyDescent="0.25"/>
    <row r="374" ht="24.95" customHeight="1" x14ac:dyDescent="0.25"/>
    <row r="375" ht="24.95" customHeight="1" x14ac:dyDescent="0.25"/>
    <row r="376" ht="24.95" customHeight="1" x14ac:dyDescent="0.25"/>
    <row r="377" ht="24.95" customHeight="1" x14ac:dyDescent="0.25"/>
    <row r="378" ht="24.95" customHeight="1" x14ac:dyDescent="0.25"/>
    <row r="379" ht="24.95" customHeight="1" x14ac:dyDescent="0.25"/>
    <row r="380" ht="24.95" customHeight="1" x14ac:dyDescent="0.25"/>
    <row r="381" ht="24.95" customHeight="1" x14ac:dyDescent="0.25"/>
    <row r="382" ht="24.95" customHeight="1" x14ac:dyDescent="0.25"/>
    <row r="383" ht="24.95" customHeight="1" x14ac:dyDescent="0.25"/>
    <row r="384" ht="24.95" customHeight="1" x14ac:dyDescent="0.25"/>
    <row r="385" ht="24.95" customHeight="1" x14ac:dyDescent="0.25"/>
    <row r="386" ht="24.95" customHeight="1" x14ac:dyDescent="0.25"/>
    <row r="387" ht="24.95" customHeight="1" x14ac:dyDescent="0.25"/>
    <row r="388" ht="24.95" customHeight="1" x14ac:dyDescent="0.25"/>
    <row r="389" ht="24.95" customHeight="1" x14ac:dyDescent="0.25"/>
    <row r="390" ht="24.95" customHeight="1" x14ac:dyDescent="0.25"/>
    <row r="391" ht="24.95" customHeight="1" x14ac:dyDescent="0.25"/>
    <row r="392" ht="24.95" customHeight="1" x14ac:dyDescent="0.25"/>
    <row r="393" ht="24.95" customHeight="1" x14ac:dyDescent="0.25"/>
    <row r="394" ht="24.95" customHeight="1" x14ac:dyDescent="0.25"/>
    <row r="395" ht="24.95" customHeight="1" x14ac:dyDescent="0.25"/>
    <row r="396" ht="24.95" customHeight="1" x14ac:dyDescent="0.25"/>
    <row r="397" ht="24.95" customHeight="1" x14ac:dyDescent="0.25"/>
    <row r="398" ht="24.95" customHeight="1" x14ac:dyDescent="0.25"/>
    <row r="399" ht="24.95" customHeight="1" x14ac:dyDescent="0.25"/>
    <row r="400" ht="24.95" customHeight="1" x14ac:dyDescent="0.25"/>
    <row r="401" ht="24.95" customHeight="1" x14ac:dyDescent="0.25"/>
    <row r="402" ht="24.95" customHeight="1" x14ac:dyDescent="0.25"/>
    <row r="403" ht="24.95" customHeight="1" x14ac:dyDescent="0.25"/>
    <row r="404" ht="24.95" customHeight="1" x14ac:dyDescent="0.25"/>
    <row r="405" ht="24.95" customHeight="1" x14ac:dyDescent="0.25"/>
    <row r="406" ht="24.95" customHeight="1" x14ac:dyDescent="0.25"/>
    <row r="407" ht="24.95" customHeight="1" x14ac:dyDescent="0.25"/>
    <row r="408" ht="24.95" customHeight="1" x14ac:dyDescent="0.25"/>
    <row r="409" ht="24.95" customHeight="1" x14ac:dyDescent="0.25"/>
    <row r="410" ht="24.95" customHeight="1" x14ac:dyDescent="0.25"/>
    <row r="411" ht="24.95" customHeight="1" x14ac:dyDescent="0.25"/>
    <row r="412" ht="24.95" customHeight="1" x14ac:dyDescent="0.25"/>
    <row r="413" ht="24.95" customHeight="1" x14ac:dyDescent="0.25"/>
    <row r="414" ht="24.95" customHeight="1" x14ac:dyDescent="0.25"/>
    <row r="415" ht="24.95" customHeight="1" x14ac:dyDescent="0.25"/>
    <row r="416" ht="24.95" customHeight="1" x14ac:dyDescent="0.25"/>
    <row r="417" ht="24.95" customHeight="1" x14ac:dyDescent="0.25"/>
    <row r="418" ht="24.95" customHeight="1" x14ac:dyDescent="0.25"/>
    <row r="419" ht="24.95" customHeight="1" x14ac:dyDescent="0.25"/>
    <row r="420" ht="24.95" customHeight="1" x14ac:dyDescent="0.25"/>
    <row r="421" ht="24.95" customHeight="1" x14ac:dyDescent="0.25"/>
    <row r="422" ht="24.95" customHeight="1" x14ac:dyDescent="0.25"/>
    <row r="423" ht="24.95" customHeight="1" x14ac:dyDescent="0.25"/>
    <row r="424" ht="24.95" customHeight="1" x14ac:dyDescent="0.25"/>
    <row r="425" ht="24.95" customHeight="1" x14ac:dyDescent="0.25"/>
    <row r="426" ht="24.95" customHeight="1" x14ac:dyDescent="0.25"/>
    <row r="427" ht="24.95" customHeight="1" x14ac:dyDescent="0.25"/>
    <row r="428" ht="24.95" customHeight="1" x14ac:dyDescent="0.25"/>
    <row r="429" ht="24.95" customHeight="1" x14ac:dyDescent="0.25"/>
    <row r="430" ht="24.95" customHeight="1" x14ac:dyDescent="0.25"/>
    <row r="431" ht="24.95" customHeight="1" x14ac:dyDescent="0.25"/>
    <row r="432" ht="24.95" customHeight="1" x14ac:dyDescent="0.25"/>
    <row r="433" ht="24.95" customHeight="1" x14ac:dyDescent="0.25"/>
    <row r="434" ht="24.95" customHeight="1" x14ac:dyDescent="0.25"/>
    <row r="435" ht="24.95" customHeight="1" x14ac:dyDescent="0.25"/>
    <row r="436" ht="24.95" customHeight="1" x14ac:dyDescent="0.25"/>
    <row r="437" ht="24.95" customHeight="1" x14ac:dyDescent="0.25"/>
    <row r="438" ht="24.95" customHeight="1" x14ac:dyDescent="0.25"/>
    <row r="439" ht="24.95" customHeight="1" x14ac:dyDescent="0.25"/>
    <row r="440" ht="24.95" customHeight="1" x14ac:dyDescent="0.25"/>
    <row r="441" ht="24.95" customHeight="1" x14ac:dyDescent="0.25"/>
    <row r="442" ht="24.95" customHeight="1" x14ac:dyDescent="0.25"/>
    <row r="443" ht="24.95" customHeight="1" x14ac:dyDescent="0.25"/>
    <row r="444" ht="24.95" customHeight="1" x14ac:dyDescent="0.25"/>
    <row r="445" ht="24.95" customHeight="1" x14ac:dyDescent="0.25"/>
    <row r="446" ht="24.95" customHeight="1" x14ac:dyDescent="0.25"/>
    <row r="447" ht="24.95" customHeight="1" x14ac:dyDescent="0.25"/>
    <row r="448" ht="24.95" customHeight="1" x14ac:dyDescent="0.25"/>
    <row r="449" ht="24.95" customHeight="1" x14ac:dyDescent="0.25"/>
    <row r="450" ht="24.95" customHeight="1" x14ac:dyDescent="0.25"/>
    <row r="451" ht="24.95" customHeight="1" x14ac:dyDescent="0.25"/>
    <row r="452" ht="24.95" customHeight="1" x14ac:dyDescent="0.25"/>
    <row r="453" ht="24.95" customHeight="1" x14ac:dyDescent="0.25"/>
    <row r="454" ht="24.95" customHeight="1" x14ac:dyDescent="0.25"/>
    <row r="455" ht="24.95" customHeight="1" x14ac:dyDescent="0.25"/>
    <row r="456" ht="24.95" customHeight="1" x14ac:dyDescent="0.25"/>
    <row r="457" ht="24.95" customHeight="1" x14ac:dyDescent="0.25"/>
    <row r="458" ht="24.95" customHeight="1" x14ac:dyDescent="0.25"/>
    <row r="459" ht="24.95" customHeight="1" x14ac:dyDescent="0.25"/>
    <row r="460" ht="24.95" customHeight="1" x14ac:dyDescent="0.25"/>
    <row r="461" ht="24.95" customHeight="1" x14ac:dyDescent="0.25"/>
    <row r="462" ht="24.95" customHeight="1" x14ac:dyDescent="0.25"/>
    <row r="463" ht="24.95" customHeight="1" x14ac:dyDescent="0.25"/>
    <row r="464" ht="24.95" customHeight="1" x14ac:dyDescent="0.25"/>
    <row r="465" ht="24.95" customHeight="1" x14ac:dyDescent="0.25"/>
    <row r="466" ht="24.95" customHeight="1" x14ac:dyDescent="0.25"/>
    <row r="467" ht="24.95" customHeight="1" x14ac:dyDescent="0.25"/>
    <row r="468" ht="24.95" customHeight="1" x14ac:dyDescent="0.25"/>
    <row r="469" ht="24.95" customHeight="1" x14ac:dyDescent="0.25"/>
    <row r="470" ht="24.95" customHeight="1" x14ac:dyDescent="0.25"/>
    <row r="471" ht="24.95" customHeight="1" x14ac:dyDescent="0.25"/>
    <row r="472" ht="24.95" customHeight="1" x14ac:dyDescent="0.25"/>
    <row r="473" ht="24.95" customHeight="1" x14ac:dyDescent="0.25"/>
    <row r="474" ht="24.95" customHeight="1" x14ac:dyDescent="0.25"/>
    <row r="475" ht="24.95" customHeight="1" x14ac:dyDescent="0.25"/>
    <row r="476" ht="24.95" customHeight="1" x14ac:dyDescent="0.25"/>
    <row r="477" ht="24.95" customHeight="1" x14ac:dyDescent="0.25"/>
    <row r="478" ht="24.95" customHeight="1" x14ac:dyDescent="0.25"/>
    <row r="479" ht="24.95" customHeight="1" x14ac:dyDescent="0.25"/>
    <row r="480" ht="24.95" customHeight="1" x14ac:dyDescent="0.25"/>
    <row r="481" ht="24.95" customHeight="1" x14ac:dyDescent="0.25"/>
    <row r="482" ht="24.95" customHeight="1" x14ac:dyDescent="0.25"/>
    <row r="483" ht="24.95" customHeight="1" x14ac:dyDescent="0.25"/>
    <row r="484" ht="24.95" customHeight="1" x14ac:dyDescent="0.25"/>
    <row r="485" ht="24.95" customHeight="1" x14ac:dyDescent="0.25"/>
    <row r="486" ht="24.95" customHeight="1" x14ac:dyDescent="0.25"/>
    <row r="487" ht="24.95" customHeight="1" x14ac:dyDescent="0.25"/>
    <row r="488" ht="24.95" customHeight="1" x14ac:dyDescent="0.25"/>
    <row r="489" ht="24.95" customHeight="1" x14ac:dyDescent="0.25"/>
    <row r="490" ht="24.95" customHeight="1" x14ac:dyDescent="0.25"/>
    <row r="491" ht="24.95" customHeight="1" x14ac:dyDescent="0.25"/>
    <row r="492" ht="24.95" customHeight="1" x14ac:dyDescent="0.25"/>
    <row r="493" ht="24.95" customHeight="1" x14ac:dyDescent="0.25"/>
    <row r="494" ht="24.95" customHeight="1" x14ac:dyDescent="0.25"/>
    <row r="495" ht="24.95" customHeight="1" x14ac:dyDescent="0.25"/>
    <row r="496" ht="24.95" customHeight="1" x14ac:dyDescent="0.25"/>
    <row r="497" ht="24.95" customHeight="1" x14ac:dyDescent="0.25"/>
    <row r="498" ht="24.95" customHeight="1" x14ac:dyDescent="0.25"/>
    <row r="499" ht="24.95" customHeight="1" x14ac:dyDescent="0.25"/>
    <row r="500" ht="24.95" customHeight="1" x14ac:dyDescent="0.25"/>
    <row r="501" ht="24.95" customHeight="1" x14ac:dyDescent="0.25"/>
    <row r="502" ht="24.95" customHeight="1" x14ac:dyDescent="0.25"/>
    <row r="503" ht="24.95" customHeight="1" x14ac:dyDescent="0.25"/>
    <row r="504" ht="24.95" customHeight="1" x14ac:dyDescent="0.25"/>
    <row r="505" ht="24.95" customHeight="1" x14ac:dyDescent="0.25"/>
    <row r="506" ht="24.95" customHeight="1" x14ac:dyDescent="0.25"/>
    <row r="507" ht="24.95" customHeight="1" x14ac:dyDescent="0.25"/>
    <row r="508" ht="24.95" customHeight="1" x14ac:dyDescent="0.25"/>
    <row r="509" ht="24.95" customHeight="1" x14ac:dyDescent="0.25"/>
    <row r="510" ht="24.95" customHeight="1" x14ac:dyDescent="0.25"/>
    <row r="511" ht="24.95" customHeight="1" x14ac:dyDescent="0.25"/>
    <row r="512" ht="24.95" customHeight="1" x14ac:dyDescent="0.25"/>
    <row r="513" ht="24.95" customHeight="1" x14ac:dyDescent="0.25"/>
    <row r="514" ht="24.95" customHeight="1" x14ac:dyDescent="0.25"/>
    <row r="515" ht="24.95" customHeight="1" x14ac:dyDescent="0.25"/>
    <row r="516" ht="24.95" customHeight="1" x14ac:dyDescent="0.25"/>
    <row r="517" ht="24.95" customHeight="1" x14ac:dyDescent="0.25"/>
    <row r="518" ht="24.95" customHeight="1" x14ac:dyDescent="0.25"/>
    <row r="519" ht="24.95" customHeight="1" x14ac:dyDescent="0.25"/>
    <row r="520" ht="24.95" customHeight="1" x14ac:dyDescent="0.25"/>
    <row r="521" ht="24.95" customHeight="1" x14ac:dyDescent="0.25"/>
    <row r="522" ht="24.95" customHeight="1" x14ac:dyDescent="0.25"/>
    <row r="523" ht="24.95" customHeight="1" x14ac:dyDescent="0.25"/>
    <row r="524" ht="24.95" customHeight="1" x14ac:dyDescent="0.25"/>
    <row r="525" ht="24.95" customHeight="1" x14ac:dyDescent="0.25"/>
    <row r="526" ht="24.95" customHeight="1" x14ac:dyDescent="0.25"/>
    <row r="527" ht="24.95" customHeight="1" x14ac:dyDescent="0.25"/>
    <row r="528" ht="24.95" customHeight="1" x14ac:dyDescent="0.25"/>
    <row r="529" ht="24.95" customHeight="1" x14ac:dyDescent="0.25"/>
    <row r="530" ht="24.95" customHeight="1" x14ac:dyDescent="0.25"/>
    <row r="531" ht="24.95" customHeight="1" x14ac:dyDescent="0.25"/>
    <row r="532" ht="24.95" customHeight="1" x14ac:dyDescent="0.25"/>
    <row r="533" ht="24.95" customHeight="1" x14ac:dyDescent="0.25"/>
    <row r="534" ht="24.95" customHeight="1" x14ac:dyDescent="0.25"/>
    <row r="535" ht="24.95" customHeight="1" x14ac:dyDescent="0.25"/>
    <row r="536" ht="24.95" customHeight="1" x14ac:dyDescent="0.25"/>
    <row r="537" ht="24.95" customHeight="1" x14ac:dyDescent="0.25"/>
    <row r="538" ht="24.95" customHeight="1" x14ac:dyDescent="0.25"/>
    <row r="539" ht="24.95" customHeight="1" x14ac:dyDescent="0.25"/>
    <row r="540" ht="24.95" customHeight="1" x14ac:dyDescent="0.25"/>
    <row r="541" ht="24.95" customHeight="1" x14ac:dyDescent="0.25"/>
    <row r="542" ht="24.95" customHeight="1" x14ac:dyDescent="0.25"/>
    <row r="543" ht="24.95" customHeight="1" x14ac:dyDescent="0.25"/>
    <row r="544" ht="24.95" customHeight="1" x14ac:dyDescent="0.25"/>
    <row r="545" ht="24.95" customHeight="1" x14ac:dyDescent="0.25"/>
    <row r="546" ht="24.95" customHeight="1" x14ac:dyDescent="0.25"/>
    <row r="547" ht="24.95" customHeight="1" x14ac:dyDescent="0.25"/>
    <row r="548" ht="24.95" customHeight="1" x14ac:dyDescent="0.25"/>
    <row r="549" ht="24.95" customHeight="1" x14ac:dyDescent="0.25"/>
    <row r="550" ht="24.95" customHeight="1" x14ac:dyDescent="0.25"/>
    <row r="551" ht="24.95" customHeight="1" x14ac:dyDescent="0.25"/>
    <row r="552" ht="24.95" customHeight="1" x14ac:dyDescent="0.25"/>
    <row r="553" ht="24.95" customHeight="1" x14ac:dyDescent="0.25"/>
    <row r="554" ht="24.95" customHeight="1" x14ac:dyDescent="0.25"/>
    <row r="555" ht="24.95" customHeight="1" x14ac:dyDescent="0.25"/>
    <row r="556" ht="24.95" customHeight="1" x14ac:dyDescent="0.25"/>
    <row r="557" ht="24.95" customHeight="1" x14ac:dyDescent="0.25"/>
    <row r="558" ht="24.95" customHeight="1" x14ac:dyDescent="0.25"/>
    <row r="559" ht="24.95" customHeight="1" x14ac:dyDescent="0.25"/>
    <row r="560" ht="24.95" customHeight="1" x14ac:dyDescent="0.25"/>
    <row r="561" ht="24.95" customHeight="1" x14ac:dyDescent="0.25"/>
    <row r="562" ht="24.95" customHeight="1" x14ac:dyDescent="0.25"/>
    <row r="563" ht="24.95" customHeight="1" x14ac:dyDescent="0.25"/>
    <row r="564" ht="24.95" customHeight="1" x14ac:dyDescent="0.25"/>
    <row r="565" ht="24.95" customHeight="1" x14ac:dyDescent="0.25"/>
    <row r="566" ht="24.95" customHeight="1" x14ac:dyDescent="0.25"/>
    <row r="567" ht="24.95" customHeight="1" x14ac:dyDescent="0.25"/>
    <row r="568" ht="24.95" customHeight="1" x14ac:dyDescent="0.25"/>
    <row r="569" ht="24.95" customHeight="1" x14ac:dyDescent="0.25"/>
    <row r="570" ht="24.95" customHeight="1" x14ac:dyDescent="0.25"/>
    <row r="571" ht="24.95" customHeight="1" x14ac:dyDescent="0.25"/>
    <row r="572" ht="24.95" customHeight="1" x14ac:dyDescent="0.25"/>
    <row r="573" ht="24.95" customHeight="1" x14ac:dyDescent="0.25"/>
    <row r="574" ht="24.95" customHeight="1" x14ac:dyDescent="0.25"/>
    <row r="575" ht="24.95" customHeight="1" x14ac:dyDescent="0.25"/>
    <row r="576" ht="24.95" customHeight="1" x14ac:dyDescent="0.25"/>
    <row r="577" ht="24.95" customHeight="1" x14ac:dyDescent="0.25"/>
    <row r="578" ht="24.95" customHeight="1" x14ac:dyDescent="0.25"/>
    <row r="579" ht="24.95" customHeight="1" x14ac:dyDescent="0.25"/>
    <row r="580" ht="24.95" customHeight="1" x14ac:dyDescent="0.25"/>
    <row r="581" ht="24.95" customHeight="1" x14ac:dyDescent="0.25"/>
    <row r="582" ht="24.95" customHeight="1" x14ac:dyDescent="0.25"/>
    <row r="583" ht="24.95" customHeight="1" x14ac:dyDescent="0.25"/>
    <row r="584" ht="24.95" customHeight="1" x14ac:dyDescent="0.25"/>
    <row r="585" ht="24.95" customHeight="1" x14ac:dyDescent="0.25"/>
    <row r="586" ht="24.95" customHeight="1" x14ac:dyDescent="0.25"/>
    <row r="587" ht="24.95" customHeight="1" x14ac:dyDescent="0.25"/>
    <row r="588" ht="24.95" customHeight="1" x14ac:dyDescent="0.25"/>
    <row r="589" ht="24.95" customHeight="1" x14ac:dyDescent="0.25"/>
    <row r="590" ht="24.95" customHeight="1" x14ac:dyDescent="0.25"/>
    <row r="591" ht="24.95" customHeight="1" x14ac:dyDescent="0.25"/>
    <row r="592" ht="24.95" customHeight="1" x14ac:dyDescent="0.25"/>
    <row r="593" ht="24.95" customHeight="1" x14ac:dyDescent="0.25"/>
    <row r="594" ht="24.95" customHeight="1" x14ac:dyDescent="0.25"/>
    <row r="595" ht="24.95" customHeight="1" x14ac:dyDescent="0.25"/>
    <row r="596" ht="24.95" customHeight="1" x14ac:dyDescent="0.25"/>
    <row r="597" ht="24.95" customHeight="1" x14ac:dyDescent="0.25"/>
    <row r="598" ht="24.95" customHeight="1" x14ac:dyDescent="0.25"/>
    <row r="599" ht="24.95" customHeight="1" x14ac:dyDescent="0.25"/>
    <row r="600" ht="24.95" customHeight="1" x14ac:dyDescent="0.25"/>
    <row r="601" ht="24.95" customHeight="1" x14ac:dyDescent="0.25"/>
    <row r="602" ht="24.95" customHeight="1" x14ac:dyDescent="0.25"/>
    <row r="603" ht="24.95" customHeight="1" x14ac:dyDescent="0.25"/>
    <row r="604" ht="24.95" customHeight="1" x14ac:dyDescent="0.25"/>
    <row r="605" ht="24.95" customHeight="1" x14ac:dyDescent="0.25"/>
    <row r="606" ht="24.95" customHeight="1" x14ac:dyDescent="0.25"/>
    <row r="607" ht="24.95" customHeight="1" x14ac:dyDescent="0.25"/>
    <row r="608" ht="24.95" customHeight="1" x14ac:dyDescent="0.25"/>
    <row r="609" ht="24.95" customHeight="1" x14ac:dyDescent="0.25"/>
    <row r="610" ht="24.95" customHeight="1" x14ac:dyDescent="0.25"/>
    <row r="611" ht="24.95" customHeight="1" x14ac:dyDescent="0.25"/>
    <row r="612" ht="24.95" customHeight="1" x14ac:dyDescent="0.25"/>
    <row r="613" ht="24.95" customHeight="1" x14ac:dyDescent="0.25"/>
    <row r="614" ht="24.95" customHeight="1" x14ac:dyDescent="0.25"/>
    <row r="615" ht="24.95" customHeight="1" x14ac:dyDescent="0.25"/>
    <row r="616" ht="24.95" customHeight="1" x14ac:dyDescent="0.25"/>
    <row r="617" ht="24.95" customHeight="1" x14ac:dyDescent="0.25"/>
    <row r="618" ht="24.95" customHeight="1" x14ac:dyDescent="0.25"/>
    <row r="619" ht="24.95" customHeight="1" x14ac:dyDescent="0.25"/>
    <row r="620" ht="24.95" customHeight="1" x14ac:dyDescent="0.25"/>
    <row r="621" ht="24.95" customHeight="1" x14ac:dyDescent="0.25"/>
    <row r="622" ht="24.95" customHeight="1" x14ac:dyDescent="0.25"/>
    <row r="623" ht="24.95" customHeight="1" x14ac:dyDescent="0.25"/>
    <row r="624" ht="24.95" customHeight="1" x14ac:dyDescent="0.25"/>
    <row r="625" ht="24.95" customHeight="1" x14ac:dyDescent="0.25"/>
    <row r="626" ht="24.95" customHeight="1" x14ac:dyDescent="0.25"/>
    <row r="627" ht="24.95" customHeight="1" x14ac:dyDescent="0.25"/>
    <row r="628" ht="24.95" customHeight="1" x14ac:dyDescent="0.25"/>
    <row r="629" ht="24.95" customHeight="1" x14ac:dyDescent="0.25"/>
    <row r="630" ht="24.95" customHeight="1" x14ac:dyDescent="0.25"/>
    <row r="631" ht="24.95" customHeight="1" x14ac:dyDescent="0.25"/>
    <row r="632" ht="24.95" customHeight="1" x14ac:dyDescent="0.25"/>
    <row r="633" ht="24.95" customHeight="1" x14ac:dyDescent="0.25"/>
    <row r="634" ht="24.95" customHeight="1" x14ac:dyDescent="0.25"/>
    <row r="635" ht="24.95" customHeight="1" x14ac:dyDescent="0.25"/>
    <row r="636" ht="24.95" customHeight="1" x14ac:dyDescent="0.25"/>
    <row r="637" ht="24.95" customHeight="1" x14ac:dyDescent="0.25"/>
    <row r="638" ht="24.95" customHeight="1" x14ac:dyDescent="0.25"/>
    <row r="639" ht="24.95" customHeight="1" x14ac:dyDescent="0.25"/>
    <row r="640" ht="24.95" customHeight="1" x14ac:dyDescent="0.25"/>
    <row r="641" ht="24.95" customHeight="1" x14ac:dyDescent="0.25"/>
    <row r="642" ht="24.95" customHeight="1" x14ac:dyDescent="0.25"/>
    <row r="643" ht="24.95" customHeight="1" x14ac:dyDescent="0.25"/>
    <row r="644" ht="24.95" customHeight="1" x14ac:dyDescent="0.25"/>
    <row r="645" ht="24.95" customHeight="1" x14ac:dyDescent="0.25"/>
    <row r="646" ht="24.95" customHeight="1" x14ac:dyDescent="0.25"/>
    <row r="647" ht="24.95" customHeight="1" x14ac:dyDescent="0.25"/>
    <row r="648" ht="24.95" customHeight="1" x14ac:dyDescent="0.25"/>
    <row r="649" ht="24.95" customHeight="1" x14ac:dyDescent="0.25"/>
    <row r="650" ht="24.95" customHeight="1" x14ac:dyDescent="0.25"/>
    <row r="651" ht="24.95" customHeight="1" x14ac:dyDescent="0.25"/>
    <row r="652" ht="24.95" customHeight="1" x14ac:dyDescent="0.25"/>
    <row r="653" ht="24.95" customHeight="1" x14ac:dyDescent="0.25"/>
    <row r="654" ht="24.95" customHeight="1" x14ac:dyDescent="0.25"/>
    <row r="655" ht="24.95" customHeight="1" x14ac:dyDescent="0.25"/>
    <row r="656" ht="24.95" customHeight="1" x14ac:dyDescent="0.25"/>
    <row r="657" ht="24.95" customHeight="1" x14ac:dyDescent="0.25"/>
    <row r="658" ht="24.95" customHeight="1" x14ac:dyDescent="0.25"/>
    <row r="659" ht="24.95" customHeight="1" x14ac:dyDescent="0.25"/>
    <row r="660" ht="24.95" customHeight="1" x14ac:dyDescent="0.25"/>
    <row r="661" ht="24.95" customHeight="1" x14ac:dyDescent="0.25"/>
    <row r="662" ht="24.95" customHeight="1" x14ac:dyDescent="0.25"/>
    <row r="663" ht="24.95" customHeight="1" x14ac:dyDescent="0.25"/>
    <row r="664" ht="24.95" customHeight="1" x14ac:dyDescent="0.25"/>
    <row r="665" ht="24.95" customHeight="1" x14ac:dyDescent="0.25"/>
    <row r="666" ht="24.95" customHeight="1" x14ac:dyDescent="0.25"/>
    <row r="667" ht="24.95" customHeight="1" x14ac:dyDescent="0.25"/>
    <row r="668" ht="24.95" customHeight="1" x14ac:dyDescent="0.25"/>
    <row r="669" ht="24.95" customHeight="1" x14ac:dyDescent="0.25"/>
    <row r="670" ht="24.95" customHeight="1" x14ac:dyDescent="0.25"/>
    <row r="671" ht="24.95" customHeight="1" x14ac:dyDescent="0.25"/>
    <row r="672" ht="24.95" customHeight="1" x14ac:dyDescent="0.25"/>
    <row r="673" ht="24.95" customHeight="1" x14ac:dyDescent="0.25"/>
    <row r="674" ht="24.95" customHeight="1" x14ac:dyDescent="0.25"/>
    <row r="675" ht="24.95" customHeight="1" x14ac:dyDescent="0.25"/>
    <row r="676" ht="24.95" customHeight="1" x14ac:dyDescent="0.25"/>
    <row r="677" ht="24.95" customHeight="1" x14ac:dyDescent="0.25"/>
    <row r="678" ht="24.95" customHeight="1" x14ac:dyDescent="0.25"/>
    <row r="679" ht="24.95" customHeight="1" x14ac:dyDescent="0.25"/>
    <row r="680" ht="24.95" customHeight="1" x14ac:dyDescent="0.25"/>
    <row r="681" ht="24.95" customHeight="1" x14ac:dyDescent="0.25"/>
    <row r="682" ht="24.95" customHeight="1" x14ac:dyDescent="0.25"/>
    <row r="683" ht="24.95" customHeight="1" x14ac:dyDescent="0.25"/>
    <row r="684" ht="24.95" customHeight="1" x14ac:dyDescent="0.25"/>
    <row r="685" ht="24.95" customHeight="1" x14ac:dyDescent="0.25"/>
    <row r="686" ht="24.95" customHeight="1" x14ac:dyDescent="0.25"/>
    <row r="687" ht="24.95" customHeight="1" x14ac:dyDescent="0.25"/>
    <row r="688" ht="24.95" customHeight="1" x14ac:dyDescent="0.25"/>
    <row r="689" ht="24.95" customHeight="1" x14ac:dyDescent="0.25"/>
    <row r="690" ht="24.95" customHeight="1" x14ac:dyDescent="0.25"/>
    <row r="691" ht="24.95" customHeight="1" x14ac:dyDescent="0.25"/>
    <row r="692" ht="24.95" customHeight="1" x14ac:dyDescent="0.25"/>
    <row r="693" ht="24.95" customHeight="1" x14ac:dyDescent="0.25"/>
    <row r="694" ht="24.95" customHeight="1" x14ac:dyDescent="0.25"/>
    <row r="695" ht="24.95" customHeight="1" x14ac:dyDescent="0.25"/>
    <row r="696" ht="24.95" customHeight="1" x14ac:dyDescent="0.25"/>
    <row r="697" ht="24.95" customHeight="1" x14ac:dyDescent="0.25"/>
    <row r="698" ht="24.95" customHeight="1" x14ac:dyDescent="0.25"/>
    <row r="699" ht="24.95" customHeight="1" x14ac:dyDescent="0.25"/>
    <row r="700" ht="24.95" customHeight="1" x14ac:dyDescent="0.25"/>
    <row r="701" ht="24.95" customHeight="1" x14ac:dyDescent="0.25"/>
    <row r="702" ht="24.95" customHeight="1" x14ac:dyDescent="0.25"/>
    <row r="703" ht="24.95" customHeight="1" x14ac:dyDescent="0.25"/>
    <row r="704" ht="24.95" customHeight="1" x14ac:dyDescent="0.25"/>
    <row r="705" ht="24.95" customHeight="1" x14ac:dyDescent="0.25"/>
    <row r="706" ht="24.95" customHeight="1" x14ac:dyDescent="0.25"/>
    <row r="707" ht="24.95" customHeight="1" x14ac:dyDescent="0.25"/>
    <row r="708" ht="24.95" customHeight="1" x14ac:dyDescent="0.25"/>
    <row r="709" ht="24.95" customHeight="1" x14ac:dyDescent="0.25"/>
    <row r="710" ht="24.95" customHeight="1" x14ac:dyDescent="0.25"/>
    <row r="711" ht="24.95" customHeight="1" x14ac:dyDescent="0.25"/>
    <row r="712" ht="24.95" customHeight="1" x14ac:dyDescent="0.25"/>
    <row r="713" ht="24.95" customHeight="1" x14ac:dyDescent="0.25"/>
    <row r="714" ht="24.95" customHeight="1" x14ac:dyDescent="0.25"/>
    <row r="715" ht="24.95" customHeight="1" x14ac:dyDescent="0.25"/>
    <row r="716" ht="24.95" customHeight="1" x14ac:dyDescent="0.25"/>
    <row r="717" ht="24.95" customHeight="1" x14ac:dyDescent="0.25"/>
    <row r="718" ht="24.95" customHeight="1" x14ac:dyDescent="0.25"/>
    <row r="719" ht="24.95" customHeight="1" x14ac:dyDescent="0.25"/>
    <row r="720" ht="24.95" customHeight="1" x14ac:dyDescent="0.25"/>
    <row r="721" ht="24.95" customHeight="1" x14ac:dyDescent="0.25"/>
    <row r="722" ht="24.95" customHeight="1" x14ac:dyDescent="0.25"/>
    <row r="723" ht="24.95" customHeight="1" x14ac:dyDescent="0.25"/>
    <row r="724" ht="24.95" customHeight="1" x14ac:dyDescent="0.25"/>
    <row r="725" ht="24.95" customHeight="1" x14ac:dyDescent="0.25"/>
    <row r="726" ht="24.95" customHeight="1" x14ac:dyDescent="0.25"/>
    <row r="727" ht="24.95" customHeight="1" x14ac:dyDescent="0.25"/>
    <row r="728" ht="24.95" customHeight="1" x14ac:dyDescent="0.25"/>
    <row r="729" ht="24.95" customHeight="1" x14ac:dyDescent="0.25"/>
    <row r="730" ht="24.95" customHeight="1" x14ac:dyDescent="0.25"/>
    <row r="731" ht="24.95" customHeight="1" x14ac:dyDescent="0.25"/>
    <row r="732" ht="24.95" customHeight="1" x14ac:dyDescent="0.25"/>
    <row r="733" ht="24.95" customHeight="1" x14ac:dyDescent="0.25"/>
    <row r="734" ht="24.95" customHeight="1" x14ac:dyDescent="0.25"/>
    <row r="735" ht="24.95" customHeight="1" x14ac:dyDescent="0.25"/>
    <row r="736" ht="24.95" customHeight="1" x14ac:dyDescent="0.25"/>
    <row r="737" ht="24.95" customHeight="1" x14ac:dyDescent="0.25"/>
    <row r="738" ht="24.95" customHeight="1" x14ac:dyDescent="0.25"/>
    <row r="739" ht="24.95" customHeight="1" x14ac:dyDescent="0.25"/>
    <row r="740" ht="24.95" customHeight="1" x14ac:dyDescent="0.25"/>
    <row r="741" ht="24.95" customHeight="1" x14ac:dyDescent="0.25"/>
    <row r="742" ht="24.95" customHeight="1" x14ac:dyDescent="0.25"/>
    <row r="743" ht="24.95" customHeight="1" x14ac:dyDescent="0.25"/>
    <row r="744" ht="24.95" customHeight="1" x14ac:dyDescent="0.25"/>
    <row r="745" ht="24.95" customHeight="1" x14ac:dyDescent="0.25"/>
    <row r="746" ht="24.95" customHeight="1" x14ac:dyDescent="0.25"/>
    <row r="747" ht="24.95" customHeight="1" x14ac:dyDescent="0.25"/>
    <row r="748" ht="24.95" customHeight="1" x14ac:dyDescent="0.25"/>
    <row r="749" ht="24.95" customHeight="1" x14ac:dyDescent="0.25"/>
    <row r="750" ht="24.95" customHeight="1" x14ac:dyDescent="0.25"/>
    <row r="751" ht="24.95" customHeight="1" x14ac:dyDescent="0.25"/>
    <row r="752" ht="24.95" customHeight="1" x14ac:dyDescent="0.25"/>
    <row r="753" ht="24.95" customHeight="1" x14ac:dyDescent="0.25"/>
    <row r="754" ht="24.95" customHeight="1" x14ac:dyDescent="0.25"/>
    <row r="755" ht="24.95" customHeight="1" x14ac:dyDescent="0.25"/>
    <row r="756" ht="24.95" customHeight="1" x14ac:dyDescent="0.25"/>
    <row r="757" ht="24.95" customHeight="1" x14ac:dyDescent="0.25"/>
    <row r="758" ht="24.95" customHeight="1" x14ac:dyDescent="0.25"/>
    <row r="759" ht="24.95" customHeight="1" x14ac:dyDescent="0.25"/>
    <row r="760" ht="24.95" customHeight="1" x14ac:dyDescent="0.25"/>
    <row r="761" ht="24.95" customHeight="1" x14ac:dyDescent="0.25"/>
    <row r="762" ht="24.95" customHeight="1" x14ac:dyDescent="0.25"/>
    <row r="763" ht="24.95" customHeight="1" x14ac:dyDescent="0.25"/>
    <row r="764" ht="24.95" customHeight="1" x14ac:dyDescent="0.25"/>
    <row r="765" ht="24.95" customHeight="1" x14ac:dyDescent="0.25"/>
    <row r="766" ht="24.95" customHeight="1" x14ac:dyDescent="0.25"/>
    <row r="767" ht="24.95" customHeight="1" x14ac:dyDescent="0.25"/>
    <row r="768" ht="24.95" customHeight="1" x14ac:dyDescent="0.25"/>
    <row r="769" ht="24.95" customHeight="1" x14ac:dyDescent="0.25"/>
    <row r="770" ht="24.95" customHeight="1" x14ac:dyDescent="0.25"/>
    <row r="771" ht="24.95" customHeight="1" x14ac:dyDescent="0.25"/>
    <row r="772" ht="24.95" customHeight="1" x14ac:dyDescent="0.25"/>
    <row r="773" ht="24.95" customHeight="1" x14ac:dyDescent="0.25"/>
    <row r="774" ht="24.95" customHeight="1" x14ac:dyDescent="0.25"/>
    <row r="775" ht="24.95" customHeight="1" x14ac:dyDescent="0.25"/>
    <row r="776" ht="24.95" customHeight="1" x14ac:dyDescent="0.25"/>
    <row r="777" ht="24.95" customHeight="1" x14ac:dyDescent="0.25"/>
    <row r="778" ht="24.95" customHeight="1" x14ac:dyDescent="0.25"/>
    <row r="779" ht="24.95" customHeight="1" x14ac:dyDescent="0.25"/>
    <row r="780" ht="24.95" customHeight="1" x14ac:dyDescent="0.25"/>
    <row r="781" ht="24.95" customHeight="1" x14ac:dyDescent="0.25"/>
    <row r="782" ht="24.95" customHeight="1" x14ac:dyDescent="0.25"/>
    <row r="783" ht="24.95" customHeight="1" x14ac:dyDescent="0.25"/>
    <row r="784" ht="24.95" customHeight="1" x14ac:dyDescent="0.25"/>
    <row r="785" ht="24.95" customHeight="1" x14ac:dyDescent="0.25"/>
    <row r="786" ht="24.95" customHeight="1" x14ac:dyDescent="0.25"/>
    <row r="787" ht="24.95" customHeight="1" x14ac:dyDescent="0.25"/>
    <row r="788" ht="24.95" customHeight="1" x14ac:dyDescent="0.25"/>
    <row r="789" ht="24.95" customHeight="1" x14ac:dyDescent="0.25"/>
    <row r="790" ht="24.95" customHeight="1" x14ac:dyDescent="0.25"/>
    <row r="791" ht="24.95" customHeight="1" x14ac:dyDescent="0.25"/>
    <row r="792" ht="24.95" customHeight="1" x14ac:dyDescent="0.25"/>
    <row r="793" ht="24.95" customHeight="1" x14ac:dyDescent="0.25"/>
    <row r="794" ht="24.95" customHeight="1" x14ac:dyDescent="0.25"/>
    <row r="795" ht="24.95" customHeight="1" x14ac:dyDescent="0.25"/>
    <row r="796" ht="24.95" customHeight="1" x14ac:dyDescent="0.25"/>
    <row r="797" ht="24.95" customHeight="1" x14ac:dyDescent="0.25"/>
    <row r="798" ht="24.95" customHeight="1" x14ac:dyDescent="0.25"/>
    <row r="799" ht="24.95" customHeight="1" x14ac:dyDescent="0.25"/>
    <row r="800" ht="24.95" customHeight="1" x14ac:dyDescent="0.25"/>
    <row r="801" ht="24.95" customHeight="1" x14ac:dyDescent="0.25"/>
    <row r="802" ht="24.95" customHeight="1" x14ac:dyDescent="0.25"/>
    <row r="803" ht="24.95" customHeight="1" x14ac:dyDescent="0.25"/>
    <row r="804" ht="24.95" customHeight="1" x14ac:dyDescent="0.25"/>
    <row r="805" ht="24.95" customHeight="1" x14ac:dyDescent="0.25"/>
    <row r="806" ht="24.95" customHeight="1" x14ac:dyDescent="0.25"/>
    <row r="807" ht="24.95" customHeight="1" x14ac:dyDescent="0.25"/>
    <row r="808" ht="24.95" customHeight="1" x14ac:dyDescent="0.25"/>
    <row r="809" ht="24.95" customHeight="1" x14ac:dyDescent="0.25"/>
    <row r="810" ht="24.95" customHeight="1" x14ac:dyDescent="0.25"/>
    <row r="811" ht="24.95" customHeight="1" x14ac:dyDescent="0.25"/>
    <row r="812" ht="24.95" customHeight="1" x14ac:dyDescent="0.25"/>
    <row r="813" ht="24.95" customHeight="1" x14ac:dyDescent="0.25"/>
    <row r="814" ht="24.95" customHeight="1" x14ac:dyDescent="0.25"/>
    <row r="815" ht="24.95" customHeight="1" x14ac:dyDescent="0.25"/>
    <row r="816" ht="24.95" customHeight="1" x14ac:dyDescent="0.25"/>
    <row r="817" ht="24.95" customHeight="1" x14ac:dyDescent="0.25"/>
    <row r="818" ht="24.95" customHeight="1" x14ac:dyDescent="0.25"/>
    <row r="819" ht="24.95" customHeight="1" x14ac:dyDescent="0.25"/>
    <row r="820" ht="24.95" customHeight="1" x14ac:dyDescent="0.25"/>
    <row r="821" ht="24.95" customHeight="1" x14ac:dyDescent="0.25"/>
    <row r="822" ht="24.95" customHeight="1" x14ac:dyDescent="0.25"/>
    <row r="823" ht="24.95" customHeight="1" x14ac:dyDescent="0.25"/>
    <row r="824" ht="24.95" customHeight="1" x14ac:dyDescent="0.25"/>
    <row r="825" ht="24.95" customHeight="1" x14ac:dyDescent="0.25"/>
    <row r="826" ht="24.95" customHeight="1" x14ac:dyDescent="0.25"/>
    <row r="827" ht="24.95" customHeight="1" x14ac:dyDescent="0.25"/>
    <row r="828" ht="24.95" customHeight="1" x14ac:dyDescent="0.25"/>
    <row r="829" ht="24.95" customHeight="1" x14ac:dyDescent="0.25"/>
    <row r="830" ht="24.95" customHeight="1" x14ac:dyDescent="0.25"/>
    <row r="831" ht="24.95" customHeight="1" x14ac:dyDescent="0.25"/>
    <row r="832" ht="24.95" customHeight="1" x14ac:dyDescent="0.25"/>
    <row r="833" ht="24.95" customHeight="1" x14ac:dyDescent="0.25"/>
    <row r="834" ht="24.95" customHeight="1" x14ac:dyDescent="0.25"/>
    <row r="835" ht="24.95" customHeight="1" x14ac:dyDescent="0.25"/>
    <row r="836" ht="24.95" customHeight="1" x14ac:dyDescent="0.25"/>
    <row r="837" ht="24.95" customHeight="1" x14ac:dyDescent="0.25"/>
    <row r="838" ht="24.95" customHeight="1" x14ac:dyDescent="0.25"/>
    <row r="839" ht="24.95" customHeight="1" x14ac:dyDescent="0.25"/>
    <row r="840" ht="24.95" customHeight="1" x14ac:dyDescent="0.25"/>
    <row r="841" ht="24.95" customHeight="1" x14ac:dyDescent="0.25"/>
    <row r="842" ht="24.95" customHeight="1" x14ac:dyDescent="0.25"/>
    <row r="843" ht="24.95" customHeight="1" x14ac:dyDescent="0.25"/>
    <row r="844" ht="24.95" customHeight="1" x14ac:dyDescent="0.25"/>
    <row r="845" ht="24.95" customHeight="1" x14ac:dyDescent="0.25"/>
    <row r="846" ht="24.95" customHeight="1" x14ac:dyDescent="0.25"/>
    <row r="847" ht="24.95" customHeight="1" x14ac:dyDescent="0.25"/>
    <row r="848" ht="24.95" customHeight="1" x14ac:dyDescent="0.25"/>
    <row r="849" ht="24.95" customHeight="1" x14ac:dyDescent="0.25"/>
    <row r="850" ht="24.95" customHeight="1" x14ac:dyDescent="0.25"/>
    <row r="851" ht="24.95" customHeight="1" x14ac:dyDescent="0.25"/>
    <row r="852" ht="24.95" customHeight="1" x14ac:dyDescent="0.25"/>
    <row r="853" ht="24.95" customHeight="1" x14ac:dyDescent="0.25"/>
    <row r="854" ht="24.95" customHeight="1" x14ac:dyDescent="0.25"/>
    <row r="855" ht="24.95" customHeight="1" x14ac:dyDescent="0.25"/>
    <row r="856" ht="24.95" customHeight="1" x14ac:dyDescent="0.25"/>
    <row r="857" ht="24.95" customHeight="1" x14ac:dyDescent="0.25"/>
    <row r="858" ht="24.95" customHeight="1" x14ac:dyDescent="0.25"/>
    <row r="859" ht="24.95" customHeight="1" x14ac:dyDescent="0.25"/>
    <row r="860" ht="24.95" customHeight="1" x14ac:dyDescent="0.25"/>
    <row r="861" ht="24.95" customHeight="1" x14ac:dyDescent="0.25"/>
    <row r="862" ht="24.95" customHeight="1" x14ac:dyDescent="0.25"/>
    <row r="863" ht="24.95" customHeight="1" x14ac:dyDescent="0.25"/>
    <row r="864" ht="24.95" customHeight="1" x14ac:dyDescent="0.25"/>
    <row r="865" ht="24.95" customHeight="1" x14ac:dyDescent="0.25"/>
    <row r="866" ht="24.95" customHeight="1" x14ac:dyDescent="0.25"/>
    <row r="867" ht="24.95" customHeight="1" x14ac:dyDescent="0.25"/>
    <row r="868" ht="24.95" customHeight="1" x14ac:dyDescent="0.25"/>
    <row r="869" ht="24.95" customHeight="1" x14ac:dyDescent="0.25"/>
    <row r="870" ht="24.95" customHeight="1" x14ac:dyDescent="0.25"/>
    <row r="871" ht="24.95" customHeight="1" x14ac:dyDescent="0.25"/>
    <row r="872" ht="24.95" customHeight="1" x14ac:dyDescent="0.25"/>
    <row r="873" ht="24.95" customHeight="1" x14ac:dyDescent="0.25"/>
    <row r="874" ht="24.95" customHeight="1" x14ac:dyDescent="0.25"/>
    <row r="875" ht="24.95" customHeight="1" x14ac:dyDescent="0.25"/>
    <row r="876" ht="24.95" customHeight="1" x14ac:dyDescent="0.25"/>
    <row r="877" ht="24.95" customHeight="1" x14ac:dyDescent="0.25"/>
    <row r="878" ht="24.95" customHeight="1" x14ac:dyDescent="0.25"/>
    <row r="879" ht="24.95" customHeight="1" x14ac:dyDescent="0.25"/>
    <row r="880" ht="24.95" customHeight="1" x14ac:dyDescent="0.25"/>
    <row r="881" ht="24.95" customHeight="1" x14ac:dyDescent="0.25"/>
    <row r="882" ht="24.95" customHeight="1" x14ac:dyDescent="0.25"/>
    <row r="883" ht="24.95" customHeight="1" x14ac:dyDescent="0.25"/>
    <row r="884" ht="24.95" customHeight="1" x14ac:dyDescent="0.25"/>
    <row r="885" ht="24.95" customHeight="1" x14ac:dyDescent="0.25"/>
    <row r="886" ht="24.95" customHeight="1" x14ac:dyDescent="0.25"/>
    <row r="887" ht="24.95" customHeight="1" x14ac:dyDescent="0.25"/>
    <row r="888" ht="24.95" customHeight="1" x14ac:dyDescent="0.25"/>
    <row r="889" ht="24.95" customHeight="1" x14ac:dyDescent="0.25"/>
    <row r="890" ht="24.95" customHeight="1" x14ac:dyDescent="0.25"/>
    <row r="891" ht="24.95" customHeight="1" x14ac:dyDescent="0.25"/>
    <row r="892" ht="24.95" customHeight="1" x14ac:dyDescent="0.25"/>
    <row r="893" ht="24.95" customHeight="1" x14ac:dyDescent="0.25"/>
    <row r="894" ht="24.95" customHeight="1" x14ac:dyDescent="0.25"/>
    <row r="895" ht="24.95" customHeight="1" x14ac:dyDescent="0.25"/>
    <row r="896" ht="24.95" customHeight="1" x14ac:dyDescent="0.25"/>
    <row r="897" ht="24.95" customHeight="1" x14ac:dyDescent="0.25"/>
    <row r="898" ht="24.95" customHeight="1" x14ac:dyDescent="0.25"/>
    <row r="899" ht="24.95" customHeight="1" x14ac:dyDescent="0.25"/>
    <row r="900" ht="24.95" customHeight="1" x14ac:dyDescent="0.25"/>
    <row r="901" ht="24.95" customHeight="1" x14ac:dyDescent="0.25"/>
    <row r="902" ht="24.95" customHeight="1" x14ac:dyDescent="0.25"/>
    <row r="903" ht="24.95" customHeight="1" x14ac:dyDescent="0.25"/>
    <row r="904" ht="24.95" customHeight="1" x14ac:dyDescent="0.25"/>
    <row r="905" ht="24.95" customHeight="1" x14ac:dyDescent="0.25"/>
    <row r="906" ht="24.95" customHeight="1" x14ac:dyDescent="0.25"/>
    <row r="907" ht="24.95" customHeight="1" x14ac:dyDescent="0.25"/>
    <row r="908" ht="24.95" customHeight="1" x14ac:dyDescent="0.25"/>
    <row r="909" ht="24.95" customHeight="1" x14ac:dyDescent="0.25"/>
    <row r="910" ht="24.95" customHeight="1" x14ac:dyDescent="0.25"/>
    <row r="911" ht="24.95" customHeight="1" x14ac:dyDescent="0.25"/>
    <row r="912" ht="24.95" customHeight="1" x14ac:dyDescent="0.25"/>
    <row r="913" ht="24.95" customHeight="1" x14ac:dyDescent="0.25"/>
    <row r="914" ht="24.95" customHeight="1" x14ac:dyDescent="0.25"/>
    <row r="915" ht="24.95" customHeight="1" x14ac:dyDescent="0.25"/>
    <row r="916" ht="24.95" customHeight="1" x14ac:dyDescent="0.25"/>
    <row r="917" ht="24.95" customHeight="1" x14ac:dyDescent="0.25"/>
    <row r="918" ht="24.95" customHeight="1" x14ac:dyDescent="0.25"/>
    <row r="919" ht="24.95" customHeight="1" x14ac:dyDescent="0.25"/>
    <row r="920" ht="24.95" customHeight="1" x14ac:dyDescent="0.25"/>
    <row r="921" ht="24.95" customHeight="1" x14ac:dyDescent="0.25"/>
    <row r="922" ht="24.95" customHeight="1" x14ac:dyDescent="0.25"/>
    <row r="923" ht="24.95" customHeight="1" x14ac:dyDescent="0.25"/>
    <row r="924" ht="24.95" customHeight="1" x14ac:dyDescent="0.25"/>
    <row r="925" ht="24.95" customHeight="1" x14ac:dyDescent="0.25"/>
    <row r="926" ht="24.95" customHeight="1" x14ac:dyDescent="0.25"/>
    <row r="927" ht="24.95" customHeight="1" x14ac:dyDescent="0.25"/>
    <row r="928" ht="24.95" customHeight="1" x14ac:dyDescent="0.25"/>
    <row r="929" ht="24.95" customHeight="1" x14ac:dyDescent="0.25"/>
    <row r="930" ht="24.95" customHeight="1" x14ac:dyDescent="0.25"/>
    <row r="931" ht="24.95" customHeight="1" x14ac:dyDescent="0.25"/>
    <row r="932" ht="24.95" customHeight="1" x14ac:dyDescent="0.25"/>
    <row r="933" ht="24.95" customHeight="1" x14ac:dyDescent="0.25"/>
    <row r="934" ht="24.95" customHeight="1" x14ac:dyDescent="0.25"/>
    <row r="935" ht="24.95" customHeight="1" x14ac:dyDescent="0.25"/>
    <row r="936" ht="24.95" customHeight="1" x14ac:dyDescent="0.25"/>
    <row r="937" ht="24.95" customHeight="1" x14ac:dyDescent="0.25"/>
    <row r="938" ht="24.95" customHeight="1" x14ac:dyDescent="0.25"/>
    <row r="939" ht="24.95" customHeight="1" x14ac:dyDescent="0.25"/>
    <row r="940" ht="24.95" customHeight="1" x14ac:dyDescent="0.25"/>
    <row r="941" ht="24.95" customHeight="1" x14ac:dyDescent="0.25"/>
    <row r="942" ht="24.95" customHeight="1" x14ac:dyDescent="0.25"/>
    <row r="943" ht="24.95" customHeight="1" x14ac:dyDescent="0.25"/>
    <row r="944" ht="24.95" customHeight="1" x14ac:dyDescent="0.25"/>
    <row r="945" ht="24.95" customHeight="1" x14ac:dyDescent="0.25"/>
    <row r="946" ht="24.95" customHeight="1" x14ac:dyDescent="0.25"/>
    <row r="947" ht="24.95" customHeight="1" x14ac:dyDescent="0.25"/>
    <row r="948" ht="24.95" customHeight="1" x14ac:dyDescent="0.25"/>
    <row r="949" ht="24.95" customHeight="1" x14ac:dyDescent="0.25"/>
    <row r="950" ht="24.95" customHeight="1" x14ac:dyDescent="0.25"/>
    <row r="951" ht="24.95" customHeight="1" x14ac:dyDescent="0.25"/>
    <row r="952" ht="24.95" customHeight="1" x14ac:dyDescent="0.25"/>
    <row r="953" ht="24.95" customHeight="1" x14ac:dyDescent="0.25"/>
    <row r="954" ht="24.95" customHeight="1" x14ac:dyDescent="0.25"/>
    <row r="955" ht="24.95" customHeight="1" x14ac:dyDescent="0.25"/>
    <row r="956" ht="24.95" customHeight="1" x14ac:dyDescent="0.25"/>
    <row r="957" ht="24.95" customHeight="1" x14ac:dyDescent="0.25"/>
    <row r="958" ht="24.95" customHeight="1" x14ac:dyDescent="0.25"/>
    <row r="959" ht="24.95" customHeight="1" x14ac:dyDescent="0.25"/>
    <row r="960" ht="24.95" customHeight="1" x14ac:dyDescent="0.25"/>
    <row r="961" ht="24.95" customHeight="1" x14ac:dyDescent="0.25"/>
    <row r="962" ht="24.95" customHeight="1" x14ac:dyDescent="0.25"/>
    <row r="963" ht="24.95" customHeight="1" x14ac:dyDescent="0.25"/>
    <row r="964" ht="24.95" customHeight="1" x14ac:dyDescent="0.25"/>
    <row r="965" ht="24.95" customHeight="1" x14ac:dyDescent="0.25"/>
    <row r="966" ht="24.95" customHeight="1" x14ac:dyDescent="0.25"/>
    <row r="967" ht="24.95" customHeight="1" x14ac:dyDescent="0.25"/>
    <row r="968" ht="24.95" customHeight="1" x14ac:dyDescent="0.25"/>
    <row r="969" ht="24.95" customHeight="1" x14ac:dyDescent="0.25"/>
    <row r="970" ht="24.95" customHeight="1" x14ac:dyDescent="0.25"/>
    <row r="971" ht="24.95" customHeight="1" x14ac:dyDescent="0.25"/>
    <row r="972" ht="24.95" customHeight="1" x14ac:dyDescent="0.25"/>
    <row r="973" ht="24.95" customHeight="1" x14ac:dyDescent="0.25"/>
    <row r="974" ht="24.95" customHeight="1" x14ac:dyDescent="0.25"/>
    <row r="975" ht="24.95" customHeight="1" x14ac:dyDescent="0.25"/>
    <row r="976" ht="24.95" customHeight="1" x14ac:dyDescent="0.25"/>
    <row r="977" ht="24.95" customHeight="1" x14ac:dyDescent="0.25"/>
    <row r="978" ht="24.95" customHeight="1" x14ac:dyDescent="0.25"/>
    <row r="979" ht="24.95" customHeight="1" x14ac:dyDescent="0.25"/>
    <row r="980" ht="24.95" customHeight="1" x14ac:dyDescent="0.25"/>
    <row r="981" ht="24.95" customHeight="1" x14ac:dyDescent="0.25"/>
    <row r="982" ht="24.95" customHeight="1" x14ac:dyDescent="0.25"/>
    <row r="983" ht="24.95" customHeight="1" x14ac:dyDescent="0.25"/>
    <row r="984" ht="24.95" customHeight="1" x14ac:dyDescent="0.25"/>
    <row r="985" ht="24.95" customHeight="1" x14ac:dyDescent="0.25"/>
    <row r="986" ht="24.95" customHeight="1" x14ac:dyDescent="0.25"/>
    <row r="987" ht="24.95" customHeight="1" x14ac:dyDescent="0.25"/>
    <row r="988" ht="24.95" customHeight="1" x14ac:dyDescent="0.25"/>
    <row r="989" ht="24.95" customHeight="1" x14ac:dyDescent="0.25"/>
    <row r="990" ht="24.95" customHeight="1" x14ac:dyDescent="0.25"/>
    <row r="991" ht="24.95" customHeight="1" x14ac:dyDescent="0.25"/>
    <row r="992" ht="24.95" customHeight="1" x14ac:dyDescent="0.25"/>
    <row r="993" ht="24.95" customHeight="1" x14ac:dyDescent="0.25"/>
    <row r="994" ht="24.95" customHeight="1" x14ac:dyDescent="0.25"/>
    <row r="995" ht="24.95" customHeight="1" x14ac:dyDescent="0.25"/>
    <row r="996" ht="24.95" customHeight="1" x14ac:dyDescent="0.25"/>
    <row r="997" ht="24.95" customHeight="1" x14ac:dyDescent="0.25"/>
    <row r="998" ht="24.95" customHeight="1" x14ac:dyDescent="0.25"/>
    <row r="999" ht="24.95" customHeight="1" x14ac:dyDescent="0.25"/>
    <row r="1000" ht="24.95" customHeight="1" x14ac:dyDescent="0.25"/>
    <row r="1001" ht="24.95" customHeight="1" x14ac:dyDescent="0.25"/>
  </sheetData>
  <autoFilter ref="B1:GH1" xr:uid="{00000000-0009-0000-0000-000006000000}">
    <sortState xmlns:xlrd2="http://schemas.microsoft.com/office/spreadsheetml/2017/richdata2" ref="B2:GH11">
      <sortCondition ref="B1"/>
    </sortState>
  </autoFilter>
  <phoneticPr fontId="53" type="noConversion"/>
  <conditionalFormatting sqref="BF1:BF1048576">
    <cfRule type="iconSet" priority="28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07">
      <colorScale>
        <cfvo type="min"/>
        <cfvo type="max"/>
        <color rgb="FFFFEF9C"/>
        <color rgb="FF63BE7B"/>
      </colorScale>
    </cfRule>
  </conditionalFormatting>
  <conditionalFormatting sqref="BC1:BE1048576">
    <cfRule type="colorScale" priority="9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A1:DD1048576">
    <cfRule type="colorScale" priority="8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B1:DD1048576">
    <cfRule type="colorScale" priority="8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A1:DA1048576">
    <cfRule type="colorScale" priority="3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H1:DH1048576">
    <cfRule type="colorScale" priority="5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1:CE1048576">
    <cfRule type="iconSet" priority="30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33">
      <colorScale>
        <cfvo type="num" val="-1.0000000000000001E-5"/>
        <cfvo type="num" val="0"/>
        <cfvo type="max"/>
        <color rgb="FFF8696B"/>
        <color theme="7" tint="0.59999389629810485"/>
        <color rgb="FF00B0F0"/>
      </colorScale>
    </cfRule>
  </conditionalFormatting>
  <conditionalFormatting sqref="AE1:AE1048576">
    <cfRule type="colorScale" priority="518">
      <colorScale>
        <cfvo type="min"/>
        <cfvo type="max"/>
        <color rgb="FFFFEF9C"/>
        <color rgb="FF63BE7B"/>
      </colorScale>
    </cfRule>
    <cfRule type="colorScale" priority="5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W1:DW1048576">
    <cfRule type="colorScale" priority="7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1:BE1048576">
    <cfRule type="colorScale" priority="7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V2:DV1048576">
    <cfRule type="iconSet" priority="31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:AG1048576">
    <cfRule type="colorScale" priority="514">
      <colorScale>
        <cfvo type="min"/>
        <cfvo type="max"/>
        <color rgb="FFFFEF9C"/>
        <color rgb="FF63BE7B"/>
      </colorScale>
    </cfRule>
  </conditionalFormatting>
  <conditionalFormatting sqref="BE1:BE1048576">
    <cfRule type="iconSet" priority="28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63">
      <colorScale>
        <cfvo type="min"/>
        <cfvo type="max"/>
        <color rgb="FFFFEF9C"/>
        <color rgb="FF63BE7B"/>
      </colorScale>
    </cfRule>
    <cfRule type="colorScale" priority="6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1:BD1048576">
    <cfRule type="iconSet" priority="28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D1:EE1">
    <cfRule type="colorScale" priority="6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D1:EE1048576">
    <cfRule type="colorScale" priority="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1:BY1048576">
    <cfRule type="iconSet" priority="30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:CD1048576">
    <cfRule type="iconSet" priority="30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34">
      <colorScale>
        <cfvo type="num" val="-9.9999999999999995E-7"/>
        <cfvo type="num" val="0"/>
        <cfvo type="max"/>
        <color rgb="FFF8696B"/>
        <color theme="7" tint="0.59999389629810485"/>
        <color rgb="FF00B0F0"/>
      </colorScale>
    </cfRule>
  </conditionalFormatting>
  <conditionalFormatting sqref="DG1:DG1048576"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:BC1048576">
    <cfRule type="iconSet" priority="29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09">
      <colorScale>
        <cfvo type="min"/>
        <cfvo type="max"/>
        <color rgb="FFFFEF9C"/>
        <color rgb="FF63BE7B"/>
      </colorScale>
    </cfRule>
  </conditionalFormatting>
  <conditionalFormatting sqref="BB1:BB1048576">
    <cfRule type="colorScale" priority="4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1:AM1048576">
    <cfRule type="colorScale" priority="562">
      <colorScale>
        <cfvo type="min"/>
        <cfvo type="max"/>
        <color rgb="FFFFEF9C"/>
        <color rgb="FF63BE7B"/>
      </colorScale>
    </cfRule>
  </conditionalFormatting>
  <conditionalFormatting sqref="AL1:AL1048576">
    <cfRule type="colorScale" priority="552">
      <colorScale>
        <cfvo type="min"/>
        <cfvo type="max"/>
        <color rgb="FFFFEF9C"/>
        <color rgb="FF63BE7B"/>
      </colorScale>
    </cfRule>
  </conditionalFormatting>
  <conditionalFormatting sqref="AM1:AM1048576">
    <cfRule type="colorScale" priority="551">
      <colorScale>
        <cfvo type="min"/>
        <cfvo type="max"/>
        <color rgb="FFFFEF9C"/>
        <color rgb="FF63BE7B"/>
      </colorScale>
    </cfRule>
  </conditionalFormatting>
  <conditionalFormatting sqref="AF1:AF1048576">
    <cfRule type="colorScale" priority="517">
      <colorScale>
        <cfvo type="min"/>
        <cfvo type="max"/>
        <color rgb="FFFFEF9C"/>
        <color rgb="FF63BE7B"/>
      </colorScale>
    </cfRule>
  </conditionalFormatting>
  <conditionalFormatting sqref="BV1:BV1048576">
    <cfRule type="iconSet" priority="309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W1:BX1048576">
    <cfRule type="colorScale" priority="4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1:BW1048576">
    <cfRule type="iconSet" priority="31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1:BX1048576">
    <cfRule type="iconSet" priority="32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82">
      <colorScale>
        <cfvo type="num" val="-1E-4"/>
        <cfvo type="num" val="0"/>
        <cfvo type="max"/>
        <color rgb="FFF8696B"/>
        <color rgb="FFFFEB84"/>
        <color rgb="FF63BE7B"/>
      </colorScale>
    </cfRule>
    <cfRule type="colorScale" priority="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2:CH1048576">
    <cfRule type="colorScale" priority="4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I2:CI1048576">
    <cfRule type="colorScale" priority="4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2:CF1048576">
    <cfRule type="colorScale" priority="4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2:CG1048576">
    <cfRule type="colorScale" priority="4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2:CH1048576">
    <cfRule type="colorScale" priority="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2:CJ1048576">
    <cfRule type="colorScale" priority="4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1:CK1048576">
    <cfRule type="dataBar" priority="3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{14AAE41A-7AD0-46BC-9D4A-95F9B0EC17AA}</x14:id>
        </ext>
      </extLst>
    </cfRule>
    <cfRule type="colorScale" priority="435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1:CF1048576">
    <cfRule type="dataBar" priority="3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{E9A028F3-894B-47D5-AE28-79455BFA7C1A}</x14:id>
        </ext>
      </extLst>
    </cfRule>
    <cfRule type="colorScale" priority="438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4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1:CG1048576">
    <cfRule type="dataBar" priority="3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{778B5564-DE9B-4B3D-937F-581F15378BA9}</x14:id>
        </ext>
      </extLst>
    </cfRule>
    <cfRule type="colorScale" priority="439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1:CH1048576">
    <cfRule type="dataBar" priority="3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{556CE295-D6F9-4D2A-844F-6E0855EB24BD}</x14:id>
        </ext>
      </extLst>
    </cfRule>
    <cfRule type="colorScale" priority="440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I1:CI1048576">
    <cfRule type="dataBar" priority="3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{3F530B19-D044-4B1A-80D1-C16106E96D32}</x14:id>
        </ext>
      </extLst>
    </cfRule>
    <cfRule type="colorScale" priority="437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J1:CJ1048576">
    <cfRule type="dataBar" priority="3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{F0FE0B45-50CB-4CCE-B835-5A07810E6A85}</x14:id>
        </ext>
      </extLst>
    </cfRule>
    <cfRule type="colorScale" priority="436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L1:CL1048576">
    <cfRule type="dataBar" priority="3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{782CC29C-0A36-4764-A4A6-F6CC29A5E01D}</x14:id>
        </ext>
      </extLst>
    </cfRule>
    <cfRule type="colorScale" priority="434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EF1">
    <cfRule type="colorScale" priority="4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F1"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F1">
    <cfRule type="colorScale" priority="4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D1:EE1">
    <cfRule type="colorScale" priority="4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C1">
    <cfRule type="colorScale" priority="3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C1">
    <cfRule type="colorScale" priority="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C1">
    <cfRule type="colorScale" priority="3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C1:EC1048576">
    <cfRule type="iconSet" priority="33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D1:ED1048576">
    <cfRule type="iconSet" priority="33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E1">
    <cfRule type="colorScale" priority="3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E1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E1">
    <cfRule type="colorScale" priority="3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E1">
    <cfRule type="colorScale" priority="3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E1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E1:EE1048576">
    <cfRule type="iconSet" priority="31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1">
    <cfRule type="colorScale" priority="3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B1:DB1048576">
    <cfRule type="colorScale" priority="3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1:DC1048576">
    <cfRule type="colorScale" priority="3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D1:DD1048576">
    <cfRule type="colorScale" priority="3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U2:DU1048576">
    <cfRule type="iconSet" priority="31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1:DE1048576">
    <cfRule type="colorScale" priority="3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:F1048576">
    <cfRule type="colorScale" priority="342">
      <colorScale>
        <cfvo type="num" val="0"/>
        <cfvo type="num" val="1.7"/>
        <cfvo type="num" val="1.83"/>
        <color rgb="FFF8696B"/>
        <color rgb="FFFFEB84"/>
        <color rgb="FF63BE7B"/>
      </colorScale>
    </cfRule>
  </conditionalFormatting>
  <conditionalFormatting sqref="CQ1:CQ1048576">
    <cfRule type="iconSet" priority="29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U1:DV1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U1:DV1">
    <cfRule type="colorScale" priority="3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U1:DV1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U1">
    <cfRule type="iconSet" priority="299">
      <iconSet iconSet="4Arrows">
        <cfvo type="percent" val="0"/>
        <cfvo type="percent" val="25"/>
        <cfvo type="percent" val="50"/>
        <cfvo type="percent" val="75"/>
      </iconSet>
    </cfRule>
    <cfRule type="colorScale" priority="3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V1">
    <cfRule type="iconSet" priority="30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1:BH1048576">
    <cfRule type="colorScale" priority="2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1:BI1048576">
    <cfRule type="iconSet" priority="291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92">
      <colorScale>
        <cfvo type="min"/>
        <cfvo type="max"/>
        <color rgb="FFFCFCFF"/>
        <color rgb="FFF8696B"/>
      </colorScale>
    </cfRule>
  </conditionalFormatting>
  <conditionalFormatting sqref="BG1:BG1048576">
    <cfRule type="colorScale" priority="286">
      <colorScale>
        <cfvo type="min"/>
        <cfvo type="max"/>
        <color rgb="FFFCFCFF"/>
        <color rgb="FFF8696B"/>
      </colorScale>
    </cfRule>
  </conditionalFormatting>
  <conditionalFormatting sqref="EF1:EF1048576">
    <cfRule type="colorScale" priority="2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I1:EI1048576">
    <cfRule type="iconSet" priority="266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1:EG1048576">
    <cfRule type="iconSet" priority="262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64">
      <colorScale>
        <cfvo type="min"/>
        <cfvo type="max"/>
        <color rgb="FFFCFCFF"/>
        <color rgb="FFF8696B"/>
      </colorScale>
    </cfRule>
  </conditionalFormatting>
  <conditionalFormatting sqref="EH1:EH1048576">
    <cfRule type="iconSet" priority="261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63">
      <colorScale>
        <cfvo type="min"/>
        <cfvo type="max"/>
        <color rgb="FFFCFCFF"/>
        <color rgb="FFF8696B"/>
      </colorScale>
    </cfRule>
  </conditionalFormatting>
  <conditionalFormatting sqref="DI1:DI1048576">
    <cfRule type="iconSet" priority="25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5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J1:DJ1048576">
    <cfRule type="colorScale" priority="236">
      <colorScale>
        <cfvo type="min"/>
        <cfvo type="percentile" val="50"/>
        <cfvo type="max"/>
        <color rgb="FFF8696B"/>
        <color rgb="FFD9E1F2"/>
        <color rgb="FF00B0F0"/>
      </colorScale>
    </cfRule>
    <cfRule type="iconSet" priority="253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:X1048576">
    <cfRule type="iconSet" priority="4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:Y1048576">
    <cfRule type="iconSet" priority="4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:Z1048576">
    <cfRule type="iconSet" priority="11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U1048576">
    <cfRule type="iconSet" priority="237">
      <iconSet iconSet="3ArrowsGray">
        <cfvo type="percent" val="0"/>
        <cfvo type="percent" val="33"/>
        <cfvo type="percent" val="67"/>
      </iconSet>
    </cfRule>
    <cfRule type="colorScale" priority="245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sqref="V1:V1048576">
    <cfRule type="iconSet" priority="242">
      <iconSet iconSet="3ArrowsGray" reverse="1">
        <cfvo type="percent" val="0"/>
        <cfvo type="percent" val="33"/>
        <cfvo type="percent" val="67"/>
      </iconSet>
    </cfRule>
    <cfRule type="colorScale" priority="244">
      <colorScale>
        <cfvo type="min"/>
        <cfvo type="percentile" val="50"/>
        <cfvo type="max"/>
        <color theme="5" tint="-0.249977111117893"/>
        <color theme="5" tint="0.39997558519241921"/>
        <color theme="5" tint="0.79998168889431442"/>
      </colorScale>
    </cfRule>
  </conditionalFormatting>
  <conditionalFormatting sqref="W1:W1048576">
    <cfRule type="colorScale" priority="240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sqref="N1:N1048576">
    <cfRule type="iconSet" priority="23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2">
      <colorScale>
        <cfvo type="min"/>
        <cfvo type="num" val="75"/>
        <cfvo type="num" val="90"/>
        <color rgb="FFF8696B"/>
        <color rgb="FFFFEB84"/>
        <color rgb="FF63BE7B"/>
      </colorScale>
    </cfRule>
  </conditionalFormatting>
  <conditionalFormatting sqref="O1:O1048576">
    <cfRule type="dataBar" priority="2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{4710D6D0-D2CC-45C2-B07A-568AC19364E2}</x14:id>
        </ext>
      </extLst>
    </cfRule>
    <cfRule type="colorScale" priority="2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iconSet" priority="22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:S1048576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:T1048576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N1048576">
    <cfRule type="colorScale" priority="218">
      <colorScale>
        <cfvo type="min"/>
        <cfvo type="max"/>
        <color rgb="FFFFEF9C"/>
        <color rgb="FF63BE7B"/>
      </colorScale>
    </cfRule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:AO1048576">
    <cfRule type="colorScale" priority="217">
      <colorScale>
        <cfvo type="min"/>
        <cfvo type="max"/>
        <color rgb="FFFFEF9C"/>
        <color rgb="FF63BE7B"/>
      </colorScale>
    </cfRule>
  </conditionalFormatting>
  <conditionalFormatting sqref="AP1:AP1048576">
    <cfRule type="colorScale" priority="216">
      <colorScale>
        <cfvo type="min"/>
        <cfvo type="max"/>
        <color rgb="FFFFEF9C"/>
        <color rgb="FF63BE7B"/>
      </colorScale>
    </cfRule>
  </conditionalFormatting>
  <conditionalFormatting sqref="AQ1">
    <cfRule type="colorScale" priority="215">
      <colorScale>
        <cfvo type="min"/>
        <cfvo type="max"/>
        <color rgb="FFFFEF9C"/>
        <color rgb="FF63BE7B"/>
      </colorScale>
    </cfRule>
  </conditionalFormatting>
  <conditionalFormatting sqref="AQ1:AQ1048576">
    <cfRule type="iconSet" priority="212">
      <iconSet>
        <cfvo type="percent" val="0"/>
        <cfvo type="percent" val="33"/>
        <cfvo type="percent" val="67"/>
      </iconSet>
    </cfRule>
    <cfRule type="colorScale" priority="214">
      <colorScale>
        <cfvo type="min"/>
        <cfvo type="max"/>
        <color rgb="FFFFEF9C"/>
        <color rgb="FF63BE7B"/>
      </colorScale>
    </cfRule>
  </conditionalFormatting>
  <conditionalFormatting sqref="I1:I1048576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:L1048576">
    <cfRule type="colorScale" priority="2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ntainsText" dxfId="1" priority="193" operator="containsText" text="Desconhecido">
      <formula>NOT(ISERROR(SEARCH("Desconhecido",J1)))</formula>
    </cfRule>
    <cfRule type="containsText" dxfId="0" priority="194" operator="containsText" text="Não está à venda">
      <formula>NOT(ISERROR(SEARCH("Não está à venda",J1)))</formula>
    </cfRule>
  </conditionalFormatting>
  <conditionalFormatting sqref="CZ1:CZ1048576">
    <cfRule type="dataBar" priority="183">
      <dataBar>
        <cfvo type="min"/>
        <cfvo type="max"/>
        <color theme="4" tint="-0.249977111117893"/>
      </dataBar>
      <extLst>
        <ext xmlns:x14="http://schemas.microsoft.com/office/spreadsheetml/2009/9/main" uri="{B025F937-C7B1-47D3-B67F-A62EFF666E3E}">
          <x14:id>{6DDC7AAF-373F-4AAB-A24C-0B2D4B0185A5}</x14:id>
        </ext>
      </extLst>
    </cfRule>
    <cfRule type="iconSet" priority="19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K1:DK1048576">
    <cfRule type="colorScale" priority="187">
      <colorScale>
        <cfvo type="min"/>
        <cfvo type="percentile" val="50"/>
        <cfvo type="max"/>
        <color rgb="FFF8696B"/>
        <color rgb="FFD9E1F2"/>
        <color rgb="FF00B0F0"/>
      </colorScale>
    </cfRule>
  </conditionalFormatting>
  <conditionalFormatting sqref="BQ1:BQ1048576">
    <cfRule type="iconSet" priority="173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1:BO1048576">
    <cfRule type="iconSet" priority="15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1:BP1048576">
    <cfRule type="iconSet" priority="15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J1:EJ1048576">
    <cfRule type="iconSet" priority="151">
      <iconSet iconSet="3Arrows">
        <cfvo type="percent" val="0"/>
        <cfvo type="num" val="6.7"/>
        <cfvo type="num" val="7"/>
      </iconSet>
    </cfRule>
    <cfRule type="colorScale" priority="152">
      <colorScale>
        <cfvo type="num" val="6.6"/>
        <cfvo type="num" val="6.7"/>
        <cfvo type="num" val="7"/>
        <color rgb="FFF8696B"/>
        <color rgb="FFFFEB84"/>
        <color rgb="FF63BE7B"/>
      </colorScale>
    </cfRule>
  </conditionalFormatting>
  <conditionalFormatting sqref="DN1:DN1048576">
    <cfRule type="colorScale" priority="129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DO1:DO1048576">
    <cfRule type="colorScale" priority="127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DP1:DP1048576">
    <cfRule type="iconSet" priority="12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Q1:DQ1048576">
    <cfRule type="iconSet" priority="11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R1:DR1048576">
    <cfRule type="iconSet" priority="121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24">
      <colorScale>
        <cfvo type="min"/>
        <cfvo type="max"/>
        <color rgb="FFFCFCFF"/>
        <color rgb="FFF8696B"/>
      </colorScale>
    </cfRule>
  </conditionalFormatting>
  <conditionalFormatting sqref="DS1:DS1048576">
    <cfRule type="iconSet" priority="122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23">
      <colorScale>
        <cfvo type="min"/>
        <cfvo type="max"/>
        <color rgb="FFFCFCFF"/>
        <color rgb="FFF8696B"/>
      </colorScale>
    </cfRule>
  </conditionalFormatting>
  <conditionalFormatting sqref="DT1:DT1048576">
    <cfRule type="iconSet" priority="11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1:CM1048576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{C44FA3A8-7BE4-4DC0-913B-0A46DCF1586D}</x14:id>
        </ext>
      </extLst>
    </cfRule>
    <cfRule type="colorScale" priority="115">
      <colorScale>
        <cfvo type="min"/>
        <cfvo type="percentile" val="50"/>
        <cfvo type="max"/>
        <color rgb="FFF8696B"/>
        <color rgb="FFDDEBF7"/>
        <color rgb="FF00B0F0"/>
      </colorScale>
    </cfRule>
  </conditionalFormatting>
  <conditionalFormatting sqref="CO1:CO1048576">
    <cfRule type="iconSet" priority="10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:CP1048576">
    <cfRule type="iconSet" priority="10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:BS1048576">
    <cfRule type="iconSet" priority="101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1:BT1048576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:BU1048576">
    <cfRule type="dataBar" priority="89">
      <dataBar>
        <cfvo type="min"/>
        <cfvo type="max"/>
        <color rgb="FF61BFF9"/>
      </dataBar>
      <extLst>
        <ext xmlns:x14="http://schemas.microsoft.com/office/spreadsheetml/2009/9/main" uri="{B025F937-C7B1-47D3-B67F-A62EFF666E3E}">
          <x14:id>{4A44C164-1EBA-4266-9D88-7AD3826FCDB2}</x14:id>
        </ext>
      </extLst>
    </cfRule>
    <cfRule type="iconSet" priority="9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9">
      <colorScale>
        <cfvo type="min"/>
        <cfvo type="percentile" val="50"/>
        <cfvo type="max"/>
        <color rgb="FFFF5D74"/>
        <color rgb="FFA3D9FB"/>
        <color rgb="FF61BFF9"/>
      </colorScale>
    </cfRule>
  </conditionalFormatting>
  <conditionalFormatting sqref="BR1:BR1048576">
    <cfRule type="iconSet" priority="96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1:BL1048576">
    <cfRule type="iconSet" priority="9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5">
      <colorScale>
        <cfvo type="min"/>
        <cfvo type="max"/>
        <color rgb="FFFFEF9C"/>
        <color rgb="FF63BE7B"/>
      </colorScale>
    </cfRule>
  </conditionalFormatting>
  <conditionalFormatting sqref="BM1:BM1048576">
    <cfRule type="iconSet" priority="9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4">
      <colorScale>
        <cfvo type="min"/>
        <cfvo type="max"/>
        <color rgb="FFFFEF9C"/>
        <color rgb="FF63BE7B"/>
      </colorScale>
    </cfRule>
  </conditionalFormatting>
  <conditionalFormatting sqref="BN1:BN1048576">
    <cfRule type="iconSet" priority="9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1:CB104857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1:CC104857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1:CR1048576">
    <cfRule type="colorScale" priority="85">
      <colorScale>
        <cfvo type="num" val="-1"/>
        <cfvo type="num" val="0"/>
        <cfvo type="max"/>
        <color rgb="FFF8696B"/>
        <color rgb="FFFFEB84"/>
        <color rgb="FF63BE7B"/>
      </colorScale>
    </cfRule>
  </conditionalFormatting>
  <conditionalFormatting sqref="CS1:CS1048576">
    <cfRule type="iconSet" priority="5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T1:CT1048576">
    <cfRule type="iconSet" priority="5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U1:CU1048576">
    <cfRule type="iconSet" priority="5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V1:CV1048576">
    <cfRule type="iconSet" priority="4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W1:CW1048576">
    <cfRule type="colorScale" priority="7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X1:DX1048576">
    <cfRule type="iconSet" priority="6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2">
      <colorScale>
        <cfvo type="min"/>
        <cfvo type="percentile" val="50"/>
        <cfvo type="max"/>
        <color rgb="FFF8696B"/>
        <color theme="4" tint="0.59999389629810485"/>
        <color theme="4" tint="-0.249977111117893"/>
      </colorScale>
    </cfRule>
  </conditionalFormatting>
  <conditionalFormatting sqref="DY1:DY1048576">
    <cfRule type="colorScale" priority="56">
      <colorScale>
        <cfvo type="min"/>
        <cfvo type="percentile" val="50"/>
        <cfvo type="max"/>
        <color rgb="FFF8696B"/>
        <color rgb="FF9BC2E6"/>
        <color rgb="FF2F75B5"/>
      </colorScale>
    </cfRule>
    <cfRule type="iconSet" priority="60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Z1:DZ1048576">
    <cfRule type="colorScale" priority="55">
      <colorScale>
        <cfvo type="min"/>
        <cfvo type="percentile" val="50"/>
        <cfvo type="max"/>
        <color rgb="FFF8696B"/>
        <color rgb="FF9BC2E6"/>
        <color rgb="FF2F75B5"/>
      </colorScale>
    </cfRule>
    <cfRule type="iconSet" priority="59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A1:EA1048576">
    <cfRule type="colorScale" priority="54">
      <colorScale>
        <cfvo type="min"/>
        <cfvo type="percentile" val="50"/>
        <cfvo type="max"/>
        <color rgb="FFF8696B"/>
        <color rgb="FF9BC2E6"/>
        <color rgb="FF2F75B5"/>
      </colorScale>
    </cfRule>
    <cfRule type="iconSet" priority="58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B1:EB1048576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57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N1:CN1048576">
    <cfRule type="dataBar" priority="46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{816EFB8F-36AA-4329-9761-19D02431D6C4}</x14:id>
        </ext>
      </extLst>
    </cfRule>
    <cfRule type="colorScale" priority="48">
      <colorScale>
        <cfvo type="min"/>
        <cfvo type="percentile" val="50"/>
        <cfvo type="max"/>
        <color rgb="FFF8696B"/>
        <color rgb="FFDDEBF7"/>
        <color rgb="FF00B0F0"/>
      </colorScale>
    </cfRule>
  </conditionalFormatting>
  <conditionalFormatting sqref="AH1:AH1048576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:AI1048576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:AJ104857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:AK1048576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Z1:BZ104857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1:CA104857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:AX1048576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{D7EA6F09-0016-4403-ACAB-D164071280E4}</x14:id>
        </ext>
      </extLst>
    </cfRule>
  </conditionalFormatting>
  <conditionalFormatting sqref="AY1:AY1048576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{EA25C936-B00C-4BC5-AE42-A2C1B746CC5A}</x14:id>
        </ext>
      </extLst>
    </cfRule>
  </conditionalFormatting>
  <conditionalFormatting sqref="AZ1:AZ1048576">
    <cfRule type="dataBar" priority="3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{B90A5FD0-CFBD-44D2-847A-FDC9BCE3B71F}</x14:id>
        </ext>
      </extLst>
    </cfRule>
  </conditionalFormatting>
  <conditionalFormatting sqref="BA1:BA1048576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{B844C464-1F5F-4CE8-8601-2F0F22BD163F}</x14:id>
        </ext>
      </extLst>
    </cfRule>
  </conditionalFormatting>
  <conditionalFormatting sqref="BV1:BV104857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:AT1048576">
    <cfRule type="dataBar" priority="23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{72C25462-B690-43DB-A390-AC4CACF28AB4}</x14:id>
        </ext>
      </extLst>
    </cfRule>
  </conditionalFormatting>
  <conditionalFormatting sqref="AR1:AR1048576">
    <cfRule type="dataBar" priority="21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{13C71701-FFB7-41EE-83DD-30C7626D9805}</x14:id>
        </ext>
      </extLst>
    </cfRule>
  </conditionalFormatting>
  <conditionalFormatting sqref="AV1:AV1048576">
    <cfRule type="dataBar" priority="19">
      <dataBar>
        <cfvo type="min"/>
        <cfvo type="max"/>
        <color rgb="FF007A37"/>
      </dataBar>
      <extLst>
        <ext xmlns:x14="http://schemas.microsoft.com/office/spreadsheetml/2009/9/main" uri="{B025F937-C7B1-47D3-B67F-A62EFF666E3E}">
          <x14:id>{5E4BCAB9-E13A-4EDF-94C8-3B5206DA0A22}</x14:id>
        </ext>
      </extLst>
    </cfRule>
  </conditionalFormatting>
  <conditionalFormatting sqref="AW1:AW1048576">
    <cfRule type="dataBar" priority="17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{24F73CF6-4949-4EB7-8DCA-6664CA53232B}</x14:id>
        </ext>
      </extLst>
    </cfRule>
  </conditionalFormatting>
  <conditionalFormatting sqref="AS1:AS1048576">
    <cfRule type="dataBar" priority="13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{E6138265-35ED-480E-80B4-CCE8A529E598}</x14:id>
        </ext>
      </extLst>
    </cfRule>
  </conditionalFormatting>
  <conditionalFormatting sqref="AU1:AU1048576">
    <cfRule type="dataBar" priority="12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{BEBD870E-F763-4171-9009-1EAFB3706158}</x14:id>
        </ext>
      </extLst>
    </cfRule>
  </conditionalFormatting>
  <conditionalFormatting sqref="BJ1:BJ1048576">
    <cfRule type="iconSet" priority="5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dataBar" priority="11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{4F91B05B-FBB7-4DD1-8837-9F473E2133C5}</x14:id>
        </ext>
      </extLst>
    </cfRule>
  </conditionalFormatting>
  <conditionalFormatting sqref="BK1:BK1048576">
    <cfRule type="iconSet" priority="4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dataBar" priority="10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{90A28873-503D-4A48-B2E7-4282FAC63867}</x14:id>
        </ext>
      </extLst>
    </cfRule>
  </conditionalFormatting>
  <conditionalFormatting sqref="DL1:DL1048576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{A17F4A20-7385-4408-ABFD-3EDF35AA8F29}</x14:id>
        </ext>
      </extLst>
    </cfRule>
  </conditionalFormatting>
  <conditionalFormatting sqref="DM1:DM1048576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{ACFFD22C-288A-4858-A438-F69172D6B167}</x14:id>
        </ext>
      </extLst>
    </cfRule>
  </conditionalFormatting>
  <conditionalFormatting sqref="CX1:CX1048576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{507416C6-821C-4CD7-A6F1-99620BFA8651}</x14:id>
        </ext>
      </extLst>
    </cfRule>
  </conditionalFormatting>
  <conditionalFormatting sqref="CY1:CY104857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{8622CB33-9D99-4192-AA63-EEACCA02AEE5}</x14:id>
        </ext>
      </extLst>
    </cfRule>
  </conditionalFormatting>
  <conditionalFormatting sqref="AA1:AA1048576">
    <cfRule type="dataBar" priority="3">
      <dataBar>
        <cfvo type="min"/>
        <cfvo type="max"/>
        <color rgb="FF305484"/>
      </dataBar>
      <extLst>
        <ext xmlns:x14="http://schemas.microsoft.com/office/spreadsheetml/2009/9/main" uri="{B025F937-C7B1-47D3-B67F-A62EFF666E3E}">
          <x14:id>{532DD576-1F65-4F19-8023-5342688CCB82}</x14:id>
        </ext>
      </extLst>
    </cfRule>
  </conditionalFormatting>
  <conditionalFormatting sqref="AB1:AB1048576">
    <cfRule type="dataBar" priority="2">
      <dataBar>
        <cfvo type="min"/>
        <cfvo type="max"/>
        <color rgb="FF305484"/>
      </dataBar>
      <extLst>
        <ext xmlns:x14="http://schemas.microsoft.com/office/spreadsheetml/2009/9/main" uri="{B025F937-C7B1-47D3-B67F-A62EFF666E3E}">
          <x14:id>{6BEFC0E4-45ED-4A6D-AF76-21FB9B7119C4}</x14:id>
        </ext>
      </extLst>
    </cfRule>
  </conditionalFormatting>
  <conditionalFormatting sqref="AC1:AC1048576">
    <cfRule type="dataBar" priority="1">
      <dataBar>
        <cfvo type="min"/>
        <cfvo type="max"/>
        <color rgb="FF305484"/>
      </dataBar>
      <extLst>
        <ext xmlns:x14="http://schemas.microsoft.com/office/spreadsheetml/2009/9/main" uri="{B025F937-C7B1-47D3-B67F-A62EFF666E3E}">
          <x14:id>{281ACDAE-2042-4B63-8E16-B3B1B2BEF6AF}</x14:id>
        </ext>
      </extLst>
    </cfRule>
  </conditionalFormatting>
  <conditionalFormatting sqref="DE12:DF1048576 DE1:DF1 DE2:DE11">
    <cfRule type="colorScale" priority="24446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H12:DH1048576 DH1">
    <cfRule type="colorScale" priority="24447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U12:DU1048576">
    <cfRule type="colorScale" priority="24447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F12:DF1048576 DF1">
    <cfRule type="colorScale" priority="24447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2:DC11">
    <cfRule type="colorScale" priority="24447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D2:DD11">
    <cfRule type="colorScale" priority="24447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1">
    <cfRule type="colorScale" priority="2444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11">
    <cfRule type="colorScale" priority="2444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2:DH11">
    <cfRule type="colorScale" priority="24447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V2:DV11">
    <cfRule type="colorScale" priority="2444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2:DV11">
    <cfRule type="colorScale" priority="24447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2:CH11">
    <cfRule type="colorScale" priority="24447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2:CH11">
    <cfRule type="colorScale" priority="2444718">
      <colorScale>
        <cfvo type="min"/>
        <cfvo type="max"/>
        <color rgb="FFFFEF9C"/>
        <color rgb="FF63BE7B"/>
      </colorScale>
    </cfRule>
  </conditionalFormatting>
  <conditionalFormatting sqref="DG2:DG11">
    <cfRule type="colorScale" priority="24447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U2:DU11">
    <cfRule type="colorScale" priority="2444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2:DU11">
    <cfRule type="colorScale" priority="24447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F2:DF11">
    <cfRule type="colorScale" priority="24447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:W11">
    <cfRule type="iconSet" priority="2444723">
      <iconSet iconSet="3ArrowsGray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4AAE41A-7AD0-46BC-9D4A-95F9B0EC17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CK1:CK1048576</xm:sqref>
        </x14:conditionalFormatting>
        <x14:conditionalFormatting xmlns:xm="http://schemas.microsoft.com/office/excel/2006/main">
          <x14:cfRule type="dataBar" id="{E9A028F3-894B-47D5-AE28-79455BFA7C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CF1:CF1048576</xm:sqref>
        </x14:conditionalFormatting>
        <x14:conditionalFormatting xmlns:xm="http://schemas.microsoft.com/office/excel/2006/main">
          <x14:cfRule type="dataBar" id="{778B5564-DE9B-4B3D-937F-581F15378B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CG1:CG1048576</xm:sqref>
        </x14:conditionalFormatting>
        <x14:conditionalFormatting xmlns:xm="http://schemas.microsoft.com/office/excel/2006/main">
          <x14:cfRule type="dataBar" id="{556CE295-D6F9-4D2A-844F-6E0855EB24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CH1:CH1048576</xm:sqref>
        </x14:conditionalFormatting>
        <x14:conditionalFormatting xmlns:xm="http://schemas.microsoft.com/office/excel/2006/main">
          <x14:cfRule type="dataBar" id="{3F530B19-D044-4B1A-80D1-C16106E96D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CI1:CI1048576</xm:sqref>
        </x14:conditionalFormatting>
        <x14:conditionalFormatting xmlns:xm="http://schemas.microsoft.com/office/excel/2006/main">
          <x14:cfRule type="dataBar" id="{F0FE0B45-50CB-4CCE-B835-5A07810E6A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CJ1:CJ1048576</xm:sqref>
        </x14:conditionalFormatting>
        <x14:conditionalFormatting xmlns:xm="http://schemas.microsoft.com/office/excel/2006/main">
          <x14:cfRule type="dataBar" id="{782CC29C-0A36-4764-A4A6-F6CC29A5E0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CL1:CL1048576</xm:sqref>
        </x14:conditionalFormatting>
        <x14:conditionalFormatting xmlns:xm="http://schemas.microsoft.com/office/excel/2006/main">
          <x14:cfRule type="dataBar" id="{4710D6D0-D2CC-45C2-B07A-568AC19364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6DDC7AAF-373F-4AAB-A24C-0B2D4B0185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CZ1:CZ1048576</xm:sqref>
        </x14:conditionalFormatting>
        <x14:conditionalFormatting xmlns:xm="http://schemas.microsoft.com/office/excel/2006/main">
          <x14:cfRule type="dataBar" id="{C44FA3A8-7BE4-4DC0-913B-0A46DCF158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CM1:CM1048576</xm:sqref>
        </x14:conditionalFormatting>
        <x14:conditionalFormatting xmlns:xm="http://schemas.microsoft.com/office/excel/2006/main">
          <x14:cfRule type="dataBar" id="{4A44C164-1EBA-4266-9D88-7AD3826FCDB2}">
            <x14:dataBar minLength="0" maxLength="100" border="1" gradient="0">
              <x14:cfvo type="autoMin"/>
              <x14:cfvo type="autoMax"/>
              <x14:borderColor theme="0" tint="0.79998168889431442"/>
              <x14:negativeFillColor rgb="FFFF0000"/>
              <x14:axisColor rgb="FF000000"/>
            </x14:dataBar>
          </x14:cfRule>
          <xm:sqref>BU1:BU1048576</xm:sqref>
        </x14:conditionalFormatting>
        <x14:conditionalFormatting xmlns:xm="http://schemas.microsoft.com/office/excel/2006/main">
          <x14:cfRule type="dataBar" id="{816EFB8F-36AA-4329-9761-19D02431D6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CN1:CN1048576</xm:sqref>
        </x14:conditionalFormatting>
        <x14:conditionalFormatting xmlns:xm="http://schemas.microsoft.com/office/excel/2006/main">
          <x14:cfRule type="dataBar" id="{D7EA6F09-0016-4403-ACAB-D164071280E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AX1:AX1048576</xm:sqref>
        </x14:conditionalFormatting>
        <x14:conditionalFormatting xmlns:xm="http://schemas.microsoft.com/office/excel/2006/main">
          <x14:cfRule type="dataBar" id="{EA25C936-B00C-4BC5-AE42-A2C1B746CC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AY1:AY1048576</xm:sqref>
        </x14:conditionalFormatting>
        <x14:conditionalFormatting xmlns:xm="http://schemas.microsoft.com/office/excel/2006/main">
          <x14:cfRule type="dataBar" id="{B90A5FD0-CFBD-44D2-847A-FDC9BCE3B7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AZ1:AZ1048576</xm:sqref>
        </x14:conditionalFormatting>
        <x14:conditionalFormatting xmlns:xm="http://schemas.microsoft.com/office/excel/2006/main">
          <x14:cfRule type="dataBar" id="{B844C464-1F5F-4CE8-8601-2F0F22BD16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BA1:BA1048576</xm:sqref>
        </x14:conditionalFormatting>
        <x14:conditionalFormatting xmlns:xm="http://schemas.microsoft.com/office/excel/2006/main">
          <x14:cfRule type="dataBar" id="{72C25462-B690-43DB-A390-AC4CACF28A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AT1:AT1048576</xm:sqref>
        </x14:conditionalFormatting>
        <x14:conditionalFormatting xmlns:xm="http://schemas.microsoft.com/office/excel/2006/main">
          <x14:cfRule type="dataBar" id="{13C71701-FFB7-41EE-83DD-30C7626D98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AR1:AR1048576</xm:sqref>
        </x14:conditionalFormatting>
        <x14:conditionalFormatting xmlns:xm="http://schemas.microsoft.com/office/excel/2006/main">
          <x14:cfRule type="dataBar" id="{5E4BCAB9-E13A-4EDF-94C8-3B5206DA0A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AV1:AV1048576</xm:sqref>
        </x14:conditionalFormatting>
        <x14:conditionalFormatting xmlns:xm="http://schemas.microsoft.com/office/excel/2006/main">
          <x14:cfRule type="dataBar" id="{24F73CF6-4949-4EB7-8DCA-6664CA5323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AW1:AW1048576</xm:sqref>
        </x14:conditionalFormatting>
        <x14:conditionalFormatting xmlns:xm="http://schemas.microsoft.com/office/excel/2006/main">
          <x14:cfRule type="dataBar" id="{E6138265-35ED-480E-80B4-CCE8A529E5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AS1:AS1048576</xm:sqref>
        </x14:conditionalFormatting>
        <x14:conditionalFormatting xmlns:xm="http://schemas.microsoft.com/office/excel/2006/main">
          <x14:cfRule type="dataBar" id="{BEBD870E-F763-4171-9009-1EAFB37061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AU1:AU1048576</xm:sqref>
        </x14:conditionalFormatting>
        <x14:conditionalFormatting xmlns:xm="http://schemas.microsoft.com/office/excel/2006/main">
          <x14:cfRule type="dataBar" id="{4F91B05B-FBB7-4DD1-8837-9F473E2133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BJ1:BJ1048576</xm:sqref>
        </x14:conditionalFormatting>
        <x14:conditionalFormatting xmlns:xm="http://schemas.microsoft.com/office/excel/2006/main">
          <x14:cfRule type="dataBar" id="{90A28873-503D-4A48-B2E7-4282FAC638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BK1:BK1048576</xm:sqref>
        </x14:conditionalFormatting>
        <x14:conditionalFormatting xmlns:xm="http://schemas.microsoft.com/office/excel/2006/main">
          <x14:cfRule type="dataBar" id="{A17F4A20-7385-4408-ABFD-3EDF35AA8F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DL1:DL1048576</xm:sqref>
        </x14:conditionalFormatting>
        <x14:conditionalFormatting xmlns:xm="http://schemas.microsoft.com/office/excel/2006/main">
          <x14:cfRule type="dataBar" id="{ACFFD22C-288A-4858-A438-F69172D6B1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DM1:DM1048576</xm:sqref>
        </x14:conditionalFormatting>
        <x14:conditionalFormatting xmlns:xm="http://schemas.microsoft.com/office/excel/2006/main">
          <x14:cfRule type="dataBar" id="{507416C6-821C-4CD7-A6F1-99620BFA86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CX1:CX1048576</xm:sqref>
        </x14:conditionalFormatting>
        <x14:conditionalFormatting xmlns:xm="http://schemas.microsoft.com/office/excel/2006/main">
          <x14:cfRule type="dataBar" id="{8622CB33-9D99-4192-AA63-EEACCA02AE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CY1:CY1048576</xm:sqref>
        </x14:conditionalFormatting>
        <x14:conditionalFormatting xmlns:xm="http://schemas.microsoft.com/office/excel/2006/main">
          <x14:cfRule type="dataBar" id="{532DD576-1F65-4F19-8023-5342688CCB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AA1:AA1048576</xm:sqref>
        </x14:conditionalFormatting>
        <x14:conditionalFormatting xmlns:xm="http://schemas.microsoft.com/office/excel/2006/main">
          <x14:cfRule type="dataBar" id="{6BEFC0E4-45ED-4A6D-AF76-21FB9B7119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AB1:AB1048576</xm:sqref>
        </x14:conditionalFormatting>
        <x14:conditionalFormatting xmlns:xm="http://schemas.microsoft.com/office/excel/2006/main">
          <x14:cfRule type="dataBar" id="{281ACDAE-2042-4B63-8E16-B3B1B2BEF6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AC1:AC1048576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>
    <tabColor rgb="FFFFFF00"/>
  </sheetPr>
  <dimension ref="A1:DG204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K13" sqref="BK13:CW44"/>
    </sheetView>
  </sheetViews>
  <sheetFormatPr defaultRowHeight="18.75" x14ac:dyDescent="0.3"/>
  <cols>
    <col min="1" max="1" width="25.7109375" customWidth="1"/>
    <col min="2" max="2" width="11" customWidth="1"/>
    <col min="3" max="3" width="16.28515625" customWidth="1"/>
    <col min="4" max="5" width="13.5703125" customWidth="1"/>
    <col min="6" max="16" width="18.7109375" customWidth="1"/>
    <col min="17" max="17" width="18.7109375" style="227" customWidth="1"/>
    <col min="18" max="54" width="18.7109375" customWidth="1"/>
    <col min="55" max="55" width="20.5703125" customWidth="1"/>
    <col min="56" max="62" width="18.7109375" customWidth="1"/>
    <col min="63" max="63" width="8.7109375" customWidth="1"/>
    <col min="64" max="67" width="11.7109375" customWidth="1"/>
    <col min="68" max="69" width="11.7109375" style="1" customWidth="1"/>
    <col min="70" max="70" width="11.7109375" style="226" customWidth="1"/>
    <col min="71" max="100" width="11.7109375" style="1" customWidth="1"/>
    <col min="101" max="101" width="2.5703125" customWidth="1"/>
  </cols>
  <sheetData>
    <row r="1" spans="1:111" ht="50.1" customHeight="1" thickBot="1" x14ac:dyDescent="0.3">
      <c r="A1" s="235" t="s">
        <v>20</v>
      </c>
      <c r="B1" s="235" t="s">
        <v>510</v>
      </c>
      <c r="C1" s="230" t="s">
        <v>527</v>
      </c>
      <c r="D1" s="230" t="s">
        <v>121</v>
      </c>
      <c r="E1" s="230" t="s">
        <v>526</v>
      </c>
      <c r="F1" s="263" t="s">
        <v>170</v>
      </c>
      <c r="G1" s="263" t="s">
        <v>525</v>
      </c>
      <c r="H1" s="383" t="s">
        <v>524</v>
      </c>
      <c r="I1" s="263" t="s">
        <v>523</v>
      </c>
      <c r="J1" s="264" t="s">
        <v>39</v>
      </c>
      <c r="K1" s="264" t="s">
        <v>532</v>
      </c>
      <c r="L1" s="263" t="s">
        <v>82</v>
      </c>
      <c r="M1" s="263" t="s">
        <v>27</v>
      </c>
      <c r="N1" s="263" t="s">
        <v>83</v>
      </c>
      <c r="O1" s="200" t="s">
        <v>428</v>
      </c>
      <c r="P1" s="200" t="s">
        <v>429</v>
      </c>
      <c r="Q1" s="262" t="s">
        <v>522</v>
      </c>
      <c r="R1" s="262" t="s">
        <v>521</v>
      </c>
      <c r="S1" s="22" t="s">
        <v>248</v>
      </c>
      <c r="T1" s="22" t="s">
        <v>249</v>
      </c>
      <c r="U1" s="4" t="s">
        <v>47</v>
      </c>
      <c r="V1" s="4" t="s">
        <v>140</v>
      </c>
      <c r="W1" s="4" t="s">
        <v>520</v>
      </c>
      <c r="X1" s="46" t="s">
        <v>336</v>
      </c>
      <c r="Y1" s="46" t="s">
        <v>337</v>
      </c>
      <c r="Z1" s="46" t="s">
        <v>473</v>
      </c>
      <c r="AA1" s="46" t="s">
        <v>528</v>
      </c>
      <c r="AB1" s="46" t="s">
        <v>357</v>
      </c>
      <c r="AC1" s="46" t="s">
        <v>519</v>
      </c>
      <c r="AD1" s="361" t="s">
        <v>426</v>
      </c>
      <c r="AE1" s="361" t="s">
        <v>518</v>
      </c>
      <c r="AF1" s="360" t="s">
        <v>517</v>
      </c>
      <c r="AG1" s="360" t="s">
        <v>516</v>
      </c>
      <c r="AH1" s="360" t="s">
        <v>515</v>
      </c>
      <c r="AI1" s="261" t="s">
        <v>22</v>
      </c>
      <c r="AJ1" s="261" t="s">
        <v>150</v>
      </c>
      <c r="AK1" s="261" t="s">
        <v>65</v>
      </c>
      <c r="AL1" s="261" t="s">
        <v>155</v>
      </c>
      <c r="AM1" s="261" t="s">
        <v>551</v>
      </c>
      <c r="AN1" s="261" t="s">
        <v>305</v>
      </c>
      <c r="AO1" s="260" t="s">
        <v>340</v>
      </c>
      <c r="AP1" s="260" t="s">
        <v>514</v>
      </c>
      <c r="AQ1" s="235" t="s">
        <v>341</v>
      </c>
      <c r="AR1" s="260" t="s">
        <v>503</v>
      </c>
      <c r="AS1" s="235" t="s">
        <v>105</v>
      </c>
      <c r="AT1" s="259" t="s">
        <v>182</v>
      </c>
      <c r="AU1" s="234" t="s">
        <v>513</v>
      </c>
      <c r="AV1" s="259" t="s">
        <v>111</v>
      </c>
      <c r="AW1" s="234" t="s">
        <v>512</v>
      </c>
      <c r="AX1" s="234" t="s">
        <v>511</v>
      </c>
      <c r="AY1" s="362" t="s">
        <v>69</v>
      </c>
      <c r="AZ1" s="362" t="s">
        <v>494</v>
      </c>
      <c r="BA1" s="100" t="s">
        <v>446</v>
      </c>
      <c r="BB1" s="100" t="s">
        <v>446</v>
      </c>
      <c r="BC1" s="100" t="s">
        <v>823</v>
      </c>
      <c r="BD1" s="269" t="s">
        <v>433</v>
      </c>
      <c r="BE1" s="241" t="s">
        <v>106</v>
      </c>
      <c r="BF1" s="258" t="s">
        <v>427</v>
      </c>
      <c r="BG1" s="257" t="s">
        <v>81</v>
      </c>
      <c r="BH1" s="235" t="s">
        <v>92</v>
      </c>
      <c r="BI1" s="235" t="s">
        <v>171</v>
      </c>
      <c r="BJ1" s="110" t="s">
        <v>25</v>
      </c>
      <c r="BK1" s="292" t="s">
        <v>14</v>
      </c>
      <c r="BL1" s="293" t="s">
        <v>830</v>
      </c>
      <c r="BM1" s="293" t="s">
        <v>20</v>
      </c>
      <c r="BN1" s="293" t="s">
        <v>1</v>
      </c>
      <c r="BO1" s="293" t="s">
        <v>29</v>
      </c>
      <c r="BP1" s="293" t="s">
        <v>40</v>
      </c>
      <c r="BQ1" s="293" t="s">
        <v>621</v>
      </c>
      <c r="BR1" s="293" t="s">
        <v>642</v>
      </c>
      <c r="BS1" s="293" t="s">
        <v>683</v>
      </c>
      <c r="BT1" s="293" t="s">
        <v>684</v>
      </c>
      <c r="BU1" s="293" t="s">
        <v>5</v>
      </c>
      <c r="BV1" s="293" t="s">
        <v>103</v>
      </c>
      <c r="BW1" s="293" t="s">
        <v>8</v>
      </c>
      <c r="BX1" s="293" t="s">
        <v>9</v>
      </c>
      <c r="BY1" s="293" t="s">
        <v>11</v>
      </c>
      <c r="BZ1" s="293" t="s">
        <v>17</v>
      </c>
      <c r="CA1" s="293" t="s">
        <v>7</v>
      </c>
      <c r="CB1" s="293" t="s">
        <v>166</v>
      </c>
      <c r="CC1" s="293" t="s">
        <v>179</v>
      </c>
      <c r="CD1" s="293" t="s">
        <v>4</v>
      </c>
      <c r="CE1" s="293" t="s">
        <v>648</v>
      </c>
      <c r="CF1" s="293" t="s">
        <v>93</v>
      </c>
      <c r="CG1" s="293" t="s">
        <v>94</v>
      </c>
      <c r="CH1" s="293" t="s">
        <v>568</v>
      </c>
      <c r="CI1" s="293" t="s">
        <v>569</v>
      </c>
      <c r="CJ1" s="293" t="s">
        <v>48</v>
      </c>
      <c r="CK1" s="293" t="s">
        <v>645</v>
      </c>
      <c r="CL1" s="293" t="s">
        <v>646</v>
      </c>
      <c r="CM1" s="293" t="s">
        <v>623</v>
      </c>
      <c r="CN1" s="293" t="s">
        <v>18</v>
      </c>
      <c r="CO1" s="293" t="s">
        <v>10</v>
      </c>
      <c r="CP1" s="293" t="s">
        <v>15</v>
      </c>
      <c r="CQ1" s="293" t="s">
        <v>16</v>
      </c>
      <c r="CR1" s="293" t="s">
        <v>647</v>
      </c>
      <c r="CS1" s="293" t="s">
        <v>189</v>
      </c>
      <c r="CT1" s="293" t="s">
        <v>190</v>
      </c>
      <c r="CU1" s="293" t="s">
        <v>104</v>
      </c>
      <c r="CV1" s="294" t="s">
        <v>635</v>
      </c>
      <c r="CW1" s="228"/>
      <c r="DE1" s="1"/>
      <c r="DG1" s="1"/>
    </row>
    <row r="2" spans="1:111" ht="30" customHeight="1" thickBot="1" x14ac:dyDescent="0.3">
      <c r="A2" s="256" t="str">
        <f t="shared" ref="A2:A12" si="0">IF(BM2=0,"Sem Jogador Adicionado",BM2)</f>
        <v>Sem Jogador Adicionado</v>
      </c>
      <c r="B2" s="255" t="str">
        <f t="shared" ref="B2:B12" si="1">IF(BL2=0,"VAZIO",BL2)</f>
        <v>VAZIO</v>
      </c>
      <c r="C2" s="254">
        <f t="shared" ref="C2:C12" si="2">BQ2</f>
        <v>0</v>
      </c>
      <c r="D2" s="254">
        <f>C2/90</f>
        <v>0</v>
      </c>
      <c r="E2" s="5">
        <f>IFERROR(SUBSTITUTE(BO2," cm","")/100,0)</f>
        <v>0</v>
      </c>
      <c r="F2" s="24">
        <f>IFERROR(CP2/D2,0)</f>
        <v>0</v>
      </c>
      <c r="G2" s="24">
        <f>IFERROR(CQ2/D2,0)</f>
        <v>0</v>
      </c>
      <c r="H2" s="5">
        <f>IFERROR((CP2-CQ2)/(D2),0)</f>
        <v>0</v>
      </c>
      <c r="I2" s="20">
        <f>IFERROR((G2*1)/F2,0)</f>
        <v>0</v>
      </c>
      <c r="J2" s="371">
        <f>CM2</f>
        <v>0</v>
      </c>
      <c r="K2" s="382">
        <f>IFERROR(J2/D2,0)</f>
        <v>0</v>
      </c>
      <c r="L2" s="6">
        <f>CP2</f>
        <v>0</v>
      </c>
      <c r="M2" s="6">
        <f>IFERROR((CP2-CQ2),0)</f>
        <v>0</v>
      </c>
      <c r="N2" s="20">
        <f>IFERROR((M2*1)/CP2,0)</f>
        <v>0</v>
      </c>
      <c r="O2" s="252">
        <f>IFERROR((CH2+BW2+CO2+C2),0)</f>
        <v>0</v>
      </c>
      <c r="P2" s="253">
        <f>IFERROR((O2/D2),0)</f>
        <v>0</v>
      </c>
      <c r="Q2" s="343">
        <f>IFERROR(R2*D2,0)</f>
        <v>0</v>
      </c>
      <c r="R2" s="345">
        <f>CC2</f>
        <v>0</v>
      </c>
      <c r="S2" s="6">
        <f>IFERROR(CD2+X2+BX2+BS2,0)</f>
        <v>0</v>
      </c>
      <c r="T2" s="5">
        <f>IFERROR(S2/D2,0)</f>
        <v>0</v>
      </c>
      <c r="U2" s="6">
        <f>CH2</f>
        <v>0</v>
      </c>
      <c r="V2" s="6">
        <f>CI2</f>
        <v>0</v>
      </c>
      <c r="W2" s="21">
        <f>IFERROR((V2*1)/U2,0)</f>
        <v>0</v>
      </c>
      <c r="X2" s="5">
        <f>IFERROR(SUBSTITUTE(CB2,".","," )*1,0)</f>
        <v>0</v>
      </c>
      <c r="Y2" s="5">
        <f>IFERROR(X2/D2,0)</f>
        <v>0</v>
      </c>
      <c r="Z2" s="5">
        <f>IFERROR(VALUE(SUBSTITUTE(CA2,".",","))-(BU2*0.79),0)</f>
        <v>0</v>
      </c>
      <c r="AA2" s="5">
        <f>IFERROR(Z2/D2,0)</f>
        <v>0</v>
      </c>
      <c r="AB2" s="5">
        <f>IFERROR(X2+Z2,0)</f>
        <v>0</v>
      </c>
      <c r="AC2" s="5">
        <f>IFERROR(AB2/D2,0)</f>
        <v>0</v>
      </c>
      <c r="AD2" s="6">
        <f>BW2-BU2</f>
        <v>0</v>
      </c>
      <c r="AE2" s="5">
        <f>IFERROR(AD2/D2,0)</f>
        <v>0</v>
      </c>
      <c r="AF2" s="5">
        <f>IFERROR((BX2-BV2)/(D2-BU2),0)</f>
        <v>0</v>
      </c>
      <c r="AG2" s="20">
        <f>IFERROR((BX2-BV2)/(BW2-BU2),0)</f>
        <v>0</v>
      </c>
      <c r="AH2" s="21">
        <f>IFERROR((BS2-BV2)/(BW2-BU2),0)</f>
        <v>0</v>
      </c>
      <c r="AI2" s="6">
        <f>BS2</f>
        <v>0</v>
      </c>
      <c r="AJ2" s="5">
        <f>IFERROR(AI2/D2,0)</f>
        <v>0</v>
      </c>
      <c r="AK2" s="6">
        <f>BT2</f>
        <v>0</v>
      </c>
      <c r="AL2" s="5">
        <f>IFERROR((AK2/D2),0)</f>
        <v>0</v>
      </c>
      <c r="AM2" s="6">
        <f>AI2+AK2</f>
        <v>0</v>
      </c>
      <c r="AN2" s="5">
        <f>IFERROR(AJ2+AL2,0)</f>
        <v>0</v>
      </c>
      <c r="AO2" s="6">
        <f>IFERROR(BY2,0)</f>
        <v>0</v>
      </c>
      <c r="AP2" s="24">
        <f>IFERROR(AO2/D2,0)</f>
        <v>0</v>
      </c>
      <c r="AQ2" s="6">
        <f>BZ2</f>
        <v>0</v>
      </c>
      <c r="AR2" s="199">
        <f>IFERROR(AQ2/D2,0)</f>
        <v>0</v>
      </c>
      <c r="AS2" s="21">
        <f>IFERROR((AQ2*1)/AO2,0)</f>
        <v>0</v>
      </c>
      <c r="AT2" s="211">
        <f>CU2+CK2+CJ2</f>
        <v>0</v>
      </c>
      <c r="AU2" s="199">
        <f>IFERROR(AT2/D2,0)</f>
        <v>0</v>
      </c>
      <c r="AV2" s="6">
        <f>CV2+CJ2</f>
        <v>0</v>
      </c>
      <c r="AW2" s="5">
        <f>IFERROR(AV2/D2,0)</f>
        <v>0</v>
      </c>
      <c r="AX2" s="21">
        <f>IFERROR(AV2/AT2,0)</f>
        <v>0</v>
      </c>
      <c r="AY2" s="343">
        <f>CK2</f>
        <v>0</v>
      </c>
      <c r="AZ2" s="345">
        <f>IFERROR(AY2/D2,0)</f>
        <v>0</v>
      </c>
      <c r="BA2" s="343">
        <f>CF2-CH2</f>
        <v>0</v>
      </c>
      <c r="BB2" s="343">
        <f>CG2-CI2</f>
        <v>0</v>
      </c>
      <c r="BC2" s="332">
        <f>IFERROR(BB2/BA2,0)</f>
        <v>0</v>
      </c>
      <c r="BD2" s="2">
        <f>CE2</f>
        <v>0</v>
      </c>
      <c r="BE2" s="5">
        <f>IFERROR(BD2/D2,0)</f>
        <v>0</v>
      </c>
      <c r="BF2" s="5">
        <f>IFERROR(VALUE(SUBSTITUTE(CN2," km","")),0)</f>
        <v>0</v>
      </c>
      <c r="BG2" s="5">
        <f>IFERROR((BF2/D2),0)</f>
        <v>0</v>
      </c>
      <c r="BH2" s="2">
        <f>CO2</f>
        <v>0</v>
      </c>
      <c r="BI2" s="5">
        <f>IFERROR(BH2/D2,0)</f>
        <v>0</v>
      </c>
      <c r="BJ2" s="5">
        <f>IFERROR(VALUE(SUBSTITUTE(BR2, ".", ",")),6)</f>
        <v>6</v>
      </c>
      <c r="BK2" s="301"/>
      <c r="BL2" s="297"/>
      <c r="BM2" s="297"/>
      <c r="BN2" s="297"/>
      <c r="BO2" s="297"/>
      <c r="BP2" s="297"/>
      <c r="BQ2" s="297"/>
      <c r="BR2" s="297"/>
      <c r="BS2" s="297"/>
      <c r="BT2" s="297"/>
      <c r="BU2" s="297"/>
      <c r="BV2" s="297"/>
      <c r="BW2" s="297"/>
      <c r="BX2" s="297"/>
      <c r="BY2" s="297"/>
      <c r="BZ2" s="297"/>
      <c r="CA2" s="297"/>
      <c r="CB2" s="297"/>
      <c r="CC2" s="297"/>
      <c r="CD2" s="297"/>
      <c r="CE2" s="297"/>
      <c r="CF2" s="297"/>
      <c r="CG2" s="297"/>
      <c r="CH2" s="297"/>
      <c r="CI2" s="297"/>
      <c r="CJ2" s="297"/>
      <c r="CK2" s="297"/>
      <c r="CL2" s="297"/>
      <c r="CM2" s="297"/>
      <c r="CN2" s="297"/>
      <c r="CO2" s="297"/>
      <c r="CP2" s="297"/>
      <c r="CQ2" s="297"/>
      <c r="CR2" s="297"/>
      <c r="CS2" s="297"/>
      <c r="CT2" s="297"/>
      <c r="CU2" s="297"/>
      <c r="CV2" s="302"/>
      <c r="CW2" s="228"/>
    </row>
    <row r="3" spans="1:111" ht="30" customHeight="1" thickBot="1" x14ac:dyDescent="0.3">
      <c r="A3" s="256" t="str">
        <f t="shared" si="0"/>
        <v>Sem Jogador Adicionado</v>
      </c>
      <c r="B3" s="255" t="str">
        <f t="shared" si="1"/>
        <v>VAZIO</v>
      </c>
      <c r="C3" s="254">
        <f t="shared" si="2"/>
        <v>0</v>
      </c>
      <c r="D3" s="254">
        <f t="shared" ref="D3:D12" si="3">C3/90</f>
        <v>0</v>
      </c>
      <c r="E3" s="5">
        <f>IFERROR(SUBSTITUTE(BO3," cm","")/100,0)</f>
        <v>0</v>
      </c>
      <c r="F3" s="24">
        <f>IFERROR(CP3/D3,0)</f>
        <v>0</v>
      </c>
      <c r="G3" s="24">
        <f>IFERROR(CQ3/D3,0)</f>
        <v>0</v>
      </c>
      <c r="H3" s="5">
        <f>IFERROR((CP3-CQ3)/(D3),0)</f>
        <v>0</v>
      </c>
      <c r="I3" s="20">
        <f>IFERROR((G3*1)/F3,0)</f>
        <v>0</v>
      </c>
      <c r="J3" s="371">
        <f>CM3</f>
        <v>0</v>
      </c>
      <c r="K3" s="382">
        <f t="shared" ref="K3:K12" si="4">IFERROR(J3/D3,0)</f>
        <v>0</v>
      </c>
      <c r="L3" s="6">
        <f>CP3</f>
        <v>0</v>
      </c>
      <c r="M3" s="6">
        <f>IFERROR((CP3-CQ3),0)</f>
        <v>0</v>
      </c>
      <c r="N3" s="20">
        <f>IFERROR((M3*1)/CP3,0)</f>
        <v>0</v>
      </c>
      <c r="O3" s="252">
        <f>IFERROR((CH3+BW3+CO3+C3),0)</f>
        <v>0</v>
      </c>
      <c r="P3" s="253">
        <f>IFERROR((O3/D3),0)</f>
        <v>0</v>
      </c>
      <c r="Q3" s="343">
        <f t="shared" ref="Q3:Q12" si="5">IFERROR(R3*D3,0)</f>
        <v>0</v>
      </c>
      <c r="R3" s="345">
        <f t="shared" ref="R3:R12" si="6">CC3</f>
        <v>0</v>
      </c>
      <c r="S3" s="6">
        <f t="shared" ref="S3:S12" si="7">IFERROR(CD3+X3+BX3+BS3,0)</f>
        <v>0</v>
      </c>
      <c r="T3" s="5">
        <f>IFERROR(S3/D3,0)</f>
        <v>0</v>
      </c>
      <c r="U3" s="6">
        <f>CH3</f>
        <v>0</v>
      </c>
      <c r="V3" s="6">
        <f>CI3</f>
        <v>0</v>
      </c>
      <c r="W3" s="21">
        <f>IFERROR((V3*1)/U3,0)</f>
        <v>0</v>
      </c>
      <c r="X3" s="5">
        <f>IFERROR(SUBSTITUTE(CB3,".","," )*1,0)</f>
        <v>0</v>
      </c>
      <c r="Y3" s="5">
        <f>IFERROR(X3/D3,0)</f>
        <v>0</v>
      </c>
      <c r="Z3" s="5">
        <f>IFERROR(VALUE(SUBSTITUTE(CA3,".",","))-(BU3*0.79),0)</f>
        <v>0</v>
      </c>
      <c r="AA3" s="5">
        <f>IFERROR(Z3/D3,0)</f>
        <v>0</v>
      </c>
      <c r="AB3" s="5">
        <f>IFERROR(X3+Z3,0)</f>
        <v>0</v>
      </c>
      <c r="AC3" s="5">
        <f>IFERROR(AB3/D3,0)</f>
        <v>0</v>
      </c>
      <c r="AD3" s="6">
        <f>BW3-BU3</f>
        <v>0</v>
      </c>
      <c r="AE3" s="5">
        <f>IFERROR(AD3/D3,0)</f>
        <v>0</v>
      </c>
      <c r="AF3" s="5">
        <f>IFERROR((BX3-BV3)/(D3-BU3),0)</f>
        <v>0</v>
      </c>
      <c r="AG3" s="20">
        <f>IFERROR((BX3-BV3)/(BW3-BU3),0)</f>
        <v>0</v>
      </c>
      <c r="AH3" s="21">
        <f>IFERROR((BS3-BV3)/(BW3-BU3),0)</f>
        <v>0</v>
      </c>
      <c r="AI3" s="6">
        <f>BS3</f>
        <v>0</v>
      </c>
      <c r="AJ3" s="5">
        <f>IFERROR(AI3/D3,0)</f>
        <v>0</v>
      </c>
      <c r="AK3" s="6">
        <f>BT3</f>
        <v>0</v>
      </c>
      <c r="AL3" s="5">
        <f>IFERROR((AK3/D3),0)</f>
        <v>0</v>
      </c>
      <c r="AM3" s="6">
        <f>AI3+AK3</f>
        <v>0</v>
      </c>
      <c r="AN3" s="5">
        <f>IFERROR(AJ3+AL3,0)</f>
        <v>0</v>
      </c>
      <c r="AO3" s="6">
        <f>IFERROR(BY3,0)</f>
        <v>0</v>
      </c>
      <c r="AP3" s="24">
        <f>IFERROR(AO3/D3,0)</f>
        <v>0</v>
      </c>
      <c r="AQ3" s="6">
        <f>BZ3</f>
        <v>0</v>
      </c>
      <c r="AR3" s="199">
        <f>IFERROR(AQ3/D3,0)</f>
        <v>0</v>
      </c>
      <c r="AS3" s="21">
        <f>IFERROR((AQ3*1)/AO3,0)</f>
        <v>0</v>
      </c>
      <c r="AT3" s="211">
        <f>CU3+CK3+CJ3</f>
        <v>0</v>
      </c>
      <c r="AU3" s="199">
        <f>IFERROR(AT3/D3,0)</f>
        <v>0</v>
      </c>
      <c r="AV3" s="6">
        <f>CV3+CJ3</f>
        <v>0</v>
      </c>
      <c r="AW3" s="5">
        <f>IFERROR(AV3/D3,0)</f>
        <v>0</v>
      </c>
      <c r="AX3" s="21">
        <f>IFERROR(AV3/AT3,0)</f>
        <v>0</v>
      </c>
      <c r="AY3" s="343">
        <f>CK3</f>
        <v>0</v>
      </c>
      <c r="AZ3" s="345">
        <f>IFERROR(AY3/D3,0)</f>
        <v>0</v>
      </c>
      <c r="BA3" s="343">
        <f>CF3-CH3</f>
        <v>0</v>
      </c>
      <c r="BB3" s="343">
        <f>CG3-CI3</f>
        <v>0</v>
      </c>
      <c r="BC3" s="332">
        <f>IFERROR(BB3/BA3,0)</f>
        <v>0</v>
      </c>
      <c r="BD3" s="2">
        <f>CE3</f>
        <v>0</v>
      </c>
      <c r="BE3" s="5">
        <f>IFERROR(BD3/D3,0)</f>
        <v>0</v>
      </c>
      <c r="BF3" s="5">
        <f>IFERROR(VALUE(SUBSTITUTE(CN3," km","")),0)</f>
        <v>0</v>
      </c>
      <c r="BG3" s="5">
        <f>IFERROR((BF3/D3),0)</f>
        <v>0</v>
      </c>
      <c r="BH3" s="2">
        <f>CO3</f>
        <v>0</v>
      </c>
      <c r="BI3" s="5">
        <f>IFERROR(BH3/D3,0)</f>
        <v>0</v>
      </c>
      <c r="BJ3" s="5">
        <f>IFERROR(VALUE(SUBSTITUTE(BR3, ".", ",")),6)</f>
        <v>6</v>
      </c>
      <c r="BK3" s="301"/>
      <c r="BL3" s="297"/>
      <c r="BM3" s="297"/>
      <c r="BN3" s="297"/>
      <c r="BO3" s="297"/>
      <c r="BP3" s="297"/>
      <c r="BQ3" s="297"/>
      <c r="BR3" s="297"/>
      <c r="BS3" s="297"/>
      <c r="BT3" s="297"/>
      <c r="BU3" s="297"/>
      <c r="BV3" s="297"/>
      <c r="BW3" s="297"/>
      <c r="BX3" s="297"/>
      <c r="BY3" s="297"/>
      <c r="BZ3" s="297"/>
      <c r="CA3" s="297"/>
      <c r="CB3" s="297"/>
      <c r="CC3" s="297"/>
      <c r="CD3" s="297"/>
      <c r="CE3" s="297"/>
      <c r="CF3" s="297"/>
      <c r="CG3" s="297"/>
      <c r="CH3" s="297"/>
      <c r="CI3" s="297"/>
      <c r="CJ3" s="297"/>
      <c r="CK3" s="297"/>
      <c r="CL3" s="297"/>
      <c r="CM3" s="297"/>
      <c r="CN3" s="297"/>
      <c r="CO3" s="297"/>
      <c r="CP3" s="297"/>
      <c r="CQ3" s="297"/>
      <c r="CR3" s="297"/>
      <c r="CS3" s="297"/>
      <c r="CT3" s="297"/>
      <c r="CU3" s="297"/>
      <c r="CV3" s="302"/>
      <c r="CW3" s="228"/>
    </row>
    <row r="4" spans="1:111" ht="30" customHeight="1" thickBot="1" x14ac:dyDescent="0.3">
      <c r="A4" s="256" t="str">
        <f t="shared" si="0"/>
        <v>Sem Jogador Adicionado</v>
      </c>
      <c r="B4" s="255" t="str">
        <f t="shared" si="1"/>
        <v>VAZIO</v>
      </c>
      <c r="C4" s="254">
        <f t="shared" si="2"/>
        <v>0</v>
      </c>
      <c r="D4" s="254">
        <f t="shared" si="3"/>
        <v>0</v>
      </c>
      <c r="E4" s="5">
        <f>IFERROR(SUBSTITUTE(BO4," cm","")/100,0)</f>
        <v>0</v>
      </c>
      <c r="F4" s="24">
        <f>IFERROR(CP4/D4,0)</f>
        <v>0</v>
      </c>
      <c r="G4" s="24">
        <f>IFERROR(CQ4/D4,0)</f>
        <v>0</v>
      </c>
      <c r="H4" s="5">
        <f>IFERROR((CP4-CQ4)/(D4),0)</f>
        <v>0</v>
      </c>
      <c r="I4" s="20">
        <f>IFERROR((G4*1)/F4,0)</f>
        <v>0</v>
      </c>
      <c r="J4" s="371">
        <f>CM4</f>
        <v>0</v>
      </c>
      <c r="K4" s="382">
        <f t="shared" si="4"/>
        <v>0</v>
      </c>
      <c r="L4" s="6">
        <f>CP4</f>
        <v>0</v>
      </c>
      <c r="M4" s="6">
        <f>IFERROR((CP4-CQ4),0)</f>
        <v>0</v>
      </c>
      <c r="N4" s="20">
        <f>IFERROR((M4*1)/CP4,0)</f>
        <v>0</v>
      </c>
      <c r="O4" s="252">
        <f>IFERROR((CH4+BW4+CO4+C4),0)</f>
        <v>0</v>
      </c>
      <c r="P4" s="253">
        <f>IFERROR((O4/D4),0)</f>
        <v>0</v>
      </c>
      <c r="Q4" s="343">
        <f t="shared" si="5"/>
        <v>0</v>
      </c>
      <c r="R4" s="345">
        <f t="shared" si="6"/>
        <v>0</v>
      </c>
      <c r="S4" s="6">
        <f t="shared" si="7"/>
        <v>0</v>
      </c>
      <c r="T4" s="5">
        <f>IFERROR(S4/D4,0)</f>
        <v>0</v>
      </c>
      <c r="U4" s="6">
        <f>CH4</f>
        <v>0</v>
      </c>
      <c r="V4" s="6">
        <f>CI4</f>
        <v>0</v>
      </c>
      <c r="W4" s="21">
        <f>IFERROR((V4*1)/U4,0)</f>
        <v>0</v>
      </c>
      <c r="X4" s="5">
        <f>IFERROR(SUBSTITUTE(CB4,".","," )*1,0)</f>
        <v>0</v>
      </c>
      <c r="Y4" s="5">
        <f>IFERROR(X4/D4,0)</f>
        <v>0</v>
      </c>
      <c r="Z4" s="5">
        <f>IFERROR(VALUE(SUBSTITUTE(CA4,".",","))-(BU4*0.79),0)</f>
        <v>0</v>
      </c>
      <c r="AA4" s="5">
        <f>IFERROR(Z4/D4,0)</f>
        <v>0</v>
      </c>
      <c r="AB4" s="5">
        <f>IFERROR(X4+Z4,0)</f>
        <v>0</v>
      </c>
      <c r="AC4" s="5">
        <f>IFERROR(AB4/D4,0)</f>
        <v>0</v>
      </c>
      <c r="AD4" s="6">
        <f>BW4-BU4</f>
        <v>0</v>
      </c>
      <c r="AE4" s="5">
        <f>IFERROR(AD4/D4,0)</f>
        <v>0</v>
      </c>
      <c r="AF4" s="5">
        <f>IFERROR((BX4-BV4)/(D4-BU4),0)</f>
        <v>0</v>
      </c>
      <c r="AG4" s="20">
        <f>IFERROR((BX4-BV4)/(BW4-BU4),0)</f>
        <v>0</v>
      </c>
      <c r="AH4" s="21">
        <f>IFERROR((BS4-BV4)/(BW4-BU4),0)</f>
        <v>0</v>
      </c>
      <c r="AI4" s="6">
        <f>BS4</f>
        <v>0</v>
      </c>
      <c r="AJ4" s="5">
        <f>IFERROR(AI4/D4,0)</f>
        <v>0</v>
      </c>
      <c r="AK4" s="6">
        <f>BT4</f>
        <v>0</v>
      </c>
      <c r="AL4" s="5">
        <f>IFERROR((AK4/D4),0)</f>
        <v>0</v>
      </c>
      <c r="AM4" s="6">
        <f>AI4+AK4</f>
        <v>0</v>
      </c>
      <c r="AN4" s="5">
        <f>IFERROR(AJ4+AL4,0)</f>
        <v>0</v>
      </c>
      <c r="AO4" s="6">
        <f>IFERROR(BY4,0)</f>
        <v>0</v>
      </c>
      <c r="AP4" s="24">
        <f>IFERROR(AO4/D4,0)</f>
        <v>0</v>
      </c>
      <c r="AQ4" s="6">
        <f>BZ4</f>
        <v>0</v>
      </c>
      <c r="AR4" s="199">
        <f>IFERROR(AQ4/D4,0)</f>
        <v>0</v>
      </c>
      <c r="AS4" s="21">
        <f>IFERROR((AQ4*1)/AO4,0)</f>
        <v>0</v>
      </c>
      <c r="AT4" s="211">
        <f>CU4+CK4+CJ4</f>
        <v>0</v>
      </c>
      <c r="AU4" s="199">
        <f>IFERROR(AT4/D4,0)</f>
        <v>0</v>
      </c>
      <c r="AV4" s="6">
        <f>CV4+CJ4</f>
        <v>0</v>
      </c>
      <c r="AW4" s="5">
        <f>IFERROR(AV4/D4,0)</f>
        <v>0</v>
      </c>
      <c r="AX4" s="21">
        <f>IFERROR(AV4/AT4,0)</f>
        <v>0</v>
      </c>
      <c r="AY4" s="343">
        <f>CK4</f>
        <v>0</v>
      </c>
      <c r="AZ4" s="345">
        <f>IFERROR(AY4/D4,0)</f>
        <v>0</v>
      </c>
      <c r="BA4" s="343">
        <f>CF4-CH4</f>
        <v>0</v>
      </c>
      <c r="BB4" s="343">
        <f>CG4-CI4</f>
        <v>0</v>
      </c>
      <c r="BC4" s="332">
        <f>IFERROR(BB4/BA4,0)</f>
        <v>0</v>
      </c>
      <c r="BD4" s="2">
        <f>CE4</f>
        <v>0</v>
      </c>
      <c r="BE4" s="5">
        <f>IFERROR(BD4/D4,0)</f>
        <v>0</v>
      </c>
      <c r="BF4" s="5">
        <f>IFERROR(VALUE(SUBSTITUTE(CN4," km","")),0)</f>
        <v>0</v>
      </c>
      <c r="BG4" s="5">
        <f>IFERROR((BF4/D4),0)</f>
        <v>0</v>
      </c>
      <c r="BH4" s="2">
        <f>CO4</f>
        <v>0</v>
      </c>
      <c r="BI4" s="5">
        <f>IFERROR(BH4/D4,0)</f>
        <v>0</v>
      </c>
      <c r="BJ4" s="5">
        <f>IFERROR(VALUE(SUBSTITUTE(BR4, ".", ",")),6)</f>
        <v>6</v>
      </c>
      <c r="BK4" s="301"/>
      <c r="BL4" s="297"/>
      <c r="BM4" s="297"/>
      <c r="BN4" s="297"/>
      <c r="BO4" s="297"/>
      <c r="BP4" s="297"/>
      <c r="BQ4" s="297"/>
      <c r="BR4" s="297"/>
      <c r="BS4" s="297"/>
      <c r="BT4" s="297"/>
      <c r="BU4" s="297"/>
      <c r="BV4" s="297"/>
      <c r="BW4" s="297"/>
      <c r="BX4" s="297"/>
      <c r="BY4" s="297"/>
      <c r="BZ4" s="297"/>
      <c r="CA4" s="297"/>
      <c r="CB4" s="297"/>
      <c r="CC4" s="297"/>
      <c r="CD4" s="297"/>
      <c r="CE4" s="297"/>
      <c r="CF4" s="297"/>
      <c r="CG4" s="297"/>
      <c r="CH4" s="297"/>
      <c r="CI4" s="297"/>
      <c r="CJ4" s="297"/>
      <c r="CK4" s="297"/>
      <c r="CL4" s="297"/>
      <c r="CM4" s="297"/>
      <c r="CN4" s="297"/>
      <c r="CO4" s="297"/>
      <c r="CP4" s="297"/>
      <c r="CQ4" s="297"/>
      <c r="CR4" s="297"/>
      <c r="CS4" s="297"/>
      <c r="CT4" s="297"/>
      <c r="CU4" s="297"/>
      <c r="CV4" s="302"/>
      <c r="CW4" s="228"/>
    </row>
    <row r="5" spans="1:111" ht="30" customHeight="1" thickBot="1" x14ac:dyDescent="0.3">
      <c r="A5" s="256" t="str">
        <f t="shared" si="0"/>
        <v>Sem Jogador Adicionado</v>
      </c>
      <c r="B5" s="255" t="str">
        <f t="shared" si="1"/>
        <v>VAZIO</v>
      </c>
      <c r="C5" s="254">
        <f t="shared" si="2"/>
        <v>0</v>
      </c>
      <c r="D5" s="254">
        <f t="shared" si="3"/>
        <v>0</v>
      </c>
      <c r="E5" s="5">
        <f>IFERROR(SUBSTITUTE(BO5," cm","")/100,0)</f>
        <v>0</v>
      </c>
      <c r="F5" s="24">
        <f>IFERROR(CP5/D5,0)</f>
        <v>0</v>
      </c>
      <c r="G5" s="24">
        <f>IFERROR(CQ5/D5,0)</f>
        <v>0</v>
      </c>
      <c r="H5" s="5">
        <f>IFERROR((CP5-CQ5)/(D5),0)</f>
        <v>0</v>
      </c>
      <c r="I5" s="20">
        <f>IFERROR((G5*1)/F5,0)</f>
        <v>0</v>
      </c>
      <c r="J5" s="371">
        <f>CM5</f>
        <v>0</v>
      </c>
      <c r="K5" s="382">
        <f t="shared" si="4"/>
        <v>0</v>
      </c>
      <c r="L5" s="6">
        <f>CP5</f>
        <v>0</v>
      </c>
      <c r="M5" s="6">
        <f>IFERROR((CP5-CQ5),0)</f>
        <v>0</v>
      </c>
      <c r="N5" s="20">
        <f>IFERROR((M5*1)/CP5,0)</f>
        <v>0</v>
      </c>
      <c r="O5" s="252">
        <f>IFERROR((CH5+BW5+CO5+C5),0)</f>
        <v>0</v>
      </c>
      <c r="P5" s="253">
        <f>IFERROR((O5/D5),0)</f>
        <v>0</v>
      </c>
      <c r="Q5" s="343">
        <f t="shared" si="5"/>
        <v>0</v>
      </c>
      <c r="R5" s="345">
        <f t="shared" si="6"/>
        <v>0</v>
      </c>
      <c r="S5" s="6">
        <f t="shared" si="7"/>
        <v>0</v>
      </c>
      <c r="T5" s="5">
        <f>IFERROR(S5/D5,0)</f>
        <v>0</v>
      </c>
      <c r="U5" s="6">
        <f>CH5</f>
        <v>0</v>
      </c>
      <c r="V5" s="6">
        <f>CI5</f>
        <v>0</v>
      </c>
      <c r="W5" s="21">
        <f>IFERROR((V5*1)/U5,0)</f>
        <v>0</v>
      </c>
      <c r="X5" s="5">
        <f>IFERROR(SUBSTITUTE(CB5,".","," )*1,0)</f>
        <v>0</v>
      </c>
      <c r="Y5" s="5">
        <f>IFERROR(X5/D5,0)</f>
        <v>0</v>
      </c>
      <c r="Z5" s="5">
        <f>IFERROR(VALUE(SUBSTITUTE(CA5,".",","))-(BU5*0.79),0)</f>
        <v>0</v>
      </c>
      <c r="AA5" s="5">
        <f>IFERROR(Z5/D5,0)</f>
        <v>0</v>
      </c>
      <c r="AB5" s="5">
        <f>IFERROR(X5+Z5,0)</f>
        <v>0</v>
      </c>
      <c r="AC5" s="5">
        <f>IFERROR(AB5/D5,0)</f>
        <v>0</v>
      </c>
      <c r="AD5" s="6">
        <f>BW5-BU5</f>
        <v>0</v>
      </c>
      <c r="AE5" s="5">
        <f>IFERROR(AD5/D5,0)</f>
        <v>0</v>
      </c>
      <c r="AF5" s="5">
        <f>IFERROR((BX5-BV5)/(D5-BU5),0)</f>
        <v>0</v>
      </c>
      <c r="AG5" s="20">
        <f>IFERROR((BX5-BV5)/(BW5-BU5),0)</f>
        <v>0</v>
      </c>
      <c r="AH5" s="21">
        <f>IFERROR((BS5-BV5)/(BW5-BU5),0)</f>
        <v>0</v>
      </c>
      <c r="AI5" s="6">
        <f>BS5</f>
        <v>0</v>
      </c>
      <c r="AJ5" s="5">
        <f>IFERROR(AI5/D5,0)</f>
        <v>0</v>
      </c>
      <c r="AK5" s="6">
        <f>BT5</f>
        <v>0</v>
      </c>
      <c r="AL5" s="5">
        <f>IFERROR((AK5/D5),0)</f>
        <v>0</v>
      </c>
      <c r="AM5" s="6">
        <f>AI5+AK5</f>
        <v>0</v>
      </c>
      <c r="AN5" s="5">
        <f>IFERROR(AJ5+AL5,0)</f>
        <v>0</v>
      </c>
      <c r="AO5" s="6">
        <f>IFERROR(BY5,0)</f>
        <v>0</v>
      </c>
      <c r="AP5" s="24">
        <f>IFERROR(AO5/D5,0)</f>
        <v>0</v>
      </c>
      <c r="AQ5" s="6">
        <f>BZ5</f>
        <v>0</v>
      </c>
      <c r="AR5" s="199">
        <f>IFERROR(AQ5/D5,0)</f>
        <v>0</v>
      </c>
      <c r="AS5" s="21">
        <f>IFERROR((AQ5*1)/AO5,0)</f>
        <v>0</v>
      </c>
      <c r="AT5" s="211">
        <f>CU5+CK5+CJ5</f>
        <v>0</v>
      </c>
      <c r="AU5" s="199">
        <f>IFERROR(AT5/D5,0)</f>
        <v>0</v>
      </c>
      <c r="AV5" s="6">
        <f>CV5+CJ5</f>
        <v>0</v>
      </c>
      <c r="AW5" s="5">
        <f>IFERROR(AV5/D5,0)</f>
        <v>0</v>
      </c>
      <c r="AX5" s="21">
        <f>IFERROR(AV5/AT5,0)</f>
        <v>0</v>
      </c>
      <c r="AY5" s="343">
        <f>CK5</f>
        <v>0</v>
      </c>
      <c r="AZ5" s="345">
        <f>IFERROR(AY5/D5,0)</f>
        <v>0</v>
      </c>
      <c r="BA5" s="343">
        <f>CF5-CH5</f>
        <v>0</v>
      </c>
      <c r="BB5" s="343">
        <f>CG5-CI5</f>
        <v>0</v>
      </c>
      <c r="BC5" s="332">
        <f>IFERROR(BB5/BA5,0)</f>
        <v>0</v>
      </c>
      <c r="BD5" s="2">
        <f>CE5</f>
        <v>0</v>
      </c>
      <c r="BE5" s="5">
        <f>IFERROR(BD5/D5,0)</f>
        <v>0</v>
      </c>
      <c r="BF5" s="5">
        <f>IFERROR(VALUE(SUBSTITUTE(CN5," km","")),0)</f>
        <v>0</v>
      </c>
      <c r="BG5" s="5">
        <f>IFERROR((BF5/D5),0)</f>
        <v>0</v>
      </c>
      <c r="BH5" s="2">
        <f>CO5</f>
        <v>0</v>
      </c>
      <c r="BI5" s="5">
        <f>IFERROR(BH5/D5,0)</f>
        <v>0</v>
      </c>
      <c r="BJ5" s="5">
        <f>IFERROR(VALUE(SUBSTITUTE(BR5, ".", ",")),6)</f>
        <v>6</v>
      </c>
      <c r="BK5" s="301"/>
      <c r="BL5" s="297"/>
      <c r="BM5" s="297"/>
      <c r="BN5" s="297"/>
      <c r="BO5" s="297"/>
      <c r="BP5" s="297"/>
      <c r="BQ5" s="297"/>
      <c r="BR5" s="297"/>
      <c r="BS5" s="297"/>
      <c r="BT5" s="297"/>
      <c r="BU5" s="297"/>
      <c r="BV5" s="297"/>
      <c r="BW5" s="297"/>
      <c r="BX5" s="297"/>
      <c r="BY5" s="297"/>
      <c r="BZ5" s="297"/>
      <c r="CA5" s="297"/>
      <c r="CB5" s="297"/>
      <c r="CC5" s="297"/>
      <c r="CD5" s="297"/>
      <c r="CE5" s="297"/>
      <c r="CF5" s="297"/>
      <c r="CG5" s="297"/>
      <c r="CH5" s="297"/>
      <c r="CI5" s="297"/>
      <c r="CJ5" s="297"/>
      <c r="CK5" s="297"/>
      <c r="CL5" s="297"/>
      <c r="CM5" s="297"/>
      <c r="CN5" s="297"/>
      <c r="CO5" s="297"/>
      <c r="CP5" s="297"/>
      <c r="CQ5" s="297"/>
      <c r="CR5" s="297"/>
      <c r="CS5" s="297"/>
      <c r="CT5" s="297"/>
      <c r="CU5" s="297"/>
      <c r="CV5" s="302"/>
      <c r="CW5" s="228"/>
    </row>
    <row r="6" spans="1:111" ht="30" customHeight="1" thickBot="1" x14ac:dyDescent="0.3">
      <c r="A6" s="256" t="str">
        <f t="shared" si="0"/>
        <v>Sem Jogador Adicionado</v>
      </c>
      <c r="B6" s="255" t="str">
        <f t="shared" si="1"/>
        <v>VAZIO</v>
      </c>
      <c r="C6" s="254">
        <f t="shared" si="2"/>
        <v>0</v>
      </c>
      <c r="D6" s="254">
        <f t="shared" si="3"/>
        <v>0</v>
      </c>
      <c r="E6" s="5">
        <f>IFERROR(SUBSTITUTE(BO6," cm","")/100,0)</f>
        <v>0</v>
      </c>
      <c r="F6" s="24">
        <f>IFERROR(CP6/D6,0)</f>
        <v>0</v>
      </c>
      <c r="G6" s="24">
        <f>IFERROR(CQ6/D6,0)</f>
        <v>0</v>
      </c>
      <c r="H6" s="5">
        <f>IFERROR((CP6-CQ6)/(D6),0)</f>
        <v>0</v>
      </c>
      <c r="I6" s="20">
        <f>IFERROR((G6*1)/F6,0)</f>
        <v>0</v>
      </c>
      <c r="J6" s="371">
        <f>CM6</f>
        <v>0</v>
      </c>
      <c r="K6" s="382">
        <f t="shared" si="4"/>
        <v>0</v>
      </c>
      <c r="L6" s="6">
        <f>CP6</f>
        <v>0</v>
      </c>
      <c r="M6" s="6">
        <f>IFERROR((CP6-CQ6),0)</f>
        <v>0</v>
      </c>
      <c r="N6" s="20">
        <f>IFERROR((M6*1)/CP6,0)</f>
        <v>0</v>
      </c>
      <c r="O6" s="252">
        <f>IFERROR((CH6+BW6+CO6+C6),0)</f>
        <v>0</v>
      </c>
      <c r="P6" s="253">
        <f>IFERROR((O6/D6),0)</f>
        <v>0</v>
      </c>
      <c r="Q6" s="343">
        <f t="shared" si="5"/>
        <v>0</v>
      </c>
      <c r="R6" s="345">
        <f t="shared" si="6"/>
        <v>0</v>
      </c>
      <c r="S6" s="6">
        <f t="shared" si="7"/>
        <v>0</v>
      </c>
      <c r="T6" s="5">
        <f>IFERROR(S6/D6,0)</f>
        <v>0</v>
      </c>
      <c r="U6" s="6">
        <f>CH6</f>
        <v>0</v>
      </c>
      <c r="V6" s="6">
        <f>CI6</f>
        <v>0</v>
      </c>
      <c r="W6" s="21">
        <f>IFERROR((V6*1)/U6,0)</f>
        <v>0</v>
      </c>
      <c r="X6" s="5">
        <f>IFERROR(SUBSTITUTE(CB6,".","," )*1,0)</f>
        <v>0</v>
      </c>
      <c r="Y6" s="5">
        <f>IFERROR(X6/D6,0)</f>
        <v>0</v>
      </c>
      <c r="Z6" s="5">
        <f>IFERROR(VALUE(SUBSTITUTE(CA6,".",","))-(BU6*0.79),0)</f>
        <v>0</v>
      </c>
      <c r="AA6" s="5">
        <f>IFERROR(Z6/D6,0)</f>
        <v>0</v>
      </c>
      <c r="AB6" s="5">
        <f>IFERROR(X6+Z6,0)</f>
        <v>0</v>
      </c>
      <c r="AC6" s="5">
        <f>IFERROR(AB6/D6,0)</f>
        <v>0</v>
      </c>
      <c r="AD6" s="6">
        <f>BW6-BU6</f>
        <v>0</v>
      </c>
      <c r="AE6" s="5">
        <f>IFERROR(AD6/D6,0)</f>
        <v>0</v>
      </c>
      <c r="AF6" s="5">
        <f>IFERROR((BX6-BV6)/(D6-BU6),0)</f>
        <v>0</v>
      </c>
      <c r="AG6" s="20">
        <f>IFERROR((BX6-BV6)/(BW6-BU6),0)</f>
        <v>0</v>
      </c>
      <c r="AH6" s="21">
        <f>IFERROR((BS6-BV6)/(BW6-BU6),0)</f>
        <v>0</v>
      </c>
      <c r="AI6" s="6">
        <f>BS6</f>
        <v>0</v>
      </c>
      <c r="AJ6" s="5">
        <f>IFERROR(AI6/D6,0)</f>
        <v>0</v>
      </c>
      <c r="AK6" s="6">
        <f>BT6</f>
        <v>0</v>
      </c>
      <c r="AL6" s="5">
        <f>IFERROR((AK6/D6),0)</f>
        <v>0</v>
      </c>
      <c r="AM6" s="6">
        <f>AI6+AK6</f>
        <v>0</v>
      </c>
      <c r="AN6" s="5">
        <f>IFERROR(AJ6+AL6,0)</f>
        <v>0</v>
      </c>
      <c r="AO6" s="6">
        <f>IFERROR(BY6,0)</f>
        <v>0</v>
      </c>
      <c r="AP6" s="24">
        <f>IFERROR(AO6/D6,0)</f>
        <v>0</v>
      </c>
      <c r="AQ6" s="6">
        <f>BZ6</f>
        <v>0</v>
      </c>
      <c r="AR6" s="199">
        <f>IFERROR(AQ6/D6,0)</f>
        <v>0</v>
      </c>
      <c r="AS6" s="21">
        <f>IFERROR((AQ6*1)/AO6,0)</f>
        <v>0</v>
      </c>
      <c r="AT6" s="211">
        <f>CU6+CK6+CJ6</f>
        <v>0</v>
      </c>
      <c r="AU6" s="199">
        <f>IFERROR(AT6/D6,0)</f>
        <v>0</v>
      </c>
      <c r="AV6" s="6">
        <f>CV6+CJ6</f>
        <v>0</v>
      </c>
      <c r="AW6" s="5">
        <f>IFERROR(AV6/D6,0)</f>
        <v>0</v>
      </c>
      <c r="AX6" s="21">
        <f>IFERROR(AV6/AT6,0)</f>
        <v>0</v>
      </c>
      <c r="AY6" s="343">
        <f>CK6</f>
        <v>0</v>
      </c>
      <c r="AZ6" s="345">
        <f>IFERROR(AY6/D6,0)</f>
        <v>0</v>
      </c>
      <c r="BA6" s="343">
        <f>CF6-CH6</f>
        <v>0</v>
      </c>
      <c r="BB6" s="343">
        <f>CG6-CI6</f>
        <v>0</v>
      </c>
      <c r="BC6" s="332">
        <f>IFERROR(BB6/BA6,0)</f>
        <v>0</v>
      </c>
      <c r="BD6" s="2">
        <f>CE6</f>
        <v>0</v>
      </c>
      <c r="BE6" s="5">
        <f>IFERROR(BD6/D6,0)</f>
        <v>0</v>
      </c>
      <c r="BF6" s="5">
        <f>IFERROR(VALUE(SUBSTITUTE(CN6," km","")),0)</f>
        <v>0</v>
      </c>
      <c r="BG6" s="5">
        <f>IFERROR((BF6/D6),0)</f>
        <v>0</v>
      </c>
      <c r="BH6" s="2">
        <f>CO6</f>
        <v>0</v>
      </c>
      <c r="BI6" s="5">
        <f>IFERROR(BH6/D6,0)</f>
        <v>0</v>
      </c>
      <c r="BJ6" s="5">
        <f>IFERROR(VALUE(SUBSTITUTE(BR6, ".", ",")),6)</f>
        <v>6</v>
      </c>
      <c r="BK6" s="299"/>
      <c r="BL6" s="295"/>
      <c r="BM6" s="295"/>
      <c r="BN6" s="295"/>
      <c r="BO6" s="295"/>
      <c r="BP6" s="295"/>
      <c r="BQ6" s="295"/>
      <c r="BR6" s="295"/>
      <c r="BS6" s="295"/>
      <c r="BT6" s="295"/>
      <c r="BU6" s="295"/>
      <c r="BV6" s="295"/>
      <c r="BW6" s="295"/>
      <c r="BX6" s="295"/>
      <c r="BY6" s="295"/>
      <c r="BZ6" s="295"/>
      <c r="CA6" s="295"/>
      <c r="CB6" s="295"/>
      <c r="CC6" s="295"/>
      <c r="CD6" s="295"/>
      <c r="CE6" s="295"/>
      <c r="CF6" s="295"/>
      <c r="CG6" s="295"/>
      <c r="CH6" s="295"/>
      <c r="CI6" s="295"/>
      <c r="CJ6" s="295"/>
      <c r="CK6" s="295"/>
      <c r="CL6" s="295"/>
      <c r="CM6" s="295"/>
      <c r="CN6" s="295"/>
      <c r="CO6" s="295"/>
      <c r="CP6" s="295"/>
      <c r="CQ6" s="295"/>
      <c r="CR6" s="295"/>
      <c r="CS6" s="295"/>
      <c r="CT6" s="295"/>
      <c r="CU6" s="295"/>
      <c r="CV6" s="300"/>
      <c r="CW6" s="228"/>
    </row>
    <row r="7" spans="1:111" ht="30" customHeight="1" thickBot="1" x14ac:dyDescent="0.3">
      <c r="A7" s="256" t="str">
        <f t="shared" si="0"/>
        <v>Sem Jogador Adicionado</v>
      </c>
      <c r="B7" s="255" t="str">
        <f t="shared" si="1"/>
        <v>VAZIO</v>
      </c>
      <c r="C7" s="254">
        <f t="shared" si="2"/>
        <v>0</v>
      </c>
      <c r="D7" s="254">
        <f t="shared" si="3"/>
        <v>0</v>
      </c>
      <c r="E7" s="5">
        <f>IFERROR(SUBSTITUTE(BO7," cm","")/100,0)</f>
        <v>0</v>
      </c>
      <c r="F7" s="24">
        <f>IFERROR(CP7/D7,0)</f>
        <v>0</v>
      </c>
      <c r="G7" s="24">
        <f>IFERROR(CQ7/D7,0)</f>
        <v>0</v>
      </c>
      <c r="H7" s="5">
        <f>IFERROR((CP7-CQ7)/(D7),0)</f>
        <v>0</v>
      </c>
      <c r="I7" s="20">
        <f>IFERROR((G7*1)/F7,0)</f>
        <v>0</v>
      </c>
      <c r="J7" s="371">
        <f>CM7</f>
        <v>0</v>
      </c>
      <c r="K7" s="382">
        <f t="shared" si="4"/>
        <v>0</v>
      </c>
      <c r="L7" s="6">
        <f>CP7</f>
        <v>0</v>
      </c>
      <c r="M7" s="6">
        <f>IFERROR((CP7-CQ7),0)</f>
        <v>0</v>
      </c>
      <c r="N7" s="20">
        <f>IFERROR((M7*1)/CP7,0)</f>
        <v>0</v>
      </c>
      <c r="O7" s="252">
        <f>IFERROR((CH7+BW7+CO7+C7),0)</f>
        <v>0</v>
      </c>
      <c r="P7" s="253">
        <f>IFERROR((O7/D7),0)</f>
        <v>0</v>
      </c>
      <c r="Q7" s="343">
        <f t="shared" si="5"/>
        <v>0</v>
      </c>
      <c r="R7" s="345">
        <f t="shared" si="6"/>
        <v>0</v>
      </c>
      <c r="S7" s="6">
        <f t="shared" si="7"/>
        <v>0</v>
      </c>
      <c r="T7" s="5">
        <f>IFERROR(S7/D7,0)</f>
        <v>0</v>
      </c>
      <c r="U7" s="6">
        <f>CH7</f>
        <v>0</v>
      </c>
      <c r="V7" s="6">
        <f>CI7</f>
        <v>0</v>
      </c>
      <c r="W7" s="21">
        <f>IFERROR((V7*1)/U7,0)</f>
        <v>0</v>
      </c>
      <c r="X7" s="5">
        <f>IFERROR(SUBSTITUTE(CB7,".","," )*1,0)</f>
        <v>0</v>
      </c>
      <c r="Y7" s="5">
        <f>IFERROR(X7/D7,0)</f>
        <v>0</v>
      </c>
      <c r="Z7" s="5">
        <f>IFERROR(VALUE(SUBSTITUTE(CA7,".",","))-(BU7*0.79),0)</f>
        <v>0</v>
      </c>
      <c r="AA7" s="5">
        <f>IFERROR(Z7/D7,0)</f>
        <v>0</v>
      </c>
      <c r="AB7" s="5">
        <f>IFERROR(X7+Z7,0)</f>
        <v>0</v>
      </c>
      <c r="AC7" s="5">
        <f>IFERROR(AB7/D7,0)</f>
        <v>0</v>
      </c>
      <c r="AD7" s="6">
        <f>BW7-BU7</f>
        <v>0</v>
      </c>
      <c r="AE7" s="5">
        <f>IFERROR(AD7/D7,0)</f>
        <v>0</v>
      </c>
      <c r="AF7" s="5">
        <f>IFERROR((BX7-BV7)/(D7-BU7),0)</f>
        <v>0</v>
      </c>
      <c r="AG7" s="20">
        <f>IFERROR((BX7-BV7)/(BW7-BU7),0)</f>
        <v>0</v>
      </c>
      <c r="AH7" s="21">
        <f>IFERROR((BS7-BV7)/(BW7-BU7),0)</f>
        <v>0</v>
      </c>
      <c r="AI7" s="6">
        <f>BS7</f>
        <v>0</v>
      </c>
      <c r="AJ7" s="5">
        <f>IFERROR(AI7/D7,0)</f>
        <v>0</v>
      </c>
      <c r="AK7" s="6">
        <f>BT7</f>
        <v>0</v>
      </c>
      <c r="AL7" s="5">
        <f>IFERROR((AK7/D7),0)</f>
        <v>0</v>
      </c>
      <c r="AM7" s="6">
        <f>AI7+AK7</f>
        <v>0</v>
      </c>
      <c r="AN7" s="5">
        <f>IFERROR(AJ7+AL7,0)</f>
        <v>0</v>
      </c>
      <c r="AO7" s="6">
        <f>IFERROR(BY7,0)</f>
        <v>0</v>
      </c>
      <c r="AP7" s="24">
        <f>IFERROR(AO7/D7,0)</f>
        <v>0</v>
      </c>
      <c r="AQ7" s="6">
        <f>BZ7</f>
        <v>0</v>
      </c>
      <c r="AR7" s="199">
        <f>IFERROR(AQ7/D7,0)</f>
        <v>0</v>
      </c>
      <c r="AS7" s="21">
        <f>IFERROR((AQ7*1)/AO7,0)</f>
        <v>0</v>
      </c>
      <c r="AT7" s="211">
        <f>CU7+CK7+CJ7</f>
        <v>0</v>
      </c>
      <c r="AU7" s="199">
        <f>IFERROR(AT7/D7,0)</f>
        <v>0</v>
      </c>
      <c r="AV7" s="6">
        <f>CV7+CJ7</f>
        <v>0</v>
      </c>
      <c r="AW7" s="5">
        <f>IFERROR(AV7/D7,0)</f>
        <v>0</v>
      </c>
      <c r="AX7" s="21">
        <f>IFERROR(AV7/AT7,0)</f>
        <v>0</v>
      </c>
      <c r="AY7" s="343">
        <f>CK7</f>
        <v>0</v>
      </c>
      <c r="AZ7" s="345">
        <f>IFERROR(AY7/D7,0)</f>
        <v>0</v>
      </c>
      <c r="BA7" s="343">
        <f>CF7-CH7</f>
        <v>0</v>
      </c>
      <c r="BB7" s="343">
        <f>CG7-CI7</f>
        <v>0</v>
      </c>
      <c r="BC7" s="332">
        <f>IFERROR(BB7/BA7,0)</f>
        <v>0</v>
      </c>
      <c r="BD7" s="2">
        <f>CE7</f>
        <v>0</v>
      </c>
      <c r="BE7" s="5">
        <f>IFERROR(BD7/D7,0)</f>
        <v>0</v>
      </c>
      <c r="BF7" s="5">
        <f>IFERROR(VALUE(SUBSTITUTE(CN7," km","")),0)</f>
        <v>0</v>
      </c>
      <c r="BG7" s="5">
        <f>IFERROR((BF7/D7),0)</f>
        <v>0</v>
      </c>
      <c r="BH7" s="2">
        <f>CO7</f>
        <v>0</v>
      </c>
      <c r="BI7" s="5">
        <f>IFERROR(BH7/D7,0)</f>
        <v>0</v>
      </c>
      <c r="BJ7" s="5">
        <f>IFERROR(VALUE(SUBSTITUTE(BR7, ".", ",")),6)</f>
        <v>6</v>
      </c>
      <c r="BK7" s="299"/>
      <c r="BL7" s="295"/>
      <c r="BM7" s="295"/>
      <c r="BN7" s="295"/>
      <c r="BO7" s="295"/>
      <c r="BP7" s="295"/>
      <c r="BQ7" s="295"/>
      <c r="BR7" s="295"/>
      <c r="BS7" s="295"/>
      <c r="BT7" s="295"/>
      <c r="BU7" s="295"/>
      <c r="BV7" s="295"/>
      <c r="BW7" s="295"/>
      <c r="BX7" s="295"/>
      <c r="BY7" s="295"/>
      <c r="BZ7" s="295"/>
      <c r="CA7" s="295"/>
      <c r="CB7" s="295"/>
      <c r="CC7" s="295"/>
      <c r="CD7" s="295"/>
      <c r="CE7" s="295"/>
      <c r="CF7" s="295"/>
      <c r="CG7" s="295"/>
      <c r="CH7" s="295"/>
      <c r="CI7" s="295"/>
      <c r="CJ7" s="295"/>
      <c r="CK7" s="295"/>
      <c r="CL7" s="295"/>
      <c r="CM7" s="295"/>
      <c r="CN7" s="295"/>
      <c r="CO7" s="295"/>
      <c r="CP7" s="295"/>
      <c r="CQ7" s="295"/>
      <c r="CR7" s="295"/>
      <c r="CS7" s="295"/>
      <c r="CT7" s="295"/>
      <c r="CU7" s="295"/>
      <c r="CV7" s="300"/>
      <c r="CW7" s="228"/>
    </row>
    <row r="8" spans="1:111" ht="30" customHeight="1" thickBot="1" x14ac:dyDescent="0.3">
      <c r="A8" s="256" t="str">
        <f t="shared" si="0"/>
        <v>Sem Jogador Adicionado</v>
      </c>
      <c r="B8" s="255" t="str">
        <f t="shared" si="1"/>
        <v>VAZIO</v>
      </c>
      <c r="C8" s="254">
        <f t="shared" si="2"/>
        <v>0</v>
      </c>
      <c r="D8" s="254">
        <f t="shared" si="3"/>
        <v>0</v>
      </c>
      <c r="E8" s="5">
        <f>IFERROR(SUBSTITUTE(BO8," cm","")/100,0)</f>
        <v>0</v>
      </c>
      <c r="F8" s="24">
        <f>IFERROR(CP8/D8,0)</f>
        <v>0</v>
      </c>
      <c r="G8" s="24">
        <f>IFERROR(CQ8/D8,0)</f>
        <v>0</v>
      </c>
      <c r="H8" s="5">
        <f>IFERROR((CP8-CQ8)/(D8),0)</f>
        <v>0</v>
      </c>
      <c r="I8" s="20">
        <f>IFERROR((G8*1)/F8,0)</f>
        <v>0</v>
      </c>
      <c r="J8" s="371">
        <f>CM8</f>
        <v>0</v>
      </c>
      <c r="K8" s="382">
        <f t="shared" si="4"/>
        <v>0</v>
      </c>
      <c r="L8" s="6">
        <f>CP8</f>
        <v>0</v>
      </c>
      <c r="M8" s="6">
        <f>IFERROR((CP8-CQ8),0)</f>
        <v>0</v>
      </c>
      <c r="N8" s="20">
        <f>IFERROR((M8*1)/CP8,0)</f>
        <v>0</v>
      </c>
      <c r="O8" s="252">
        <f>IFERROR((CH8+BW8+CO8+C8),0)</f>
        <v>0</v>
      </c>
      <c r="P8" s="253">
        <f>IFERROR((O8/D8),0)</f>
        <v>0</v>
      </c>
      <c r="Q8" s="343">
        <f t="shared" si="5"/>
        <v>0</v>
      </c>
      <c r="R8" s="345">
        <f t="shared" si="6"/>
        <v>0</v>
      </c>
      <c r="S8" s="6">
        <f t="shared" si="7"/>
        <v>0</v>
      </c>
      <c r="T8" s="5">
        <f>IFERROR(S8/D8,0)</f>
        <v>0</v>
      </c>
      <c r="U8" s="6">
        <f>CH8</f>
        <v>0</v>
      </c>
      <c r="V8" s="6">
        <f>CI8</f>
        <v>0</v>
      </c>
      <c r="W8" s="21">
        <f>IFERROR((V8*1)/U8,0)</f>
        <v>0</v>
      </c>
      <c r="X8" s="5">
        <f>IFERROR(SUBSTITUTE(CB8,".","," )*1,0)</f>
        <v>0</v>
      </c>
      <c r="Y8" s="5">
        <f>IFERROR(X8/D8,0)</f>
        <v>0</v>
      </c>
      <c r="Z8" s="5">
        <f>IFERROR(VALUE(SUBSTITUTE(CA8,".",","))-(BU8*0.79),0)</f>
        <v>0</v>
      </c>
      <c r="AA8" s="5">
        <f>IFERROR(Z8/D8,0)</f>
        <v>0</v>
      </c>
      <c r="AB8" s="5">
        <f>IFERROR(X8+Z8,0)</f>
        <v>0</v>
      </c>
      <c r="AC8" s="5">
        <f>IFERROR(AB8/D8,0)</f>
        <v>0</v>
      </c>
      <c r="AD8" s="6">
        <f>BW8-BU8</f>
        <v>0</v>
      </c>
      <c r="AE8" s="5">
        <f>IFERROR(AD8/D8,0)</f>
        <v>0</v>
      </c>
      <c r="AF8" s="5">
        <f>IFERROR((BX8-BV8)/(D8-BU8),0)</f>
        <v>0</v>
      </c>
      <c r="AG8" s="20">
        <f>IFERROR((BX8-BV8)/(BW8-BU8),0)</f>
        <v>0</v>
      </c>
      <c r="AH8" s="21">
        <f>IFERROR((BS8-BV8)/(BW8-BU8),0)</f>
        <v>0</v>
      </c>
      <c r="AI8" s="6">
        <f>BS8</f>
        <v>0</v>
      </c>
      <c r="AJ8" s="5">
        <f>IFERROR(AI8/D8,0)</f>
        <v>0</v>
      </c>
      <c r="AK8" s="6">
        <f>BT8</f>
        <v>0</v>
      </c>
      <c r="AL8" s="5">
        <f>IFERROR((AK8/D8),0)</f>
        <v>0</v>
      </c>
      <c r="AM8" s="6">
        <f>AI8+AK8</f>
        <v>0</v>
      </c>
      <c r="AN8" s="5">
        <f>IFERROR(AJ8+AL8,0)</f>
        <v>0</v>
      </c>
      <c r="AO8" s="6">
        <f>IFERROR(BY8,0)</f>
        <v>0</v>
      </c>
      <c r="AP8" s="24">
        <f>IFERROR(AO8/D8,0)</f>
        <v>0</v>
      </c>
      <c r="AQ8" s="6">
        <f>BZ8</f>
        <v>0</v>
      </c>
      <c r="AR8" s="199">
        <f>IFERROR(AQ8/D8,0)</f>
        <v>0</v>
      </c>
      <c r="AS8" s="21">
        <f>IFERROR((AQ8*1)/AO8,0)</f>
        <v>0</v>
      </c>
      <c r="AT8" s="211">
        <f>CU8+CK8+CJ8</f>
        <v>0</v>
      </c>
      <c r="AU8" s="199">
        <f>IFERROR(AT8/D8,0)</f>
        <v>0</v>
      </c>
      <c r="AV8" s="6">
        <f>CV8+CJ8</f>
        <v>0</v>
      </c>
      <c r="AW8" s="5">
        <f>IFERROR(AV8/D8,0)</f>
        <v>0</v>
      </c>
      <c r="AX8" s="21">
        <f>IFERROR(AV8/AT8,0)</f>
        <v>0</v>
      </c>
      <c r="AY8" s="343">
        <f>CK8</f>
        <v>0</v>
      </c>
      <c r="AZ8" s="345">
        <f>IFERROR(AY8/D8,0)</f>
        <v>0</v>
      </c>
      <c r="BA8" s="343">
        <f>CF8-CH8</f>
        <v>0</v>
      </c>
      <c r="BB8" s="343">
        <f>CG8-CI8</f>
        <v>0</v>
      </c>
      <c r="BC8" s="332">
        <f>IFERROR(BB8/BA8,0)</f>
        <v>0</v>
      </c>
      <c r="BD8" s="2">
        <f>CE8</f>
        <v>0</v>
      </c>
      <c r="BE8" s="5">
        <f>IFERROR(BD8/D8,0)</f>
        <v>0</v>
      </c>
      <c r="BF8" s="5">
        <f>IFERROR(VALUE(SUBSTITUTE(CN8," km","")),0)</f>
        <v>0</v>
      </c>
      <c r="BG8" s="5">
        <f>IFERROR((BF8/D8),0)</f>
        <v>0</v>
      </c>
      <c r="BH8" s="2">
        <f>CO8</f>
        <v>0</v>
      </c>
      <c r="BI8" s="5">
        <f>IFERROR(BH8/D8,0)</f>
        <v>0</v>
      </c>
      <c r="BJ8" s="5">
        <f>IFERROR(VALUE(SUBSTITUTE(BR8, ".", ",")),6)</f>
        <v>6</v>
      </c>
      <c r="BK8" s="301"/>
      <c r="BL8" s="297"/>
      <c r="BM8" s="297"/>
      <c r="BN8" s="297"/>
      <c r="BO8" s="297"/>
      <c r="BP8" s="297"/>
      <c r="BQ8" s="297"/>
      <c r="BR8" s="297"/>
      <c r="BS8" s="297"/>
      <c r="BT8" s="297"/>
      <c r="BU8" s="297"/>
      <c r="BV8" s="297"/>
      <c r="BW8" s="297"/>
      <c r="BX8" s="297"/>
      <c r="BY8" s="297"/>
      <c r="BZ8" s="297"/>
      <c r="CA8" s="297"/>
      <c r="CB8" s="297"/>
      <c r="CC8" s="297"/>
      <c r="CD8" s="297"/>
      <c r="CE8" s="297"/>
      <c r="CF8" s="297"/>
      <c r="CG8" s="297"/>
      <c r="CH8" s="297"/>
      <c r="CI8" s="297"/>
      <c r="CJ8" s="297"/>
      <c r="CK8" s="297"/>
      <c r="CL8" s="297"/>
      <c r="CM8" s="297"/>
      <c r="CN8" s="297"/>
      <c r="CO8" s="297"/>
      <c r="CP8" s="297"/>
      <c r="CQ8" s="297"/>
      <c r="CR8" s="297"/>
      <c r="CS8" s="297"/>
      <c r="CT8" s="297"/>
      <c r="CU8" s="297"/>
      <c r="CV8" s="302"/>
      <c r="CW8" s="228"/>
    </row>
    <row r="9" spans="1:111" ht="30" customHeight="1" thickBot="1" x14ac:dyDescent="0.3">
      <c r="A9" s="256" t="str">
        <f t="shared" si="0"/>
        <v>Sem Jogador Adicionado</v>
      </c>
      <c r="B9" s="255" t="str">
        <f t="shared" si="1"/>
        <v>VAZIO</v>
      </c>
      <c r="C9" s="254">
        <f t="shared" si="2"/>
        <v>0</v>
      </c>
      <c r="D9" s="254">
        <f t="shared" si="3"/>
        <v>0</v>
      </c>
      <c r="E9" s="5">
        <f>IFERROR(SUBSTITUTE(BO9," cm","")/100,0)</f>
        <v>0</v>
      </c>
      <c r="F9" s="24">
        <f>IFERROR(CP9/D9,0)</f>
        <v>0</v>
      </c>
      <c r="G9" s="24">
        <f>IFERROR(CQ9/D9,0)</f>
        <v>0</v>
      </c>
      <c r="H9" s="5">
        <f>IFERROR((CP9-CQ9)/(D9),0)</f>
        <v>0</v>
      </c>
      <c r="I9" s="20">
        <f>IFERROR((G9*1)/F9,0)</f>
        <v>0</v>
      </c>
      <c r="J9" s="371">
        <f>CM9</f>
        <v>0</v>
      </c>
      <c r="K9" s="382">
        <f t="shared" si="4"/>
        <v>0</v>
      </c>
      <c r="L9" s="6">
        <f>CP9</f>
        <v>0</v>
      </c>
      <c r="M9" s="6">
        <f>IFERROR((CP9-CQ9),0)</f>
        <v>0</v>
      </c>
      <c r="N9" s="20">
        <f>IFERROR((M9*1)/CP9,0)</f>
        <v>0</v>
      </c>
      <c r="O9" s="252">
        <f>IFERROR((CH9+BW9+CO9+C9),0)</f>
        <v>0</v>
      </c>
      <c r="P9" s="253">
        <f>IFERROR((O9/D9),0)</f>
        <v>0</v>
      </c>
      <c r="Q9" s="343">
        <f t="shared" si="5"/>
        <v>0</v>
      </c>
      <c r="R9" s="345">
        <f t="shared" si="6"/>
        <v>0</v>
      </c>
      <c r="S9" s="6">
        <f t="shared" si="7"/>
        <v>0</v>
      </c>
      <c r="T9" s="5">
        <f>IFERROR(S9/D9,0)</f>
        <v>0</v>
      </c>
      <c r="U9" s="6">
        <f>CH9</f>
        <v>0</v>
      </c>
      <c r="V9" s="6">
        <f>CI9</f>
        <v>0</v>
      </c>
      <c r="W9" s="21">
        <f>IFERROR((V9*1)/U9,0)</f>
        <v>0</v>
      </c>
      <c r="X9" s="5">
        <f>IFERROR(SUBSTITUTE(CB9,".","," )*1,0)</f>
        <v>0</v>
      </c>
      <c r="Y9" s="5">
        <f>IFERROR(X9/D9,0)</f>
        <v>0</v>
      </c>
      <c r="Z9" s="5">
        <f>IFERROR(VALUE(SUBSTITUTE(CA9,".",","))-(BU9*0.79),0)</f>
        <v>0</v>
      </c>
      <c r="AA9" s="5">
        <f>IFERROR(Z9/D9,0)</f>
        <v>0</v>
      </c>
      <c r="AB9" s="5">
        <f>IFERROR(X9+Z9,0)</f>
        <v>0</v>
      </c>
      <c r="AC9" s="5">
        <f>IFERROR(AB9/D9,0)</f>
        <v>0</v>
      </c>
      <c r="AD9" s="6">
        <f>BW9-BU9</f>
        <v>0</v>
      </c>
      <c r="AE9" s="5">
        <f>IFERROR(AD9/D9,0)</f>
        <v>0</v>
      </c>
      <c r="AF9" s="5">
        <f>IFERROR((BX9-BV9)/(D9-BU9),0)</f>
        <v>0</v>
      </c>
      <c r="AG9" s="20">
        <f>IFERROR((BX9-BV9)/(BW9-BU9),0)</f>
        <v>0</v>
      </c>
      <c r="AH9" s="21">
        <f>IFERROR((BS9-BV9)/(BW9-BU9),0)</f>
        <v>0</v>
      </c>
      <c r="AI9" s="6">
        <f>BS9</f>
        <v>0</v>
      </c>
      <c r="AJ9" s="5">
        <f>IFERROR(AI9/D9,0)</f>
        <v>0</v>
      </c>
      <c r="AK9" s="6">
        <f>BT9</f>
        <v>0</v>
      </c>
      <c r="AL9" s="5">
        <f>IFERROR((AK9/D9),0)</f>
        <v>0</v>
      </c>
      <c r="AM9" s="6">
        <f>AI9+AK9</f>
        <v>0</v>
      </c>
      <c r="AN9" s="5">
        <f>IFERROR(AJ9+AL9,0)</f>
        <v>0</v>
      </c>
      <c r="AO9" s="6">
        <f>IFERROR(BY9,0)</f>
        <v>0</v>
      </c>
      <c r="AP9" s="24">
        <f>IFERROR(AO9/D9,0)</f>
        <v>0</v>
      </c>
      <c r="AQ9" s="6">
        <f>BZ9</f>
        <v>0</v>
      </c>
      <c r="AR9" s="199">
        <f>IFERROR(AQ9/D9,0)</f>
        <v>0</v>
      </c>
      <c r="AS9" s="21">
        <f>IFERROR((AQ9*1)/AO9,0)</f>
        <v>0</v>
      </c>
      <c r="AT9" s="211">
        <f>CU9+CK9+CJ9</f>
        <v>0</v>
      </c>
      <c r="AU9" s="199">
        <f>IFERROR(AT9/D9,0)</f>
        <v>0</v>
      </c>
      <c r="AV9" s="6">
        <f>CV9+CJ9</f>
        <v>0</v>
      </c>
      <c r="AW9" s="5">
        <f>IFERROR(AV9/D9,0)</f>
        <v>0</v>
      </c>
      <c r="AX9" s="21">
        <f>IFERROR(AV9/AT9,0)</f>
        <v>0</v>
      </c>
      <c r="AY9" s="343">
        <f>CK9</f>
        <v>0</v>
      </c>
      <c r="AZ9" s="345">
        <f>IFERROR(AY9/D9,0)</f>
        <v>0</v>
      </c>
      <c r="BA9" s="343">
        <f>CF9-CH9</f>
        <v>0</v>
      </c>
      <c r="BB9" s="343">
        <f>CG9-CI9</f>
        <v>0</v>
      </c>
      <c r="BC9" s="332">
        <f>IFERROR(BB9/BA9,0)</f>
        <v>0</v>
      </c>
      <c r="BD9" s="2">
        <f>CE9</f>
        <v>0</v>
      </c>
      <c r="BE9" s="5">
        <f>IFERROR(BD9/D9,0)</f>
        <v>0</v>
      </c>
      <c r="BF9" s="5">
        <f>IFERROR(VALUE(SUBSTITUTE(CN9," km","")),0)</f>
        <v>0</v>
      </c>
      <c r="BG9" s="5">
        <f>IFERROR((BF9/D9),0)</f>
        <v>0</v>
      </c>
      <c r="BH9" s="2">
        <f>CO9</f>
        <v>0</v>
      </c>
      <c r="BI9" s="5">
        <f>IFERROR(BH9/D9,0)</f>
        <v>0</v>
      </c>
      <c r="BJ9" s="5">
        <f>IFERROR(VALUE(SUBSTITUTE(BR9, ".", ",")),6)</f>
        <v>6</v>
      </c>
      <c r="BK9" s="299"/>
      <c r="BL9" s="295"/>
      <c r="BM9" s="295"/>
      <c r="BN9" s="295"/>
      <c r="BO9" s="295"/>
      <c r="BP9" s="295"/>
      <c r="BQ9" s="295"/>
      <c r="BR9" s="295"/>
      <c r="BS9" s="295"/>
      <c r="BT9" s="295"/>
      <c r="BU9" s="295"/>
      <c r="BV9" s="295"/>
      <c r="BW9" s="295"/>
      <c r="BX9" s="295"/>
      <c r="BY9" s="295"/>
      <c r="BZ9" s="295"/>
      <c r="CA9" s="295"/>
      <c r="CB9" s="295"/>
      <c r="CC9" s="295"/>
      <c r="CD9" s="295"/>
      <c r="CE9" s="295"/>
      <c r="CF9" s="295"/>
      <c r="CG9" s="295"/>
      <c r="CH9" s="295"/>
      <c r="CI9" s="295"/>
      <c r="CJ9" s="295"/>
      <c r="CK9" s="295"/>
      <c r="CL9" s="295"/>
      <c r="CM9" s="295"/>
      <c r="CN9" s="295"/>
      <c r="CO9" s="295"/>
      <c r="CP9" s="295"/>
      <c r="CQ9" s="295"/>
      <c r="CR9" s="295"/>
      <c r="CS9" s="295"/>
      <c r="CT9" s="295"/>
      <c r="CU9" s="295"/>
      <c r="CV9" s="300"/>
      <c r="CW9" s="228"/>
    </row>
    <row r="10" spans="1:111" ht="30" customHeight="1" thickBot="1" x14ac:dyDescent="0.3">
      <c r="A10" s="256" t="str">
        <f t="shared" si="0"/>
        <v>Sem Jogador Adicionado</v>
      </c>
      <c r="B10" s="255" t="str">
        <f t="shared" si="1"/>
        <v>VAZIO</v>
      </c>
      <c r="C10" s="254">
        <f t="shared" si="2"/>
        <v>0</v>
      </c>
      <c r="D10" s="254">
        <f t="shared" si="3"/>
        <v>0</v>
      </c>
      <c r="E10" s="5">
        <f>IFERROR(SUBSTITUTE(BO10," cm","")/100,0)</f>
        <v>0</v>
      </c>
      <c r="F10" s="24">
        <f>IFERROR(CP10/D10,0)</f>
        <v>0</v>
      </c>
      <c r="G10" s="24">
        <f>IFERROR(CQ10/D10,0)</f>
        <v>0</v>
      </c>
      <c r="H10" s="5">
        <f>IFERROR((CP10-CQ10)/(D10),0)</f>
        <v>0</v>
      </c>
      <c r="I10" s="20">
        <f>IFERROR((G10*1)/F10,0)</f>
        <v>0</v>
      </c>
      <c r="J10" s="371">
        <f>CM10</f>
        <v>0</v>
      </c>
      <c r="K10" s="382">
        <f t="shared" si="4"/>
        <v>0</v>
      </c>
      <c r="L10" s="6">
        <f>CP10</f>
        <v>0</v>
      </c>
      <c r="M10" s="6">
        <f>IFERROR((CP10-CQ10),0)</f>
        <v>0</v>
      </c>
      <c r="N10" s="20">
        <f>IFERROR((M10*1)/CP10,0)</f>
        <v>0</v>
      </c>
      <c r="O10" s="252">
        <f>IFERROR((CH10+BW10+CO10+C10),0)</f>
        <v>0</v>
      </c>
      <c r="P10" s="253">
        <f>IFERROR((O10/D10),0)</f>
        <v>0</v>
      </c>
      <c r="Q10" s="343">
        <f t="shared" si="5"/>
        <v>0</v>
      </c>
      <c r="R10" s="345">
        <f t="shared" si="6"/>
        <v>0</v>
      </c>
      <c r="S10" s="6">
        <f t="shared" si="7"/>
        <v>0</v>
      </c>
      <c r="T10" s="5">
        <f>IFERROR(S10/D10,0)</f>
        <v>0</v>
      </c>
      <c r="U10" s="6">
        <f>CH10</f>
        <v>0</v>
      </c>
      <c r="V10" s="6">
        <f>CI10</f>
        <v>0</v>
      </c>
      <c r="W10" s="21">
        <f>IFERROR((V10*1)/U10,0)</f>
        <v>0</v>
      </c>
      <c r="X10" s="5">
        <f>IFERROR(SUBSTITUTE(CB10,".","," )*1,0)</f>
        <v>0</v>
      </c>
      <c r="Y10" s="5">
        <f>IFERROR(X10/D10,0)</f>
        <v>0</v>
      </c>
      <c r="Z10" s="5">
        <f>IFERROR(VALUE(SUBSTITUTE(CA10,".",","))-(BU10*0.79),0)</f>
        <v>0</v>
      </c>
      <c r="AA10" s="5">
        <f>IFERROR(Z10/D10,0)</f>
        <v>0</v>
      </c>
      <c r="AB10" s="5">
        <f>IFERROR(X10+Z10,0)</f>
        <v>0</v>
      </c>
      <c r="AC10" s="5">
        <f>IFERROR(AB10/D10,0)</f>
        <v>0</v>
      </c>
      <c r="AD10" s="6">
        <f>BW10-BU10</f>
        <v>0</v>
      </c>
      <c r="AE10" s="5">
        <f>IFERROR(AD10/D10,0)</f>
        <v>0</v>
      </c>
      <c r="AF10" s="5">
        <f>IFERROR((BX10-BV10)/(D10-BU10),0)</f>
        <v>0</v>
      </c>
      <c r="AG10" s="20">
        <f>IFERROR((BX10-BV10)/(BW10-BU10),0)</f>
        <v>0</v>
      </c>
      <c r="AH10" s="21">
        <f>IFERROR((BS10-BV10)/(BW10-BU10),0)</f>
        <v>0</v>
      </c>
      <c r="AI10" s="6">
        <f>BS10</f>
        <v>0</v>
      </c>
      <c r="AJ10" s="5">
        <f>IFERROR(AI10/D10,0)</f>
        <v>0</v>
      </c>
      <c r="AK10" s="6">
        <f>BT10</f>
        <v>0</v>
      </c>
      <c r="AL10" s="5">
        <f>IFERROR((AK10/D10),0)</f>
        <v>0</v>
      </c>
      <c r="AM10" s="6">
        <f>AI10+AK10</f>
        <v>0</v>
      </c>
      <c r="AN10" s="5">
        <f>IFERROR(AJ10+AL10,0)</f>
        <v>0</v>
      </c>
      <c r="AO10" s="6">
        <f>IFERROR(BY10,0)</f>
        <v>0</v>
      </c>
      <c r="AP10" s="24">
        <f>IFERROR(AO10/D10,0)</f>
        <v>0</v>
      </c>
      <c r="AQ10" s="6">
        <f>BZ10</f>
        <v>0</v>
      </c>
      <c r="AR10" s="199">
        <f>IFERROR(AQ10/D10,0)</f>
        <v>0</v>
      </c>
      <c r="AS10" s="21">
        <f>IFERROR((AQ10*1)/AO10,0)</f>
        <v>0</v>
      </c>
      <c r="AT10" s="211">
        <f>CU10+CK10+CJ10</f>
        <v>0</v>
      </c>
      <c r="AU10" s="199">
        <f>IFERROR(AT10/D10,0)</f>
        <v>0</v>
      </c>
      <c r="AV10" s="6">
        <f>CV10+CJ10</f>
        <v>0</v>
      </c>
      <c r="AW10" s="5">
        <f>IFERROR(AV10/D10,0)</f>
        <v>0</v>
      </c>
      <c r="AX10" s="21">
        <f>IFERROR(AV10/AT10,0)</f>
        <v>0</v>
      </c>
      <c r="AY10" s="343">
        <f>CK10</f>
        <v>0</v>
      </c>
      <c r="AZ10" s="345">
        <f>IFERROR(AY10/D10,0)</f>
        <v>0</v>
      </c>
      <c r="BA10" s="343">
        <f>CF10-CH10</f>
        <v>0</v>
      </c>
      <c r="BB10" s="343">
        <f>CG10-CI10</f>
        <v>0</v>
      </c>
      <c r="BC10" s="332">
        <f>IFERROR(BB10/BA10,0)</f>
        <v>0</v>
      </c>
      <c r="BD10" s="2">
        <f>CE10</f>
        <v>0</v>
      </c>
      <c r="BE10" s="5">
        <f>IFERROR(BD10/D10,0)</f>
        <v>0</v>
      </c>
      <c r="BF10" s="5">
        <f>IFERROR(VALUE(SUBSTITUTE(CN10," km","")),0)</f>
        <v>0</v>
      </c>
      <c r="BG10" s="5">
        <f>IFERROR((BF10/D10),0)</f>
        <v>0</v>
      </c>
      <c r="BH10" s="2">
        <f>CO10</f>
        <v>0</v>
      </c>
      <c r="BI10" s="5">
        <f>IFERROR(BH10/D10,0)</f>
        <v>0</v>
      </c>
      <c r="BJ10" s="5">
        <f>IFERROR(VALUE(SUBSTITUTE(BR10, ".", ",")),6)</f>
        <v>6</v>
      </c>
      <c r="BK10" s="299"/>
      <c r="BL10" s="295"/>
      <c r="BM10" s="295"/>
      <c r="BN10" s="295"/>
      <c r="BO10" s="295"/>
      <c r="BP10" s="295"/>
      <c r="BQ10" s="295"/>
      <c r="BR10" s="295"/>
      <c r="BS10" s="295"/>
      <c r="BT10" s="295"/>
      <c r="BU10" s="295"/>
      <c r="BV10" s="295"/>
      <c r="BW10" s="295"/>
      <c r="BX10" s="295"/>
      <c r="BY10" s="295"/>
      <c r="BZ10" s="295"/>
      <c r="CA10" s="295"/>
      <c r="CB10" s="295"/>
      <c r="CC10" s="295"/>
      <c r="CD10" s="295"/>
      <c r="CE10" s="295"/>
      <c r="CF10" s="295"/>
      <c r="CG10" s="295"/>
      <c r="CH10" s="295"/>
      <c r="CI10" s="295"/>
      <c r="CJ10" s="295"/>
      <c r="CK10" s="295"/>
      <c r="CL10" s="295"/>
      <c r="CM10" s="295"/>
      <c r="CN10" s="295"/>
      <c r="CO10" s="295"/>
      <c r="CP10" s="295"/>
      <c r="CQ10" s="295"/>
      <c r="CR10" s="295"/>
      <c r="CS10" s="295"/>
      <c r="CT10" s="295"/>
      <c r="CU10" s="295"/>
      <c r="CV10" s="300"/>
      <c r="CW10" s="228"/>
    </row>
    <row r="11" spans="1:111" ht="30" customHeight="1" thickBot="1" x14ac:dyDescent="0.3">
      <c r="A11" s="256" t="str">
        <f t="shared" si="0"/>
        <v>Sem Jogador Adicionado</v>
      </c>
      <c r="B11" s="255" t="str">
        <f t="shared" si="1"/>
        <v>VAZIO</v>
      </c>
      <c r="C11" s="254">
        <f t="shared" si="2"/>
        <v>0</v>
      </c>
      <c r="D11" s="254">
        <f t="shared" si="3"/>
        <v>0</v>
      </c>
      <c r="E11" s="5">
        <f>IFERROR(SUBSTITUTE(BO11," cm","")/100,0)</f>
        <v>0</v>
      </c>
      <c r="F11" s="24">
        <f>IFERROR(CP11/D11,0)</f>
        <v>0</v>
      </c>
      <c r="G11" s="24">
        <f>IFERROR(CQ11/D11,0)</f>
        <v>0</v>
      </c>
      <c r="H11" s="5">
        <f>IFERROR((CP11-CQ11)/(D11),0)</f>
        <v>0</v>
      </c>
      <c r="I11" s="20">
        <f>IFERROR((G11*1)/F11,0)</f>
        <v>0</v>
      </c>
      <c r="J11" s="371">
        <f>CM11</f>
        <v>0</v>
      </c>
      <c r="K11" s="382">
        <f t="shared" si="4"/>
        <v>0</v>
      </c>
      <c r="L11" s="6">
        <f>CP11</f>
        <v>0</v>
      </c>
      <c r="M11" s="6">
        <f>IFERROR((CP11-CQ11),0)</f>
        <v>0</v>
      </c>
      <c r="N11" s="20">
        <f>IFERROR((M11*1)/CP11,0)</f>
        <v>0</v>
      </c>
      <c r="O11" s="252">
        <f>IFERROR((CH11+BW11+CO11+C11),0)</f>
        <v>0</v>
      </c>
      <c r="P11" s="253">
        <f>IFERROR((O11/D11),0)</f>
        <v>0</v>
      </c>
      <c r="Q11" s="343">
        <f t="shared" si="5"/>
        <v>0</v>
      </c>
      <c r="R11" s="345">
        <f t="shared" si="6"/>
        <v>0</v>
      </c>
      <c r="S11" s="6">
        <f t="shared" si="7"/>
        <v>0</v>
      </c>
      <c r="T11" s="5">
        <f>IFERROR(S11/D11,0)</f>
        <v>0</v>
      </c>
      <c r="U11" s="6">
        <f>CH11</f>
        <v>0</v>
      </c>
      <c r="V11" s="6">
        <f>CI11</f>
        <v>0</v>
      </c>
      <c r="W11" s="21">
        <f>IFERROR((V11*1)/U11,0)</f>
        <v>0</v>
      </c>
      <c r="X11" s="5">
        <f>IFERROR(SUBSTITUTE(CB11,".","," )*1,0)</f>
        <v>0</v>
      </c>
      <c r="Y11" s="5">
        <f>IFERROR(X11/D11,0)</f>
        <v>0</v>
      </c>
      <c r="Z11" s="5">
        <f>IFERROR(VALUE(SUBSTITUTE(CA11,".",","))-(BU11*0.79),0)</f>
        <v>0</v>
      </c>
      <c r="AA11" s="5">
        <f>IFERROR(Z11/D11,0)</f>
        <v>0</v>
      </c>
      <c r="AB11" s="5">
        <f>IFERROR(X11+Z11,0)</f>
        <v>0</v>
      </c>
      <c r="AC11" s="5">
        <f>IFERROR(AB11/D11,0)</f>
        <v>0</v>
      </c>
      <c r="AD11" s="6">
        <f>BW11-BU11</f>
        <v>0</v>
      </c>
      <c r="AE11" s="5">
        <f>IFERROR(AD11/D11,0)</f>
        <v>0</v>
      </c>
      <c r="AF11" s="5">
        <f>IFERROR((BX11-BV11)/(D11-BU11),0)</f>
        <v>0</v>
      </c>
      <c r="AG11" s="20">
        <f>IFERROR((BX11-BV11)/(BW11-BU11),0)</f>
        <v>0</v>
      </c>
      <c r="AH11" s="21">
        <f>IFERROR((BS11-BV11)/(BW11-BU11),0)</f>
        <v>0</v>
      </c>
      <c r="AI11" s="6">
        <f>BS11</f>
        <v>0</v>
      </c>
      <c r="AJ11" s="5">
        <f>IFERROR(AI11/D11,0)</f>
        <v>0</v>
      </c>
      <c r="AK11" s="6">
        <f>BT11</f>
        <v>0</v>
      </c>
      <c r="AL11" s="5">
        <f>IFERROR((AK11/D11),0)</f>
        <v>0</v>
      </c>
      <c r="AM11" s="6">
        <f>AI11+AK11</f>
        <v>0</v>
      </c>
      <c r="AN11" s="5">
        <f>IFERROR(AJ11+AL11,0)</f>
        <v>0</v>
      </c>
      <c r="AO11" s="6">
        <f>IFERROR(BY11,0)</f>
        <v>0</v>
      </c>
      <c r="AP11" s="24">
        <f>IFERROR(AO11/D11,0)</f>
        <v>0</v>
      </c>
      <c r="AQ11" s="6">
        <f>BZ11</f>
        <v>0</v>
      </c>
      <c r="AR11" s="199">
        <f>IFERROR(AQ11/D11,0)</f>
        <v>0</v>
      </c>
      <c r="AS11" s="21">
        <f>IFERROR((AQ11*1)/AO11,0)</f>
        <v>0</v>
      </c>
      <c r="AT11" s="211">
        <f>CU11+CK11+CJ11</f>
        <v>0</v>
      </c>
      <c r="AU11" s="199">
        <f>IFERROR(AT11/D11,0)</f>
        <v>0</v>
      </c>
      <c r="AV11" s="6">
        <f>CV11+CJ11</f>
        <v>0</v>
      </c>
      <c r="AW11" s="5">
        <f>IFERROR(AV11/D11,0)</f>
        <v>0</v>
      </c>
      <c r="AX11" s="21">
        <f>IFERROR(AV11/AT11,0)</f>
        <v>0</v>
      </c>
      <c r="AY11" s="343">
        <f>CK11</f>
        <v>0</v>
      </c>
      <c r="AZ11" s="345">
        <f>IFERROR(AY11/D11,0)</f>
        <v>0</v>
      </c>
      <c r="BA11" s="343">
        <f>CF11-CH11</f>
        <v>0</v>
      </c>
      <c r="BB11" s="343">
        <f>CG11-CI11</f>
        <v>0</v>
      </c>
      <c r="BC11" s="332">
        <f>IFERROR(BB11/BA11,0)</f>
        <v>0</v>
      </c>
      <c r="BD11" s="2">
        <f>CE11</f>
        <v>0</v>
      </c>
      <c r="BE11" s="5">
        <f>IFERROR(BD11/D11,0)</f>
        <v>0</v>
      </c>
      <c r="BF11" s="5">
        <f>IFERROR(VALUE(SUBSTITUTE(CN11," km","")),0)</f>
        <v>0</v>
      </c>
      <c r="BG11" s="5">
        <f>IFERROR((BF11/D11),0)</f>
        <v>0</v>
      </c>
      <c r="BH11" s="2">
        <f>CO11</f>
        <v>0</v>
      </c>
      <c r="BI11" s="5">
        <f>IFERROR(BH11/D11,0)</f>
        <v>0</v>
      </c>
      <c r="BJ11" s="5">
        <f>IFERROR(VALUE(SUBSTITUTE(BR11, ".", ",")),6)</f>
        <v>6</v>
      </c>
      <c r="BK11" s="299"/>
      <c r="BL11" s="295"/>
      <c r="BM11" s="295"/>
      <c r="BN11" s="295"/>
      <c r="BO11" s="295"/>
      <c r="BP11" s="295"/>
      <c r="BQ11" s="295"/>
      <c r="BR11" s="295"/>
      <c r="BS11" s="295"/>
      <c r="BT11" s="295"/>
      <c r="BU11" s="295"/>
      <c r="BV11" s="295"/>
      <c r="BW11" s="295"/>
      <c r="BX11" s="295"/>
      <c r="BY11" s="295"/>
      <c r="BZ11" s="295"/>
      <c r="CA11" s="295"/>
      <c r="CB11" s="295"/>
      <c r="CC11" s="295"/>
      <c r="CD11" s="295"/>
      <c r="CE11" s="295"/>
      <c r="CF11" s="295"/>
      <c r="CG11" s="295"/>
      <c r="CH11" s="295"/>
      <c r="CI11" s="295"/>
      <c r="CJ11" s="295"/>
      <c r="CK11" s="295"/>
      <c r="CL11" s="295"/>
      <c r="CM11" s="295"/>
      <c r="CN11" s="295"/>
      <c r="CO11" s="295"/>
      <c r="CP11" s="295"/>
      <c r="CQ11" s="295"/>
      <c r="CR11" s="295"/>
      <c r="CS11" s="295"/>
      <c r="CT11" s="295"/>
      <c r="CU11" s="295"/>
      <c r="CV11" s="300"/>
      <c r="CW11" s="228"/>
    </row>
    <row r="12" spans="1:111" ht="30" customHeight="1" thickBot="1" x14ac:dyDescent="0.3">
      <c r="A12" s="256" t="str">
        <f t="shared" si="0"/>
        <v>Sem Jogador Adicionado</v>
      </c>
      <c r="B12" s="255" t="str">
        <f t="shared" si="1"/>
        <v>VAZIO</v>
      </c>
      <c r="C12" s="254">
        <f t="shared" si="2"/>
        <v>0</v>
      </c>
      <c r="D12" s="254">
        <f t="shared" si="3"/>
        <v>0</v>
      </c>
      <c r="E12" s="5">
        <f>IFERROR(SUBSTITUTE(BO12," cm","")/100,0)</f>
        <v>0</v>
      </c>
      <c r="F12" s="24">
        <f>IFERROR(CP12/D12,0)</f>
        <v>0</v>
      </c>
      <c r="G12" s="24">
        <f>IFERROR(CQ12/D12,0)</f>
        <v>0</v>
      </c>
      <c r="H12" s="5">
        <f>IFERROR((CP12-CQ12)/(D12),0)</f>
        <v>0</v>
      </c>
      <c r="I12" s="20">
        <f>IFERROR((G12*1)/F12,0)</f>
        <v>0</v>
      </c>
      <c r="J12" s="371">
        <f>CM12</f>
        <v>0</v>
      </c>
      <c r="K12" s="382">
        <f t="shared" si="4"/>
        <v>0</v>
      </c>
      <c r="L12" s="6">
        <f>CP12</f>
        <v>0</v>
      </c>
      <c r="M12" s="6">
        <f>IFERROR((CP12-CQ12),0)</f>
        <v>0</v>
      </c>
      <c r="N12" s="20">
        <f>IFERROR((M12*1)/CP12,0)</f>
        <v>0</v>
      </c>
      <c r="O12" s="252">
        <f>IFERROR((CH12+BW12+CO12+C12),0)</f>
        <v>0</v>
      </c>
      <c r="P12" s="253">
        <f>IFERROR((O12/D12),0)</f>
        <v>0</v>
      </c>
      <c r="Q12" s="343">
        <f t="shared" si="5"/>
        <v>0</v>
      </c>
      <c r="R12" s="345">
        <f t="shared" si="6"/>
        <v>0</v>
      </c>
      <c r="S12" s="6">
        <f t="shared" si="7"/>
        <v>0</v>
      </c>
      <c r="T12" s="5">
        <f>IFERROR(S12/D12,0)</f>
        <v>0</v>
      </c>
      <c r="U12" s="6">
        <f>CH12</f>
        <v>0</v>
      </c>
      <c r="V12" s="6">
        <f>CI12</f>
        <v>0</v>
      </c>
      <c r="W12" s="21">
        <f>IFERROR((V12*1)/U12,0)</f>
        <v>0</v>
      </c>
      <c r="X12" s="5">
        <f>IFERROR(SUBSTITUTE(CB12,".","," )*1,0)</f>
        <v>0</v>
      </c>
      <c r="Y12" s="5">
        <f>IFERROR(X12/D12,0)</f>
        <v>0</v>
      </c>
      <c r="Z12" s="5">
        <f>IFERROR(VALUE(SUBSTITUTE(CA12,".",","))-(BU12*0.79),0)</f>
        <v>0</v>
      </c>
      <c r="AA12" s="5">
        <f>IFERROR(Z12/D12,0)</f>
        <v>0</v>
      </c>
      <c r="AB12" s="5">
        <f>IFERROR(X12+Z12,0)</f>
        <v>0</v>
      </c>
      <c r="AC12" s="5">
        <f>IFERROR(AB12/D12,0)</f>
        <v>0</v>
      </c>
      <c r="AD12" s="6">
        <f>BW12-BU12</f>
        <v>0</v>
      </c>
      <c r="AE12" s="5">
        <f>IFERROR(AD12/D12,0)</f>
        <v>0</v>
      </c>
      <c r="AF12" s="5">
        <f>IFERROR((BX12-BV12)/(D12-BU12),0)</f>
        <v>0</v>
      </c>
      <c r="AG12" s="20">
        <f>IFERROR((BX12-BV12)/(BW12-BU12),0)</f>
        <v>0</v>
      </c>
      <c r="AH12" s="21">
        <f>IFERROR((BS12-BV12)/(BW12-BU12),0)</f>
        <v>0</v>
      </c>
      <c r="AI12" s="6">
        <f>BS12</f>
        <v>0</v>
      </c>
      <c r="AJ12" s="5">
        <f>IFERROR(AI12/D12,0)</f>
        <v>0</v>
      </c>
      <c r="AK12" s="6">
        <f>BT12</f>
        <v>0</v>
      </c>
      <c r="AL12" s="5">
        <f>IFERROR((AK12/D12),0)</f>
        <v>0</v>
      </c>
      <c r="AM12" s="6">
        <f>AI12+AK12</f>
        <v>0</v>
      </c>
      <c r="AN12" s="5">
        <f>IFERROR(AJ12+AL12,0)</f>
        <v>0</v>
      </c>
      <c r="AO12" s="6">
        <f>IFERROR(BY12,0)</f>
        <v>0</v>
      </c>
      <c r="AP12" s="24">
        <f>IFERROR(AO12/D12,0)</f>
        <v>0</v>
      </c>
      <c r="AQ12" s="6">
        <f>BZ12</f>
        <v>0</v>
      </c>
      <c r="AR12" s="199">
        <f>IFERROR(AQ12/D12,0)</f>
        <v>0</v>
      </c>
      <c r="AS12" s="21">
        <f>IFERROR((AQ12*1)/AO12,0)</f>
        <v>0</v>
      </c>
      <c r="AT12" s="211">
        <f>CU12+CK12+CJ12</f>
        <v>0</v>
      </c>
      <c r="AU12" s="199">
        <f>IFERROR(AT12/D12,0)</f>
        <v>0</v>
      </c>
      <c r="AV12" s="6">
        <f>CV12+CJ12</f>
        <v>0</v>
      </c>
      <c r="AW12" s="5">
        <f>IFERROR(AV12/D12,0)</f>
        <v>0</v>
      </c>
      <c r="AX12" s="21">
        <f>IFERROR(AV12/AT12,0)</f>
        <v>0</v>
      </c>
      <c r="AY12" s="343">
        <f>CK12</f>
        <v>0</v>
      </c>
      <c r="AZ12" s="345">
        <f>IFERROR(AY12/D12,0)</f>
        <v>0</v>
      </c>
      <c r="BA12" s="343">
        <f>CF12-CH12</f>
        <v>0</v>
      </c>
      <c r="BB12" s="343">
        <f>CG12-CI12</f>
        <v>0</v>
      </c>
      <c r="BC12" s="332">
        <f>IFERROR(BB12/BA12,0)</f>
        <v>0</v>
      </c>
      <c r="BD12" s="2">
        <f>CE12</f>
        <v>0</v>
      </c>
      <c r="BE12" s="5">
        <f>IFERROR(BD12/D12,0)</f>
        <v>0</v>
      </c>
      <c r="BF12" s="5">
        <f>IFERROR(VALUE(SUBSTITUTE(CN12," km","")),0)</f>
        <v>0</v>
      </c>
      <c r="BG12" s="5">
        <f>IFERROR((BF12/D12),0)</f>
        <v>0</v>
      </c>
      <c r="BH12" s="2">
        <f>CO12</f>
        <v>0</v>
      </c>
      <c r="BI12" s="5">
        <f>IFERROR(BH12/D12,0)</f>
        <v>0</v>
      </c>
      <c r="BJ12" s="5">
        <f>IFERROR(VALUE(SUBSTITUTE(BR12, ".", ",")),6)</f>
        <v>6</v>
      </c>
      <c r="BK12" s="325"/>
      <c r="BL12" s="326"/>
      <c r="BM12" s="326"/>
      <c r="BN12" s="326"/>
      <c r="BO12" s="326"/>
      <c r="BP12" s="326"/>
      <c r="BQ12" s="326"/>
      <c r="BR12" s="326"/>
      <c r="BS12" s="326"/>
      <c r="BT12" s="326"/>
      <c r="BU12" s="326"/>
      <c r="BV12" s="326"/>
      <c r="BW12" s="326"/>
      <c r="BX12" s="326"/>
      <c r="BY12" s="326"/>
      <c r="BZ12" s="326"/>
      <c r="CA12" s="326"/>
      <c r="CB12" s="326"/>
      <c r="CC12" s="326"/>
      <c r="CD12" s="326"/>
      <c r="CE12" s="326"/>
      <c r="CF12" s="326"/>
      <c r="CG12" s="326"/>
      <c r="CH12" s="326"/>
      <c r="CI12" s="326"/>
      <c r="CJ12" s="326"/>
      <c r="CK12" s="326"/>
      <c r="CL12" s="326"/>
      <c r="CM12" s="326"/>
      <c r="CN12" s="326"/>
      <c r="CO12" s="326"/>
      <c r="CP12" s="326"/>
      <c r="CQ12" s="326"/>
      <c r="CR12" s="326"/>
      <c r="CS12" s="326"/>
      <c r="CT12" s="326"/>
      <c r="CU12" s="326"/>
      <c r="CV12" s="327"/>
      <c r="CW12" s="228"/>
    </row>
    <row r="13" spans="1:111" ht="8.25" customHeight="1" thickBot="1" x14ac:dyDescent="0.3">
      <c r="A13" s="228"/>
      <c r="B13" s="228"/>
      <c r="C13" s="228"/>
      <c r="D13" s="228"/>
      <c r="E13" s="228"/>
      <c r="F13" s="228"/>
      <c r="G13" s="228"/>
      <c r="H13" s="228"/>
      <c r="I13" s="228"/>
      <c r="J13" s="270" t="s">
        <v>560</v>
      </c>
      <c r="K13" s="270"/>
      <c r="L13" s="228"/>
      <c r="M13" s="228"/>
      <c r="N13" s="228"/>
      <c r="O13" s="228"/>
      <c r="P13" s="228"/>
      <c r="Q13" s="228"/>
      <c r="R13" s="228"/>
      <c r="S13" s="228"/>
      <c r="T13" s="228"/>
      <c r="U13" s="228"/>
      <c r="V13" s="228"/>
      <c r="W13" s="228"/>
      <c r="X13" s="228"/>
      <c r="Y13" s="228"/>
      <c r="Z13" s="228"/>
      <c r="AA13" s="228"/>
      <c r="AB13" s="228"/>
      <c r="AC13" s="228"/>
      <c r="AD13" s="228"/>
      <c r="AE13" s="228"/>
      <c r="AF13" s="228"/>
      <c r="AG13" s="228"/>
      <c r="AH13" s="228"/>
      <c r="AI13" s="228"/>
      <c r="AJ13" s="228"/>
      <c r="AK13" s="228"/>
      <c r="AL13" s="228"/>
      <c r="AM13" s="228"/>
      <c r="AN13" s="228"/>
      <c r="AO13" s="228"/>
      <c r="AP13" s="228"/>
      <c r="AQ13" s="228"/>
      <c r="AR13" s="228"/>
      <c r="AS13" s="228"/>
      <c r="AT13" s="228"/>
      <c r="AU13" s="228"/>
      <c r="AV13" s="228"/>
      <c r="AW13" s="228"/>
      <c r="AX13" s="228"/>
      <c r="AY13" s="228"/>
      <c r="AZ13" s="228"/>
      <c r="BA13" s="228"/>
      <c r="BB13" s="228"/>
      <c r="BC13" s="228"/>
      <c r="BD13" s="228"/>
      <c r="BE13" s="228"/>
      <c r="BF13" s="228"/>
      <c r="BG13" s="228"/>
      <c r="BH13" s="228"/>
      <c r="BI13" s="228"/>
      <c r="BJ13" s="228"/>
      <c r="BK13" s="228"/>
      <c r="BL13" s="228"/>
      <c r="BM13" s="228"/>
      <c r="BN13" s="228"/>
      <c r="BO13" s="228"/>
      <c r="BP13" s="228"/>
      <c r="BQ13" s="228"/>
      <c r="BR13" s="228"/>
      <c r="BS13" s="228"/>
      <c r="BT13" s="228"/>
      <c r="BU13" s="228"/>
      <c r="BV13" s="228"/>
      <c r="BW13" s="228"/>
      <c r="BX13" s="228"/>
      <c r="BY13" s="228"/>
      <c r="BZ13" s="228"/>
      <c r="CA13" s="228"/>
      <c r="CB13" s="228"/>
      <c r="CC13" s="228"/>
      <c r="CD13" s="228"/>
      <c r="CE13" s="228"/>
      <c r="CF13" s="228"/>
      <c r="CG13" s="228"/>
      <c r="CH13" s="228"/>
      <c r="CI13" s="228"/>
      <c r="CJ13" s="228"/>
      <c r="CK13" s="228"/>
      <c r="CL13" s="228"/>
      <c r="CM13" s="228"/>
      <c r="CN13" s="228"/>
      <c r="CO13" s="228"/>
      <c r="CP13" s="228"/>
      <c r="CQ13" s="228"/>
      <c r="CR13" s="228"/>
      <c r="CS13" s="228"/>
      <c r="CT13" s="228"/>
      <c r="CU13" s="228"/>
      <c r="CV13" s="228"/>
      <c r="CW13" s="228"/>
    </row>
    <row r="14" spans="1:111" ht="24.95" customHeight="1" thickBot="1" x14ac:dyDescent="0.3">
      <c r="A14" s="380" t="s">
        <v>508</v>
      </c>
      <c r="B14" s="381"/>
      <c r="C14" s="251" t="s">
        <v>507</v>
      </c>
      <c r="D14" s="250">
        <f>IFERROR(AVERAGE(BN2:BN12),0)</f>
        <v>0</v>
      </c>
      <c r="E14" s="228"/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28"/>
      <c r="V14" s="228"/>
      <c r="W14" s="228"/>
      <c r="X14" s="228"/>
      <c r="Y14" s="228"/>
      <c r="Z14" s="228"/>
      <c r="AA14" s="228"/>
      <c r="AB14" s="228"/>
      <c r="AC14" s="228"/>
      <c r="AD14" s="228"/>
      <c r="AE14" s="228"/>
      <c r="AF14" s="228"/>
      <c r="AG14" s="228"/>
      <c r="AH14" s="228"/>
      <c r="AI14" s="228"/>
      <c r="AJ14" s="228"/>
      <c r="AK14" s="228"/>
      <c r="AL14" s="228"/>
      <c r="AM14" s="228"/>
      <c r="AN14" s="228"/>
      <c r="AO14" s="228"/>
      <c r="AP14" s="228"/>
      <c r="AQ14" s="228"/>
      <c r="AR14" s="228"/>
      <c r="AS14" s="228"/>
      <c r="AT14" s="228"/>
      <c r="AU14" s="228"/>
      <c r="AV14" s="228"/>
      <c r="AW14" s="228"/>
      <c r="AX14" s="228"/>
      <c r="AY14" s="228"/>
      <c r="AZ14" s="228"/>
      <c r="BA14" s="228"/>
      <c r="BB14" s="228"/>
      <c r="BC14" s="228"/>
      <c r="BD14" s="228"/>
      <c r="BE14" s="228"/>
      <c r="BF14" s="228"/>
      <c r="BG14" s="228"/>
      <c r="BH14" s="228"/>
      <c r="BI14" s="228"/>
      <c r="BJ14" s="228"/>
      <c r="BK14" s="228"/>
      <c r="BL14" s="228"/>
      <c r="BM14" s="228"/>
      <c r="BN14" s="228"/>
      <c r="BO14" s="228"/>
      <c r="BP14" s="228"/>
      <c r="BQ14" s="228"/>
      <c r="BR14" s="228"/>
      <c r="BS14" s="228"/>
      <c r="BT14" s="228"/>
      <c r="BU14" s="228"/>
      <c r="BV14" s="228"/>
      <c r="BW14" s="228"/>
      <c r="BX14" s="228"/>
      <c r="BY14" s="228"/>
      <c r="BZ14" s="228"/>
      <c r="CA14" s="228"/>
      <c r="CB14" s="228"/>
      <c r="CC14" s="228"/>
      <c r="CD14" s="228"/>
      <c r="CE14" s="228"/>
      <c r="CF14" s="228"/>
      <c r="CG14" s="228"/>
      <c r="CH14" s="228"/>
      <c r="CI14" s="228"/>
      <c r="CJ14" s="228"/>
      <c r="CK14" s="228"/>
      <c r="CL14" s="228"/>
      <c r="CM14" s="228"/>
      <c r="CN14" s="228"/>
      <c r="CO14" s="228"/>
      <c r="CP14" s="228"/>
      <c r="CQ14" s="228"/>
      <c r="CR14" s="228"/>
      <c r="CS14" s="228"/>
      <c r="CT14" s="228"/>
      <c r="CU14" s="228"/>
      <c r="CV14" s="228"/>
      <c r="CW14" s="228"/>
    </row>
    <row r="15" spans="1:111" ht="40.5" customHeight="1" thickBot="1" x14ac:dyDescent="0.3">
      <c r="A15" s="245" t="s">
        <v>506</v>
      </c>
      <c r="B15" s="240">
        <f>SUM(F2:F12)</f>
        <v>0</v>
      </c>
      <c r="C15" s="249" t="s">
        <v>505</v>
      </c>
      <c r="D15" s="246">
        <f>SUM(AP2:AP12)</f>
        <v>0</v>
      </c>
      <c r="E15" s="228"/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  <c r="X15" s="228"/>
      <c r="Y15" s="228"/>
      <c r="Z15" s="228"/>
      <c r="AA15" s="228"/>
      <c r="AB15" s="228"/>
      <c r="AC15" s="228"/>
      <c r="AD15" s="228"/>
      <c r="AE15" s="228"/>
      <c r="AF15" s="228"/>
      <c r="AG15" s="228"/>
      <c r="AH15" s="228"/>
      <c r="AI15" s="228"/>
      <c r="AJ15" s="228"/>
      <c r="AK15" s="228"/>
      <c r="AL15" s="228"/>
      <c r="AM15" s="228"/>
      <c r="AN15" s="228"/>
      <c r="AO15" s="228"/>
      <c r="AP15" s="228"/>
      <c r="AQ15" s="228"/>
      <c r="AR15" s="228"/>
      <c r="AS15" s="228"/>
      <c r="AT15" s="228"/>
      <c r="AU15" s="228"/>
      <c r="AV15" s="228"/>
      <c r="AW15" s="228"/>
      <c r="AX15" s="228"/>
      <c r="AY15" s="228"/>
      <c r="AZ15" s="228"/>
      <c r="BA15" s="228"/>
      <c r="BB15" s="228"/>
      <c r="BC15" s="228"/>
      <c r="BD15" s="228"/>
      <c r="BE15" s="228"/>
      <c r="BF15" s="228"/>
      <c r="BG15" s="228"/>
      <c r="BH15" s="228"/>
      <c r="BI15" s="228"/>
      <c r="BJ15" s="228"/>
      <c r="BK15" s="228"/>
      <c r="BL15" s="228"/>
      <c r="BM15" s="228"/>
      <c r="BN15" s="228"/>
      <c r="BO15" s="228"/>
      <c r="BP15" s="228"/>
      <c r="BQ15" s="228"/>
      <c r="BR15" s="228"/>
      <c r="BS15" s="228"/>
      <c r="BT15" s="228"/>
      <c r="BU15" s="228"/>
      <c r="BV15" s="228"/>
      <c r="BW15" s="228"/>
      <c r="BX15" s="228"/>
      <c r="BY15" s="228"/>
      <c r="BZ15" s="228"/>
      <c r="CA15" s="228"/>
      <c r="CB15" s="228"/>
      <c r="CC15" s="228"/>
      <c r="CD15" s="228"/>
      <c r="CE15" s="228"/>
      <c r="CF15" s="228"/>
      <c r="CG15" s="228"/>
      <c r="CH15" s="228"/>
      <c r="CI15" s="228"/>
      <c r="CJ15" s="228"/>
      <c r="CK15" s="228"/>
      <c r="CL15" s="228"/>
      <c r="CM15" s="228"/>
      <c r="CN15" s="228"/>
      <c r="CO15" s="228"/>
      <c r="CP15" s="228"/>
      <c r="CQ15" s="228"/>
      <c r="CR15" s="228"/>
      <c r="CS15" s="228"/>
      <c r="CT15" s="228"/>
      <c r="CU15" s="228"/>
      <c r="CV15" s="228"/>
      <c r="CW15" s="228"/>
    </row>
    <row r="16" spans="1:111" ht="31.5" customHeight="1" thickBot="1" x14ac:dyDescent="0.3">
      <c r="A16" s="245" t="s">
        <v>504</v>
      </c>
      <c r="B16" s="248">
        <f>SUM(G2:G12)</f>
        <v>0</v>
      </c>
      <c r="C16" s="247" t="s">
        <v>503</v>
      </c>
      <c r="D16" s="246">
        <f>SUM(AR2:AR12)</f>
        <v>0</v>
      </c>
      <c r="E16" s="236"/>
      <c r="F16" s="236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  <c r="S16" s="228"/>
      <c r="T16" s="228"/>
      <c r="U16" s="228"/>
      <c r="V16" s="228"/>
      <c r="W16" s="228"/>
      <c r="X16" s="228"/>
      <c r="Y16" s="228"/>
      <c r="Z16" s="228"/>
      <c r="AA16" s="228"/>
      <c r="AB16" s="228"/>
      <c r="AC16" s="228"/>
      <c r="AD16" s="228"/>
      <c r="AE16" s="228"/>
      <c r="AF16" s="228"/>
      <c r="AG16" s="228"/>
      <c r="AH16" s="228"/>
      <c r="AI16" s="228"/>
      <c r="AJ16" s="228"/>
      <c r="AK16" s="228"/>
      <c r="AL16" s="228"/>
      <c r="AM16" s="228"/>
      <c r="AN16" s="228"/>
      <c r="AO16" s="228"/>
      <c r="AP16" s="228"/>
      <c r="AQ16" s="228"/>
      <c r="AR16" s="228"/>
      <c r="AS16" s="228"/>
      <c r="AT16" s="228"/>
      <c r="AU16" s="228"/>
      <c r="AV16" s="228"/>
      <c r="AW16" s="228"/>
      <c r="AX16" s="228"/>
      <c r="AY16" s="228"/>
      <c r="AZ16" s="228"/>
      <c r="BA16" s="228"/>
      <c r="BB16" s="228"/>
      <c r="BC16" s="228"/>
      <c r="BD16" s="228"/>
      <c r="BE16" s="228"/>
      <c r="BF16" s="228"/>
      <c r="BG16" s="228"/>
      <c r="BH16" s="228"/>
      <c r="BI16" s="228"/>
      <c r="BJ16" s="228"/>
      <c r="BK16" s="228"/>
      <c r="BL16" s="228"/>
      <c r="BM16" s="228"/>
      <c r="BN16" s="228"/>
      <c r="BO16" s="228"/>
      <c r="BP16" s="228"/>
      <c r="BQ16" s="228"/>
      <c r="BR16" s="228"/>
      <c r="BS16" s="228"/>
      <c r="BT16" s="228"/>
      <c r="BU16" s="228"/>
      <c r="BV16" s="228"/>
      <c r="BW16" s="228"/>
      <c r="BX16" s="228"/>
      <c r="BY16" s="228"/>
      <c r="BZ16" s="228"/>
      <c r="CA16" s="228"/>
      <c r="CB16" s="228"/>
      <c r="CC16" s="228"/>
      <c r="CD16" s="228"/>
      <c r="CE16" s="228"/>
      <c r="CF16" s="228"/>
      <c r="CG16" s="228"/>
      <c r="CH16" s="228"/>
      <c r="CI16" s="228"/>
      <c r="CJ16" s="228"/>
      <c r="CK16" s="228"/>
      <c r="CL16" s="228"/>
      <c r="CM16" s="228"/>
      <c r="CN16" s="228"/>
      <c r="CO16" s="228"/>
      <c r="CP16" s="228"/>
      <c r="CQ16" s="228"/>
      <c r="CR16" s="228"/>
      <c r="CS16" s="228"/>
      <c r="CT16" s="228"/>
      <c r="CU16" s="228"/>
      <c r="CV16" s="228"/>
      <c r="CW16" s="228"/>
    </row>
    <row r="17" spans="1:101" ht="24.95" customHeight="1" thickBot="1" x14ac:dyDescent="0.3">
      <c r="A17" s="245" t="s">
        <v>502</v>
      </c>
      <c r="B17" s="244">
        <f>IFERROR(B16/B15,0)</f>
        <v>0</v>
      </c>
      <c r="C17" s="234" t="s">
        <v>105</v>
      </c>
      <c r="D17" s="243">
        <f>IFERROR(SUM(AR2:AR12)/SUM(AP2:AP12),0)</f>
        <v>0</v>
      </c>
      <c r="E17" s="236"/>
      <c r="F17" s="236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  <c r="X17" s="228"/>
      <c r="Y17" s="228"/>
      <c r="Z17" s="228"/>
      <c r="AA17" s="228"/>
      <c r="AB17" s="228"/>
      <c r="AC17" s="228"/>
      <c r="AD17" s="228"/>
      <c r="AE17" s="228"/>
      <c r="AF17" s="228"/>
      <c r="AG17" s="228"/>
      <c r="AH17" s="228"/>
      <c r="AI17" s="228"/>
      <c r="AJ17" s="228"/>
      <c r="AK17" s="228"/>
      <c r="AL17" s="228"/>
      <c r="AM17" s="228"/>
      <c r="AN17" s="228"/>
      <c r="AO17" s="228"/>
      <c r="AP17" s="228"/>
      <c r="AQ17" s="228"/>
      <c r="AR17" s="228"/>
      <c r="AS17" s="228"/>
      <c r="AT17" s="228"/>
      <c r="AU17" s="228"/>
      <c r="AV17" s="228"/>
      <c r="AW17" s="228"/>
      <c r="AX17" s="228"/>
      <c r="AY17" s="228"/>
      <c r="AZ17" s="228"/>
      <c r="BA17" s="228"/>
      <c r="BB17" s="228"/>
      <c r="BC17" s="228"/>
      <c r="BD17" s="228"/>
      <c r="BE17" s="228"/>
      <c r="BF17" s="228"/>
      <c r="BG17" s="228"/>
      <c r="BH17" s="228"/>
      <c r="BI17" s="228"/>
      <c r="BJ17" s="228"/>
      <c r="BK17" s="228"/>
      <c r="BL17" s="228"/>
      <c r="BM17" s="228"/>
      <c r="BN17" s="228"/>
      <c r="BO17" s="228"/>
      <c r="BP17" s="228"/>
      <c r="BQ17" s="228"/>
      <c r="BR17" s="228"/>
      <c r="BS17" s="228"/>
      <c r="BT17" s="228"/>
      <c r="BU17" s="228"/>
      <c r="BV17" s="228"/>
      <c r="BW17" s="228"/>
      <c r="BX17" s="228"/>
      <c r="BY17" s="228"/>
      <c r="BZ17" s="228"/>
      <c r="CA17" s="228"/>
      <c r="CB17" s="228"/>
      <c r="CC17" s="228"/>
      <c r="CD17" s="228"/>
      <c r="CE17" s="228"/>
      <c r="CF17" s="228"/>
      <c r="CG17" s="228"/>
      <c r="CH17" s="228"/>
      <c r="CI17" s="228"/>
      <c r="CJ17" s="228"/>
      <c r="CK17" s="228"/>
      <c r="CL17" s="228"/>
      <c r="CM17" s="228"/>
      <c r="CN17" s="228"/>
      <c r="CO17" s="228"/>
      <c r="CP17" s="228"/>
      <c r="CQ17" s="228"/>
      <c r="CR17" s="228"/>
      <c r="CS17" s="228"/>
      <c r="CT17" s="228"/>
      <c r="CU17" s="228"/>
      <c r="CV17" s="228"/>
      <c r="CW17" s="228"/>
    </row>
    <row r="18" spans="1:101" ht="24.95" customHeight="1" thickBot="1" x14ac:dyDescent="0.3">
      <c r="A18" s="239" t="s">
        <v>330</v>
      </c>
      <c r="B18" s="242">
        <f>SUM(AE2:AE12)</f>
        <v>0</v>
      </c>
      <c r="C18" s="241" t="s">
        <v>106</v>
      </c>
      <c r="D18" s="240">
        <f>SUM(BE2:BE12)</f>
        <v>0</v>
      </c>
      <c r="E18" s="236"/>
      <c r="F18" s="236"/>
      <c r="G18" s="228"/>
      <c r="H18" s="228"/>
      <c r="I18" s="228"/>
      <c r="J18" s="228"/>
      <c r="K18" s="228"/>
      <c r="L18" s="228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  <c r="X18" s="228"/>
      <c r="Y18" s="228"/>
      <c r="Z18" s="228"/>
      <c r="AA18" s="228"/>
      <c r="AB18" s="228"/>
      <c r="AC18" s="228"/>
      <c r="AD18" s="228"/>
      <c r="AE18" s="228"/>
      <c r="AF18" s="228"/>
      <c r="AG18" s="228"/>
      <c r="AH18" s="228"/>
      <c r="AI18" s="228"/>
      <c r="AJ18" s="228"/>
      <c r="AK18" s="228"/>
      <c r="AL18" s="228"/>
      <c r="AM18" s="228"/>
      <c r="AN18" s="228"/>
      <c r="AO18" s="228"/>
      <c r="AP18" s="228"/>
      <c r="AQ18" s="228"/>
      <c r="AR18" s="228"/>
      <c r="AS18" s="228"/>
      <c r="AT18" s="228"/>
      <c r="AU18" s="228"/>
      <c r="AV18" s="228"/>
      <c r="AW18" s="228"/>
      <c r="AX18" s="228"/>
      <c r="AY18" s="228"/>
      <c r="AZ18" s="228"/>
      <c r="BA18" s="228"/>
      <c r="BB18" s="228"/>
      <c r="BC18" s="228"/>
      <c r="BD18" s="228"/>
      <c r="BE18" s="228"/>
      <c r="BF18" s="228"/>
      <c r="BG18" s="228"/>
      <c r="BH18" s="228"/>
      <c r="BI18" s="228"/>
      <c r="BJ18" s="228"/>
      <c r="BK18" s="228"/>
      <c r="BL18" s="228"/>
      <c r="BM18" s="228"/>
      <c r="BN18" s="228"/>
      <c r="BO18" s="228"/>
      <c r="BP18" s="228"/>
      <c r="BQ18" s="228"/>
      <c r="BR18" s="228"/>
      <c r="BS18" s="228"/>
      <c r="BT18" s="228"/>
      <c r="BU18" s="228"/>
      <c r="BV18" s="228"/>
      <c r="BW18" s="228"/>
      <c r="BX18" s="228"/>
      <c r="BY18" s="228"/>
      <c r="BZ18" s="228"/>
      <c r="CA18" s="228"/>
      <c r="CB18" s="228"/>
      <c r="CC18" s="228"/>
      <c r="CD18" s="228"/>
      <c r="CE18" s="228"/>
      <c r="CF18" s="228"/>
      <c r="CG18" s="228"/>
      <c r="CH18" s="228"/>
      <c r="CI18" s="228"/>
      <c r="CJ18" s="228"/>
      <c r="CK18" s="228"/>
      <c r="CL18" s="228"/>
      <c r="CM18" s="228"/>
      <c r="CN18" s="228"/>
      <c r="CO18" s="228"/>
      <c r="CP18" s="228"/>
      <c r="CQ18" s="228"/>
      <c r="CR18" s="228"/>
      <c r="CS18" s="228"/>
      <c r="CT18" s="228"/>
      <c r="CU18" s="228"/>
      <c r="CV18" s="228"/>
      <c r="CW18" s="228"/>
    </row>
    <row r="19" spans="1:101" ht="24.95" customHeight="1" thickBot="1" x14ac:dyDescent="0.3">
      <c r="A19" s="239" t="s">
        <v>501</v>
      </c>
      <c r="B19" s="238">
        <f>IFERROR(SUM(AF2:AF12)/SUM(AE2:AE12),0)</f>
        <v>0</v>
      </c>
      <c r="C19" s="235" t="s">
        <v>92</v>
      </c>
      <c r="D19" s="237">
        <f>SUM(BH2:BH12)</f>
        <v>0</v>
      </c>
      <c r="E19" s="236"/>
      <c r="F19" s="236"/>
      <c r="G19" s="228"/>
      <c r="H19" s="228"/>
      <c r="I19" s="228"/>
      <c r="J19" s="228"/>
      <c r="K19" s="228"/>
      <c r="L19" s="228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  <c r="X19" s="228"/>
      <c r="Y19" s="228"/>
      <c r="Z19" s="228"/>
      <c r="AA19" s="228"/>
      <c r="AB19" s="228"/>
      <c r="AC19" s="228"/>
      <c r="AD19" s="228"/>
      <c r="AE19" s="228"/>
      <c r="AF19" s="228"/>
      <c r="AG19" s="228"/>
      <c r="AH19" s="228"/>
      <c r="AI19" s="228"/>
      <c r="AJ19" s="228"/>
      <c r="AK19" s="228"/>
      <c r="AL19" s="228"/>
      <c r="AM19" s="228"/>
      <c r="AN19" s="228"/>
      <c r="AO19" s="228"/>
      <c r="AP19" s="228"/>
      <c r="AQ19" s="228"/>
      <c r="AR19" s="228"/>
      <c r="AS19" s="228"/>
      <c r="AT19" s="228"/>
      <c r="AU19" s="228"/>
      <c r="AV19" s="228"/>
      <c r="AW19" s="228"/>
      <c r="AX19" s="228"/>
      <c r="AY19" s="228"/>
      <c r="AZ19" s="228"/>
      <c r="BA19" s="228"/>
      <c r="BB19" s="228"/>
      <c r="BC19" s="228"/>
      <c r="BD19" s="228"/>
      <c r="BE19" s="228"/>
      <c r="BF19" s="228"/>
      <c r="BG19" s="228"/>
      <c r="BH19" s="228"/>
      <c r="BI19" s="228"/>
      <c r="BJ19" s="228"/>
      <c r="BK19" s="228"/>
      <c r="BL19" s="228"/>
      <c r="BM19" s="228"/>
      <c r="BN19" s="228"/>
      <c r="BO19" s="228"/>
      <c r="BP19" s="228"/>
      <c r="BQ19" s="228"/>
      <c r="BR19" s="228"/>
      <c r="BS19" s="228"/>
      <c r="BT19" s="228"/>
      <c r="BU19" s="228"/>
      <c r="BV19" s="228"/>
      <c r="BW19" s="228"/>
      <c r="BX19" s="228"/>
      <c r="BY19" s="228"/>
      <c r="BZ19" s="228"/>
      <c r="CA19" s="228"/>
      <c r="CB19" s="228"/>
      <c r="CC19" s="228"/>
      <c r="CD19" s="228"/>
      <c r="CE19" s="228"/>
      <c r="CF19" s="228"/>
      <c r="CG19" s="228"/>
      <c r="CH19" s="228"/>
      <c r="CI19" s="228"/>
      <c r="CJ19" s="228"/>
      <c r="CK19" s="228"/>
      <c r="CL19" s="228"/>
      <c r="CM19" s="228"/>
      <c r="CN19" s="228"/>
      <c r="CO19" s="228"/>
      <c r="CP19" s="228"/>
      <c r="CQ19" s="228"/>
      <c r="CR19" s="228"/>
      <c r="CS19" s="228"/>
      <c r="CT19" s="228"/>
      <c r="CU19" s="228"/>
      <c r="CV19" s="228"/>
      <c r="CW19" s="228"/>
    </row>
    <row r="20" spans="1:101" ht="24.95" customHeight="1" thickBot="1" x14ac:dyDescent="0.3">
      <c r="A20" s="232" t="s">
        <v>150</v>
      </c>
      <c r="B20" s="231">
        <f>SUM(AJ2:AJ12)</f>
        <v>0</v>
      </c>
      <c r="C20" s="235" t="s">
        <v>171</v>
      </c>
      <c r="D20" s="233">
        <f>SUM(BI2:BI12)</f>
        <v>0</v>
      </c>
      <c r="E20" s="236"/>
      <c r="F20" s="236"/>
      <c r="G20" s="228"/>
      <c r="H20" s="228"/>
      <c r="I20" s="228"/>
      <c r="J20" s="228"/>
      <c r="K20" s="228"/>
      <c r="L20" s="228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  <c r="X20" s="228"/>
      <c r="Y20" s="228"/>
      <c r="Z20" s="228"/>
      <c r="AA20" s="228"/>
      <c r="AB20" s="228"/>
      <c r="AC20" s="228"/>
      <c r="AD20" s="228"/>
      <c r="AE20" s="228"/>
      <c r="AF20" s="228"/>
      <c r="AG20" s="228"/>
      <c r="AH20" s="228"/>
      <c r="AI20" s="228"/>
      <c r="AJ20" s="228"/>
      <c r="AK20" s="228"/>
      <c r="AL20" s="228"/>
      <c r="AM20" s="228"/>
      <c r="AN20" s="228"/>
      <c r="AO20" s="228"/>
      <c r="AP20" s="228"/>
      <c r="AQ20" s="228"/>
      <c r="AR20" s="228"/>
      <c r="AS20" s="228"/>
      <c r="AT20" s="228"/>
      <c r="AU20" s="228"/>
      <c r="AV20" s="228"/>
      <c r="AW20" s="228"/>
      <c r="AX20" s="228"/>
      <c r="AY20" s="228"/>
      <c r="AZ20" s="228"/>
      <c r="BA20" s="228"/>
      <c r="BB20" s="228"/>
      <c r="BC20" s="228"/>
      <c r="BD20" s="228"/>
      <c r="BE20" s="228"/>
      <c r="BF20" s="228"/>
      <c r="BG20" s="228"/>
      <c r="BH20" s="228"/>
      <c r="BI20" s="228"/>
      <c r="BJ20" s="228"/>
      <c r="BK20" s="228"/>
      <c r="BL20" s="228"/>
      <c r="BM20" s="228"/>
      <c r="BN20" s="228"/>
      <c r="BO20" s="228"/>
      <c r="BP20" s="228"/>
      <c r="BQ20" s="228"/>
      <c r="BR20" s="228"/>
      <c r="BS20" s="228"/>
      <c r="BT20" s="228"/>
      <c r="BU20" s="228"/>
      <c r="BV20" s="228"/>
      <c r="BW20" s="228"/>
      <c r="BX20" s="228"/>
      <c r="BY20" s="228"/>
      <c r="BZ20" s="228"/>
      <c r="CA20" s="228"/>
      <c r="CB20" s="228"/>
      <c r="CC20" s="228"/>
      <c r="CD20" s="228"/>
      <c r="CE20" s="228"/>
      <c r="CF20" s="228"/>
      <c r="CG20" s="228"/>
      <c r="CH20" s="228"/>
      <c r="CI20" s="228"/>
      <c r="CJ20" s="228"/>
      <c r="CK20" s="228"/>
      <c r="CL20" s="228"/>
      <c r="CM20" s="228"/>
      <c r="CN20" s="228"/>
      <c r="CO20" s="228"/>
      <c r="CP20" s="228"/>
      <c r="CQ20" s="228"/>
      <c r="CR20" s="228"/>
      <c r="CS20" s="228"/>
      <c r="CT20" s="228"/>
      <c r="CU20" s="228"/>
      <c r="CV20" s="228"/>
      <c r="CW20" s="228"/>
    </row>
    <row r="21" spans="1:101" ht="33" customHeight="1" thickBot="1" x14ac:dyDescent="0.3">
      <c r="A21" s="232" t="s">
        <v>155</v>
      </c>
      <c r="B21" s="231">
        <f>SUM(AL2:AL12)</f>
        <v>0</v>
      </c>
      <c r="C21" s="234" t="s">
        <v>108</v>
      </c>
      <c r="D21" s="233">
        <f>SUM(AW2:AW12)</f>
        <v>0</v>
      </c>
      <c r="E21" s="228"/>
      <c r="F21" s="228"/>
      <c r="G21" s="228"/>
      <c r="H21" s="228"/>
      <c r="I21" s="228"/>
      <c r="J21" s="228"/>
      <c r="K21" s="228"/>
      <c r="L21" s="228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8"/>
      <c r="AC21" s="228"/>
      <c r="AD21" s="228"/>
      <c r="AE21" s="228"/>
      <c r="AF21" s="228"/>
      <c r="AG21" s="228"/>
      <c r="AH21" s="228"/>
      <c r="AI21" s="228"/>
      <c r="AJ21" s="228"/>
      <c r="AK21" s="228"/>
      <c r="AL21" s="228"/>
      <c r="AM21" s="228"/>
      <c r="AN21" s="228"/>
      <c r="AO21" s="228"/>
      <c r="AP21" s="228"/>
      <c r="AQ21" s="228"/>
      <c r="AR21" s="228"/>
      <c r="AS21" s="228"/>
      <c r="AT21" s="228"/>
      <c r="AU21" s="228"/>
      <c r="AV21" s="228"/>
      <c r="AW21" s="228"/>
      <c r="AX21" s="228"/>
      <c r="AY21" s="228"/>
      <c r="AZ21" s="228"/>
      <c r="BA21" s="228"/>
      <c r="BB21" s="228"/>
      <c r="BC21" s="228"/>
      <c r="BD21" s="228"/>
      <c r="BE21" s="228"/>
      <c r="BF21" s="228"/>
      <c r="BG21" s="228"/>
      <c r="BH21" s="228"/>
      <c r="BI21" s="228"/>
      <c r="BJ21" s="228"/>
      <c r="BK21" s="228"/>
      <c r="BL21" s="228"/>
      <c r="BM21" s="228"/>
      <c r="BN21" s="228"/>
      <c r="BO21" s="228"/>
      <c r="BP21" s="228"/>
      <c r="BQ21" s="228"/>
      <c r="BR21" s="228"/>
      <c r="BS21" s="228"/>
      <c r="BT21" s="228"/>
      <c r="BU21" s="228"/>
      <c r="BV21" s="228"/>
      <c r="BW21" s="228"/>
      <c r="BX21" s="228"/>
      <c r="BY21" s="228"/>
      <c r="BZ21" s="228"/>
      <c r="CA21" s="228"/>
      <c r="CB21" s="228"/>
      <c r="CC21" s="228"/>
      <c r="CD21" s="228"/>
      <c r="CE21" s="228"/>
      <c r="CF21" s="228"/>
      <c r="CG21" s="228"/>
      <c r="CH21" s="228"/>
      <c r="CI21" s="228"/>
      <c r="CJ21" s="228"/>
      <c r="CK21" s="228"/>
      <c r="CL21" s="228"/>
      <c r="CM21" s="228"/>
      <c r="CN21" s="228"/>
      <c r="CO21" s="228"/>
      <c r="CP21" s="228"/>
      <c r="CQ21" s="228"/>
      <c r="CR21" s="228"/>
      <c r="CS21" s="228"/>
      <c r="CT21" s="228"/>
      <c r="CU21" s="228"/>
      <c r="CV21" s="228"/>
      <c r="CW21" s="228"/>
    </row>
    <row r="22" spans="1:101" ht="31.5" customHeight="1" thickBot="1" x14ac:dyDescent="0.3">
      <c r="A22" s="232" t="s">
        <v>500</v>
      </c>
      <c r="B22" s="231">
        <f>SUM(AJ3:AJ12)+(SUM(AL3:AL12))</f>
        <v>0</v>
      </c>
      <c r="C22" s="230" t="s">
        <v>499</v>
      </c>
      <c r="D22" s="229">
        <f>IFERROR(AVERAGE(E2:E12),0)</f>
        <v>0</v>
      </c>
      <c r="E22" s="228"/>
      <c r="F22" s="228"/>
      <c r="G22" s="228"/>
      <c r="H22" s="228"/>
      <c r="I22" s="228"/>
      <c r="J22" s="228"/>
      <c r="K22" s="228"/>
      <c r="L22" s="228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  <c r="X22" s="228"/>
      <c r="Y22" s="228"/>
      <c r="Z22" s="228"/>
      <c r="AA22" s="228"/>
      <c r="AB22" s="228"/>
      <c r="AC22" s="228"/>
      <c r="AD22" s="228"/>
      <c r="AE22" s="228"/>
      <c r="AF22" s="228"/>
      <c r="AG22" s="228"/>
      <c r="AH22" s="228"/>
      <c r="AI22" s="228"/>
      <c r="AJ22" s="228"/>
      <c r="AK22" s="228"/>
      <c r="AL22" s="228"/>
      <c r="AM22" s="228"/>
      <c r="AN22" s="228"/>
      <c r="AO22" s="228"/>
      <c r="AP22" s="228"/>
      <c r="AQ22" s="228"/>
      <c r="AR22" s="228"/>
      <c r="AS22" s="228"/>
      <c r="AT22" s="228"/>
      <c r="AU22" s="228"/>
      <c r="AV22" s="228"/>
      <c r="AW22" s="228"/>
      <c r="AX22" s="228"/>
      <c r="AY22" s="228"/>
      <c r="AZ22" s="228"/>
      <c r="BA22" s="228"/>
      <c r="BB22" s="228"/>
      <c r="BC22" s="228"/>
      <c r="BD22" s="228"/>
      <c r="BE22" s="228"/>
      <c r="BF22" s="228"/>
      <c r="BG22" s="228"/>
      <c r="BH22" s="228"/>
      <c r="BI22" s="228"/>
      <c r="BJ22" s="228"/>
      <c r="BK22" s="228"/>
      <c r="BL22" s="228"/>
      <c r="BM22" s="228"/>
      <c r="BN22" s="228"/>
      <c r="BO22" s="228"/>
      <c r="BP22" s="228"/>
      <c r="BQ22" s="228"/>
      <c r="BR22" s="228"/>
      <c r="BS22" s="228"/>
      <c r="BT22" s="228"/>
      <c r="BU22" s="228"/>
      <c r="BV22" s="228"/>
      <c r="BW22" s="228"/>
      <c r="BX22" s="228"/>
      <c r="BY22" s="228"/>
      <c r="BZ22" s="228"/>
      <c r="CA22" s="228"/>
      <c r="CB22" s="228"/>
      <c r="CC22" s="228"/>
      <c r="CD22" s="228"/>
      <c r="CE22" s="228"/>
      <c r="CF22" s="228"/>
      <c r="CG22" s="228"/>
      <c r="CH22" s="228"/>
      <c r="CI22" s="228"/>
      <c r="CJ22" s="228"/>
      <c r="CK22" s="228"/>
      <c r="CL22" s="228"/>
      <c r="CM22" s="228"/>
      <c r="CN22" s="228"/>
      <c r="CO22" s="228"/>
      <c r="CP22" s="228"/>
      <c r="CQ22" s="228"/>
      <c r="CR22" s="228"/>
      <c r="CS22" s="228"/>
      <c r="CT22" s="228"/>
      <c r="CU22" s="228"/>
      <c r="CV22" s="228"/>
      <c r="CW22" s="228"/>
    </row>
    <row r="23" spans="1:101" ht="31.5" customHeight="1" x14ac:dyDescent="0.25">
      <c r="A23" s="228"/>
      <c r="B23" s="228"/>
      <c r="C23" s="228"/>
      <c r="D23" s="228"/>
      <c r="E23" s="228"/>
      <c r="F23" s="228"/>
      <c r="G23" s="228"/>
      <c r="H23" s="228"/>
      <c r="I23" s="228"/>
      <c r="J23" s="228"/>
      <c r="K23" s="228"/>
      <c r="L23" s="228"/>
      <c r="M23" s="228"/>
      <c r="N23" s="228"/>
      <c r="O23" s="228"/>
      <c r="P23" s="228"/>
      <c r="Q23" s="228"/>
      <c r="R23" s="228"/>
      <c r="S23" s="228"/>
      <c r="T23" s="228"/>
      <c r="U23" s="228"/>
      <c r="V23" s="228"/>
      <c r="W23" s="228"/>
      <c r="X23" s="228"/>
      <c r="Y23" s="228"/>
      <c r="Z23" s="228"/>
      <c r="AA23" s="228"/>
      <c r="AB23" s="228"/>
      <c r="AC23" s="228"/>
      <c r="AD23" s="228"/>
      <c r="AE23" s="228"/>
      <c r="AF23" s="228"/>
      <c r="AG23" s="228"/>
      <c r="AH23" s="228"/>
      <c r="AI23" s="228"/>
      <c r="AJ23" s="228"/>
      <c r="AK23" s="228"/>
      <c r="AL23" s="228"/>
      <c r="AM23" s="228"/>
      <c r="AN23" s="228"/>
      <c r="AO23" s="228"/>
      <c r="AP23" s="228"/>
      <c r="AQ23" s="228"/>
      <c r="AR23" s="228"/>
      <c r="AS23" s="228"/>
      <c r="AT23" s="228"/>
      <c r="AU23" s="228"/>
      <c r="AV23" s="228"/>
      <c r="AW23" s="228"/>
      <c r="AX23" s="228"/>
      <c r="AY23" s="228"/>
      <c r="AZ23" s="228"/>
      <c r="BA23" s="228"/>
      <c r="BB23" s="228"/>
      <c r="BC23" s="228"/>
      <c r="BD23" s="228"/>
      <c r="BE23" s="228"/>
      <c r="BF23" s="228"/>
      <c r="BG23" s="228"/>
      <c r="BH23" s="228"/>
      <c r="BI23" s="228"/>
      <c r="BJ23" s="228"/>
      <c r="BK23" s="228"/>
      <c r="BL23" s="228"/>
      <c r="BM23" s="228"/>
      <c r="BN23" s="228"/>
      <c r="BO23" s="228"/>
      <c r="BP23" s="228"/>
      <c r="BQ23" s="228"/>
      <c r="BR23" s="228"/>
      <c r="BS23" s="228"/>
      <c r="BT23" s="228"/>
      <c r="BU23" s="228"/>
      <c r="BV23" s="228"/>
      <c r="BW23" s="228"/>
      <c r="BX23" s="228"/>
      <c r="BY23" s="228"/>
      <c r="BZ23" s="228"/>
      <c r="CA23" s="228"/>
      <c r="CB23" s="228"/>
      <c r="CC23" s="228"/>
      <c r="CD23" s="228"/>
      <c r="CE23" s="228"/>
      <c r="CF23" s="228"/>
      <c r="CG23" s="228"/>
      <c r="CH23" s="228"/>
      <c r="CI23" s="228"/>
      <c r="CJ23" s="228"/>
      <c r="CK23" s="228"/>
      <c r="CL23" s="228"/>
      <c r="CM23" s="228"/>
      <c r="CN23" s="228"/>
      <c r="CO23" s="228"/>
      <c r="CP23" s="228"/>
      <c r="CQ23" s="228"/>
      <c r="CR23" s="228"/>
      <c r="CS23" s="228"/>
      <c r="CT23" s="228"/>
      <c r="CU23" s="228"/>
      <c r="CV23" s="228"/>
      <c r="CW23" s="228"/>
    </row>
    <row r="24" spans="1:101" ht="31.5" customHeight="1" x14ac:dyDescent="0.25">
      <c r="A24" s="228"/>
      <c r="B24" s="228"/>
      <c r="C24" s="228"/>
      <c r="D24" s="228"/>
      <c r="E24" s="228"/>
      <c r="F24" s="228"/>
      <c r="G24" s="228"/>
      <c r="H24" s="228"/>
      <c r="I24" s="228"/>
      <c r="J24" s="228"/>
      <c r="K24" s="228"/>
      <c r="L24" s="228"/>
      <c r="M24" s="228"/>
      <c r="N24" s="228"/>
      <c r="O24" s="228"/>
      <c r="P24" s="228"/>
      <c r="Q24" s="228"/>
      <c r="R24" s="228"/>
      <c r="S24" s="228"/>
      <c r="T24" s="228"/>
      <c r="U24" s="228"/>
      <c r="V24" s="228"/>
      <c r="W24" s="228"/>
      <c r="X24" s="228"/>
      <c r="Y24" s="228"/>
      <c r="Z24" s="228"/>
      <c r="AA24" s="228"/>
      <c r="AB24" s="228"/>
      <c r="AC24" s="228"/>
      <c r="AD24" s="228"/>
      <c r="AE24" s="228"/>
      <c r="AF24" s="228"/>
      <c r="AG24" s="228"/>
      <c r="AH24" s="228"/>
      <c r="AI24" s="228"/>
      <c r="AJ24" s="228"/>
      <c r="AK24" s="228"/>
      <c r="AL24" s="228"/>
      <c r="AM24" s="228"/>
      <c r="AN24" s="228"/>
      <c r="AO24" s="228"/>
      <c r="AP24" s="228"/>
      <c r="AQ24" s="228"/>
      <c r="AR24" s="228"/>
      <c r="AS24" s="228"/>
      <c r="AT24" s="228"/>
      <c r="AU24" s="228"/>
      <c r="AV24" s="228"/>
      <c r="AW24" s="228"/>
      <c r="AX24" s="228"/>
      <c r="AY24" s="228"/>
      <c r="AZ24" s="228"/>
      <c r="BA24" s="228"/>
      <c r="BB24" s="228"/>
      <c r="BC24" s="228"/>
      <c r="BD24" s="228"/>
      <c r="BE24" s="228"/>
      <c r="BF24" s="228"/>
      <c r="BG24" s="228"/>
      <c r="BH24" s="228"/>
      <c r="BI24" s="228"/>
      <c r="BJ24" s="228"/>
      <c r="BK24" s="228"/>
      <c r="BL24" s="228"/>
      <c r="BM24" s="228"/>
      <c r="BN24" s="228"/>
      <c r="BO24" s="228"/>
      <c r="BP24" s="228"/>
      <c r="BQ24" s="228"/>
      <c r="BR24" s="228"/>
      <c r="BS24" s="228"/>
      <c r="BT24" s="228"/>
      <c r="BU24" s="228"/>
      <c r="BV24" s="228"/>
      <c r="BW24" s="228"/>
      <c r="BX24" s="228"/>
      <c r="BY24" s="228"/>
      <c r="BZ24" s="228"/>
      <c r="CA24" s="228"/>
      <c r="CB24" s="228"/>
      <c r="CC24" s="228"/>
      <c r="CD24" s="228"/>
      <c r="CE24" s="228"/>
      <c r="CF24" s="228"/>
      <c r="CG24" s="228"/>
      <c r="CH24" s="228"/>
      <c r="CI24" s="228"/>
      <c r="CJ24" s="228"/>
      <c r="CK24" s="228"/>
      <c r="CL24" s="228"/>
      <c r="CM24" s="228"/>
      <c r="CN24" s="228"/>
      <c r="CO24" s="228"/>
      <c r="CP24" s="228"/>
      <c r="CQ24" s="228"/>
      <c r="CR24" s="228"/>
      <c r="CS24" s="228"/>
      <c r="CT24" s="228"/>
      <c r="CU24" s="228"/>
      <c r="CV24" s="228"/>
      <c r="CW24" s="228"/>
    </row>
    <row r="25" spans="1:101" ht="31.5" customHeight="1" x14ac:dyDescent="0.25">
      <c r="A25" s="228"/>
      <c r="B25" s="228"/>
      <c r="C25" s="228"/>
      <c r="D25" s="228"/>
      <c r="E25" s="228"/>
      <c r="F25" s="228"/>
      <c r="G25" s="228"/>
      <c r="H25" s="228"/>
      <c r="I25" s="228"/>
      <c r="J25" s="228"/>
      <c r="K25" s="228"/>
      <c r="L25" s="228"/>
      <c r="M25" s="228"/>
      <c r="N25" s="228"/>
      <c r="O25" s="228"/>
      <c r="P25" s="228"/>
      <c r="Q25" s="228"/>
      <c r="R25" s="228"/>
      <c r="S25" s="228"/>
      <c r="T25" s="228"/>
      <c r="U25" s="228"/>
      <c r="V25" s="228"/>
      <c r="W25" s="228"/>
      <c r="X25" s="228"/>
      <c r="Y25" s="228"/>
      <c r="Z25" s="228"/>
      <c r="AA25" s="228"/>
      <c r="AB25" s="228"/>
      <c r="AC25" s="228"/>
      <c r="AD25" s="228"/>
      <c r="AE25" s="228"/>
      <c r="AF25" s="228"/>
      <c r="AG25" s="228"/>
      <c r="AH25" s="228"/>
      <c r="AI25" s="228"/>
      <c r="AJ25" s="228"/>
      <c r="AK25" s="228"/>
      <c r="AL25" s="228"/>
      <c r="AM25" s="228"/>
      <c r="AN25" s="228"/>
      <c r="AO25" s="228"/>
      <c r="AP25" s="228"/>
      <c r="AQ25" s="228"/>
      <c r="AR25" s="228"/>
      <c r="AS25" s="228"/>
      <c r="AT25" s="228"/>
      <c r="AU25" s="228"/>
      <c r="AV25" s="228"/>
      <c r="AW25" s="228"/>
      <c r="AX25" s="228"/>
      <c r="AY25" s="228"/>
      <c r="AZ25" s="228"/>
      <c r="BA25" s="228"/>
      <c r="BB25" s="228"/>
      <c r="BC25" s="228"/>
      <c r="BD25" s="228"/>
      <c r="BE25" s="228"/>
      <c r="BF25" s="228"/>
      <c r="BG25" s="228"/>
      <c r="BH25" s="228"/>
      <c r="BI25" s="228"/>
      <c r="BJ25" s="228"/>
      <c r="BK25" s="228"/>
      <c r="BL25" s="228"/>
      <c r="BM25" s="228"/>
      <c r="BN25" s="228"/>
      <c r="BO25" s="228"/>
      <c r="BP25" s="228"/>
      <c r="BQ25" s="228"/>
      <c r="BR25" s="228"/>
      <c r="BS25" s="228"/>
      <c r="BT25" s="228"/>
      <c r="BU25" s="228"/>
      <c r="BV25" s="228"/>
      <c r="BW25" s="228"/>
      <c r="BX25" s="228"/>
      <c r="BY25" s="228"/>
      <c r="BZ25" s="228"/>
      <c r="CA25" s="228"/>
      <c r="CB25" s="228"/>
      <c r="CC25" s="228"/>
      <c r="CD25" s="228"/>
      <c r="CE25" s="228"/>
      <c r="CF25" s="228"/>
      <c r="CG25" s="228"/>
      <c r="CH25" s="228"/>
      <c r="CI25" s="228"/>
      <c r="CJ25" s="228"/>
      <c r="CK25" s="228"/>
      <c r="CL25" s="228"/>
      <c r="CM25" s="228"/>
      <c r="CN25" s="228"/>
      <c r="CO25" s="228"/>
      <c r="CP25" s="228"/>
      <c r="CQ25" s="228"/>
      <c r="CR25" s="228"/>
      <c r="CS25" s="228"/>
      <c r="CT25" s="228"/>
      <c r="CU25" s="228"/>
      <c r="CV25" s="228"/>
      <c r="CW25" s="228"/>
    </row>
    <row r="26" spans="1:101" ht="31.5" customHeight="1" x14ac:dyDescent="0.25">
      <c r="A26" s="228"/>
      <c r="B26" s="228"/>
      <c r="C26" s="228"/>
      <c r="D26" s="228"/>
      <c r="E26" s="228"/>
      <c r="F26" s="228"/>
      <c r="G26" s="228"/>
      <c r="H26" s="228"/>
      <c r="I26" s="228"/>
      <c r="J26" s="228"/>
      <c r="K26" s="228"/>
      <c r="L26" s="228"/>
      <c r="M26" s="228"/>
      <c r="N26" s="228"/>
      <c r="O26" s="228"/>
      <c r="P26" s="228"/>
      <c r="Q26" s="228"/>
      <c r="R26" s="228"/>
      <c r="S26" s="228"/>
      <c r="T26" s="228"/>
      <c r="U26" s="228"/>
      <c r="V26" s="228"/>
      <c r="W26" s="228"/>
      <c r="X26" s="228"/>
      <c r="Y26" s="228"/>
      <c r="Z26" s="228"/>
      <c r="AA26" s="228"/>
      <c r="AB26" s="228"/>
      <c r="AC26" s="228"/>
      <c r="AD26" s="228"/>
      <c r="AE26" s="228"/>
      <c r="AF26" s="228"/>
      <c r="AG26" s="228"/>
      <c r="AH26" s="228"/>
      <c r="AI26" s="228"/>
      <c r="AJ26" s="228"/>
      <c r="AK26" s="228"/>
      <c r="AL26" s="228"/>
      <c r="AM26" s="228"/>
      <c r="AN26" s="228"/>
      <c r="AO26" s="228"/>
      <c r="AP26" s="228"/>
      <c r="AQ26" s="228"/>
      <c r="AR26" s="228"/>
      <c r="AS26" s="228"/>
      <c r="AT26" s="228"/>
      <c r="AU26" s="228"/>
      <c r="AV26" s="228"/>
      <c r="AW26" s="228"/>
      <c r="AX26" s="228"/>
      <c r="AY26" s="228"/>
      <c r="AZ26" s="228"/>
      <c r="BA26" s="228"/>
      <c r="BB26" s="228"/>
      <c r="BC26" s="228"/>
      <c r="BD26" s="228"/>
      <c r="BE26" s="228"/>
      <c r="BF26" s="228"/>
      <c r="BG26" s="228"/>
      <c r="BH26" s="228"/>
      <c r="BI26" s="228"/>
      <c r="BJ26" s="228"/>
      <c r="BK26" s="228"/>
      <c r="BL26" s="228"/>
      <c r="BM26" s="228"/>
      <c r="BN26" s="228"/>
      <c r="BO26" s="228"/>
      <c r="BP26" s="228"/>
      <c r="BQ26" s="228"/>
      <c r="BR26" s="228"/>
      <c r="BS26" s="228"/>
      <c r="BT26" s="228"/>
      <c r="BU26" s="228"/>
      <c r="BV26" s="228"/>
      <c r="BW26" s="228"/>
      <c r="BX26" s="228"/>
      <c r="BY26" s="228"/>
      <c r="BZ26" s="228"/>
      <c r="CA26" s="228"/>
      <c r="CB26" s="228"/>
      <c r="CC26" s="228"/>
      <c r="CD26" s="228"/>
      <c r="CE26" s="228"/>
      <c r="CF26" s="228"/>
      <c r="CG26" s="228"/>
      <c r="CH26" s="228"/>
      <c r="CI26" s="228"/>
      <c r="CJ26" s="228"/>
      <c r="CK26" s="228"/>
      <c r="CL26" s="228"/>
      <c r="CM26" s="228"/>
      <c r="CN26" s="228"/>
      <c r="CO26" s="228"/>
      <c r="CP26" s="228"/>
      <c r="CQ26" s="228"/>
      <c r="CR26" s="228"/>
      <c r="CS26" s="228"/>
      <c r="CT26" s="228"/>
      <c r="CU26" s="228"/>
      <c r="CV26" s="228"/>
      <c r="CW26" s="228"/>
    </row>
    <row r="27" spans="1:101" ht="31.5" customHeight="1" x14ac:dyDescent="0.25">
      <c r="A27" s="228"/>
      <c r="B27" s="228"/>
      <c r="C27" s="228"/>
      <c r="D27" s="228"/>
      <c r="E27" s="228"/>
      <c r="F27" s="228"/>
      <c r="G27" s="228"/>
      <c r="H27" s="228"/>
      <c r="I27" s="228"/>
      <c r="J27" s="228"/>
      <c r="K27" s="228"/>
      <c r="L27" s="228"/>
      <c r="M27" s="228"/>
      <c r="N27" s="228"/>
      <c r="O27" s="228"/>
      <c r="P27" s="228"/>
      <c r="Q27" s="228"/>
      <c r="R27" s="228"/>
      <c r="S27" s="228"/>
      <c r="T27" s="228"/>
      <c r="U27" s="228"/>
      <c r="V27" s="228"/>
      <c r="W27" s="228"/>
      <c r="X27" s="228"/>
      <c r="Y27" s="228"/>
      <c r="Z27" s="228"/>
      <c r="AA27" s="228"/>
      <c r="AB27" s="228"/>
      <c r="AC27" s="228"/>
      <c r="AD27" s="228"/>
      <c r="AE27" s="228"/>
      <c r="AF27" s="228"/>
      <c r="AG27" s="228"/>
      <c r="AH27" s="228"/>
      <c r="AI27" s="228"/>
      <c r="AJ27" s="228"/>
      <c r="AK27" s="228"/>
      <c r="AL27" s="228"/>
      <c r="AM27" s="228"/>
      <c r="AN27" s="228"/>
      <c r="AO27" s="228"/>
      <c r="AP27" s="228"/>
      <c r="AQ27" s="228"/>
      <c r="AR27" s="228"/>
      <c r="AS27" s="228"/>
      <c r="AT27" s="228"/>
      <c r="AU27" s="228"/>
      <c r="AV27" s="228"/>
      <c r="AW27" s="228"/>
      <c r="AX27" s="228"/>
      <c r="AY27" s="228"/>
      <c r="AZ27" s="228"/>
      <c r="BA27" s="228"/>
      <c r="BB27" s="228"/>
      <c r="BC27" s="228"/>
      <c r="BD27" s="228"/>
      <c r="BE27" s="228"/>
      <c r="BF27" s="228"/>
      <c r="BG27" s="228"/>
      <c r="BH27" s="228"/>
      <c r="BI27" s="228"/>
      <c r="BJ27" s="228"/>
      <c r="BK27" s="228"/>
      <c r="BL27" s="228"/>
      <c r="BM27" s="228"/>
      <c r="BN27" s="228"/>
      <c r="BO27" s="228"/>
      <c r="BP27" s="228"/>
      <c r="BQ27" s="228"/>
      <c r="BR27" s="228"/>
      <c r="BS27" s="228"/>
      <c r="BT27" s="228"/>
      <c r="BU27" s="228"/>
      <c r="BV27" s="228"/>
      <c r="BW27" s="228"/>
      <c r="BX27" s="228"/>
      <c r="BY27" s="228"/>
      <c r="BZ27" s="228"/>
      <c r="CA27" s="228"/>
      <c r="CB27" s="228"/>
      <c r="CC27" s="228"/>
      <c r="CD27" s="228"/>
      <c r="CE27" s="228"/>
      <c r="CF27" s="228"/>
      <c r="CG27" s="228"/>
      <c r="CH27" s="228"/>
      <c r="CI27" s="228"/>
      <c r="CJ27" s="228"/>
      <c r="CK27" s="228"/>
      <c r="CL27" s="228"/>
      <c r="CM27" s="228"/>
      <c r="CN27" s="228"/>
      <c r="CO27" s="228"/>
      <c r="CP27" s="228"/>
      <c r="CQ27" s="228"/>
      <c r="CR27" s="228"/>
      <c r="CS27" s="228"/>
      <c r="CT27" s="228"/>
      <c r="CU27" s="228"/>
      <c r="CV27" s="228"/>
      <c r="CW27" s="228"/>
    </row>
    <row r="28" spans="1:101" ht="31.5" customHeight="1" x14ac:dyDescent="0.25">
      <c r="A28" s="228"/>
      <c r="B28" s="228"/>
      <c r="C28" s="228"/>
      <c r="D28" s="228"/>
      <c r="E28" s="228"/>
      <c r="F28" s="228"/>
      <c r="G28" s="228"/>
      <c r="H28" s="228"/>
      <c r="I28" s="228"/>
      <c r="J28" s="228"/>
      <c r="K28" s="228"/>
      <c r="L28" s="228"/>
      <c r="M28" s="228"/>
      <c r="N28" s="228"/>
      <c r="O28" s="228"/>
      <c r="P28" s="228"/>
      <c r="Q28" s="228"/>
      <c r="R28" s="228"/>
      <c r="S28" s="228"/>
      <c r="T28" s="228"/>
      <c r="U28" s="228"/>
      <c r="V28" s="228"/>
      <c r="W28" s="228"/>
      <c r="X28" s="228"/>
      <c r="Y28" s="228"/>
      <c r="Z28" s="228"/>
      <c r="AA28" s="228"/>
      <c r="AB28" s="228"/>
      <c r="AC28" s="228"/>
      <c r="AD28" s="228"/>
      <c r="AE28" s="228"/>
      <c r="AF28" s="228"/>
      <c r="AG28" s="228"/>
      <c r="AH28" s="228"/>
      <c r="AI28" s="228"/>
      <c r="AJ28" s="228"/>
      <c r="AK28" s="228"/>
      <c r="AL28" s="228"/>
      <c r="AM28" s="228"/>
      <c r="AN28" s="228"/>
      <c r="AO28" s="228"/>
      <c r="AP28" s="228"/>
      <c r="AQ28" s="228"/>
      <c r="AR28" s="228"/>
      <c r="AS28" s="228"/>
      <c r="AT28" s="228"/>
      <c r="AU28" s="228"/>
      <c r="AV28" s="228"/>
      <c r="AW28" s="228"/>
      <c r="AX28" s="228"/>
      <c r="AY28" s="228"/>
      <c r="AZ28" s="228"/>
      <c r="BA28" s="228"/>
      <c r="BB28" s="228"/>
      <c r="BC28" s="228"/>
      <c r="BD28" s="228"/>
      <c r="BE28" s="228"/>
      <c r="BF28" s="228"/>
      <c r="BG28" s="228"/>
      <c r="BH28" s="228"/>
      <c r="BI28" s="228"/>
      <c r="BJ28" s="228"/>
      <c r="BK28" s="228"/>
      <c r="BL28" s="228"/>
      <c r="BM28" s="228"/>
      <c r="BN28" s="228"/>
      <c r="BO28" s="228"/>
      <c r="BP28" s="228"/>
      <c r="BQ28" s="228"/>
      <c r="BR28" s="228"/>
      <c r="BS28" s="228"/>
      <c r="BT28" s="228"/>
      <c r="BU28" s="228"/>
      <c r="BV28" s="228"/>
      <c r="BW28" s="228"/>
      <c r="BX28" s="228"/>
      <c r="BY28" s="228"/>
      <c r="BZ28" s="228"/>
      <c r="CA28" s="228"/>
      <c r="CB28" s="228"/>
      <c r="CC28" s="228"/>
      <c r="CD28" s="228"/>
      <c r="CE28" s="228"/>
      <c r="CF28" s="228"/>
      <c r="CG28" s="228"/>
      <c r="CH28" s="228"/>
      <c r="CI28" s="228"/>
      <c r="CJ28" s="228"/>
      <c r="CK28" s="228"/>
      <c r="CL28" s="228"/>
      <c r="CM28" s="228"/>
      <c r="CN28" s="228"/>
      <c r="CO28" s="228"/>
      <c r="CP28" s="228"/>
      <c r="CQ28" s="228"/>
      <c r="CR28" s="228"/>
      <c r="CS28" s="228"/>
      <c r="CT28" s="228"/>
      <c r="CU28" s="228"/>
      <c r="CV28" s="228"/>
      <c r="CW28" s="228"/>
    </row>
    <row r="29" spans="1:101" ht="31.5" customHeight="1" x14ac:dyDescent="0.25">
      <c r="A29" s="228"/>
      <c r="B29" s="228"/>
      <c r="C29" s="228"/>
      <c r="D29" s="228"/>
      <c r="E29" s="228"/>
      <c r="F29" s="228"/>
      <c r="G29" s="228"/>
      <c r="H29" s="228"/>
      <c r="I29" s="228"/>
      <c r="J29" s="228"/>
      <c r="K29" s="228"/>
      <c r="L29" s="228"/>
      <c r="M29" s="228"/>
      <c r="N29" s="228"/>
      <c r="O29" s="228"/>
      <c r="P29" s="228"/>
      <c r="Q29" s="228"/>
      <c r="R29" s="228"/>
      <c r="S29" s="228"/>
      <c r="T29" s="228"/>
      <c r="U29" s="228"/>
      <c r="V29" s="228"/>
      <c r="W29" s="228"/>
      <c r="X29" s="228"/>
      <c r="Y29" s="228"/>
      <c r="Z29" s="228"/>
      <c r="AA29" s="228"/>
      <c r="AB29" s="228"/>
      <c r="AC29" s="228"/>
      <c r="AD29" s="228"/>
      <c r="AE29" s="228"/>
      <c r="AF29" s="228"/>
      <c r="AG29" s="228"/>
      <c r="AH29" s="228"/>
      <c r="AI29" s="228"/>
      <c r="AJ29" s="228"/>
      <c r="AK29" s="228"/>
      <c r="AL29" s="228"/>
      <c r="AM29" s="228"/>
      <c r="AN29" s="228"/>
      <c r="AO29" s="228"/>
      <c r="AP29" s="228"/>
      <c r="AQ29" s="228"/>
      <c r="AR29" s="228"/>
      <c r="AS29" s="228"/>
      <c r="AT29" s="228"/>
      <c r="AU29" s="228"/>
      <c r="AV29" s="228"/>
      <c r="AW29" s="228"/>
      <c r="AX29" s="228"/>
      <c r="AY29" s="228"/>
      <c r="AZ29" s="228"/>
      <c r="BA29" s="228"/>
      <c r="BB29" s="228"/>
      <c r="BC29" s="228"/>
      <c r="BD29" s="228"/>
      <c r="BE29" s="228"/>
      <c r="BF29" s="228"/>
      <c r="BG29" s="228"/>
      <c r="BH29" s="228"/>
      <c r="BI29" s="228"/>
      <c r="BJ29" s="228"/>
      <c r="BK29" s="228"/>
      <c r="BL29" s="228"/>
      <c r="BM29" s="228"/>
      <c r="BN29" s="228"/>
      <c r="BO29" s="228"/>
      <c r="BP29" s="228"/>
      <c r="BQ29" s="228"/>
      <c r="BR29" s="228"/>
      <c r="BS29" s="228"/>
      <c r="BT29" s="228"/>
      <c r="BU29" s="228"/>
      <c r="BV29" s="228"/>
      <c r="BW29" s="228"/>
      <c r="BX29" s="228"/>
      <c r="BY29" s="228"/>
      <c r="BZ29" s="228"/>
      <c r="CA29" s="228"/>
      <c r="CB29" s="228"/>
      <c r="CC29" s="228"/>
      <c r="CD29" s="228"/>
      <c r="CE29" s="228"/>
      <c r="CF29" s="228"/>
      <c r="CG29" s="228"/>
      <c r="CH29" s="228"/>
      <c r="CI29" s="228"/>
      <c r="CJ29" s="228"/>
      <c r="CK29" s="228"/>
      <c r="CL29" s="228"/>
      <c r="CM29" s="228"/>
      <c r="CN29" s="228"/>
      <c r="CO29" s="228"/>
      <c r="CP29" s="228"/>
      <c r="CQ29" s="228"/>
      <c r="CR29" s="228"/>
      <c r="CS29" s="228"/>
      <c r="CT29" s="228"/>
      <c r="CU29" s="228"/>
      <c r="CV29" s="228"/>
      <c r="CW29" s="228"/>
    </row>
    <row r="30" spans="1:101" ht="31.5" customHeight="1" x14ac:dyDescent="0.25">
      <c r="A30" s="228"/>
      <c r="B30" s="228"/>
      <c r="C30" s="228"/>
      <c r="D30" s="228"/>
      <c r="E30" s="228"/>
      <c r="F30" s="228"/>
      <c r="G30" s="228"/>
      <c r="H30" s="228"/>
      <c r="I30" s="228"/>
      <c r="J30" s="228"/>
      <c r="K30" s="228"/>
      <c r="L30" s="228"/>
      <c r="M30" s="228"/>
      <c r="N30" s="228"/>
      <c r="O30" s="228"/>
      <c r="P30" s="228"/>
      <c r="Q30" s="228"/>
      <c r="R30" s="228"/>
      <c r="S30" s="228"/>
      <c r="T30" s="228"/>
      <c r="U30" s="228"/>
      <c r="V30" s="228"/>
      <c r="W30" s="228"/>
      <c r="X30" s="228"/>
      <c r="Y30" s="228"/>
      <c r="Z30" s="228"/>
      <c r="AA30" s="228"/>
      <c r="AB30" s="228"/>
      <c r="AC30" s="228"/>
      <c r="AD30" s="228"/>
      <c r="AE30" s="228"/>
      <c r="AF30" s="228"/>
      <c r="AG30" s="228"/>
      <c r="AH30" s="228"/>
      <c r="AI30" s="228"/>
      <c r="AJ30" s="228"/>
      <c r="AK30" s="228"/>
      <c r="AL30" s="228"/>
      <c r="AM30" s="228"/>
      <c r="AN30" s="228"/>
      <c r="AO30" s="228"/>
      <c r="AP30" s="228"/>
      <c r="AQ30" s="228"/>
      <c r="AR30" s="228"/>
      <c r="AS30" s="228"/>
      <c r="AT30" s="228"/>
      <c r="AU30" s="228"/>
      <c r="AV30" s="228"/>
      <c r="AW30" s="228"/>
      <c r="AX30" s="228"/>
      <c r="AY30" s="228"/>
      <c r="AZ30" s="228"/>
      <c r="BA30" s="228"/>
      <c r="BB30" s="228"/>
      <c r="BC30" s="228"/>
      <c r="BD30" s="228"/>
      <c r="BE30" s="228"/>
      <c r="BF30" s="228"/>
      <c r="BG30" s="228"/>
      <c r="BH30" s="228"/>
      <c r="BI30" s="228"/>
      <c r="BJ30" s="228"/>
      <c r="BK30" s="228"/>
      <c r="BL30" s="228"/>
      <c r="BM30" s="228"/>
      <c r="BN30" s="228"/>
      <c r="BO30" s="228"/>
      <c r="BP30" s="228"/>
      <c r="BQ30" s="228"/>
      <c r="BR30" s="228"/>
      <c r="BS30" s="228"/>
      <c r="BT30" s="228"/>
      <c r="BU30" s="228"/>
      <c r="BV30" s="228"/>
      <c r="BW30" s="228"/>
      <c r="BX30" s="228"/>
      <c r="BY30" s="228"/>
      <c r="BZ30" s="228"/>
      <c r="CA30" s="228"/>
      <c r="CB30" s="228"/>
      <c r="CC30" s="228"/>
      <c r="CD30" s="228"/>
      <c r="CE30" s="228"/>
      <c r="CF30" s="228"/>
      <c r="CG30" s="228"/>
      <c r="CH30" s="228"/>
      <c r="CI30" s="228"/>
      <c r="CJ30" s="228"/>
      <c r="CK30" s="228"/>
      <c r="CL30" s="228"/>
      <c r="CM30" s="228"/>
      <c r="CN30" s="228"/>
      <c r="CO30" s="228"/>
      <c r="CP30" s="228"/>
      <c r="CQ30" s="228"/>
      <c r="CR30" s="228"/>
      <c r="CS30" s="228"/>
      <c r="CT30" s="228"/>
      <c r="CU30" s="228"/>
      <c r="CV30" s="228"/>
      <c r="CW30" s="228"/>
    </row>
    <row r="31" spans="1:101" ht="31.5" customHeight="1" x14ac:dyDescent="0.25">
      <c r="A31" s="228"/>
      <c r="B31" s="228"/>
      <c r="C31" s="228"/>
      <c r="D31" s="228"/>
      <c r="E31" s="228"/>
      <c r="F31" s="228"/>
      <c r="G31" s="228"/>
      <c r="H31" s="228"/>
      <c r="I31" s="228"/>
      <c r="J31" s="228"/>
      <c r="K31" s="228"/>
      <c r="L31" s="228"/>
      <c r="M31" s="228"/>
      <c r="N31" s="228"/>
      <c r="O31" s="228"/>
      <c r="P31" s="228"/>
      <c r="Q31" s="228"/>
      <c r="R31" s="228"/>
      <c r="S31" s="228"/>
      <c r="T31" s="228"/>
      <c r="U31" s="228"/>
      <c r="V31" s="228"/>
      <c r="W31" s="228"/>
      <c r="X31" s="228"/>
      <c r="Y31" s="228"/>
      <c r="Z31" s="228"/>
      <c r="AA31" s="228"/>
      <c r="AB31" s="228"/>
      <c r="AC31" s="228"/>
      <c r="AD31" s="228"/>
      <c r="AE31" s="228"/>
      <c r="AF31" s="228"/>
      <c r="AG31" s="228"/>
      <c r="AH31" s="228"/>
      <c r="AI31" s="228"/>
      <c r="AJ31" s="228"/>
      <c r="AK31" s="228"/>
      <c r="AL31" s="228"/>
      <c r="AM31" s="228"/>
      <c r="AN31" s="228"/>
      <c r="AO31" s="228"/>
      <c r="AP31" s="228"/>
      <c r="AQ31" s="228"/>
      <c r="AR31" s="228"/>
      <c r="AS31" s="228"/>
      <c r="AT31" s="228"/>
      <c r="AU31" s="228"/>
      <c r="AV31" s="228"/>
      <c r="AW31" s="228"/>
      <c r="AX31" s="228"/>
      <c r="AY31" s="228"/>
      <c r="AZ31" s="228"/>
      <c r="BA31" s="228"/>
      <c r="BB31" s="228"/>
      <c r="BC31" s="228"/>
      <c r="BD31" s="228"/>
      <c r="BE31" s="228"/>
      <c r="BF31" s="228"/>
      <c r="BG31" s="228"/>
      <c r="BH31" s="228"/>
      <c r="BI31" s="228"/>
      <c r="BJ31" s="228"/>
      <c r="BK31" s="228"/>
      <c r="BL31" s="228"/>
      <c r="BM31" s="228"/>
      <c r="BN31" s="228"/>
      <c r="BO31" s="228"/>
      <c r="BP31" s="228"/>
      <c r="BQ31" s="228"/>
      <c r="BR31" s="228"/>
      <c r="BS31" s="228"/>
      <c r="BT31" s="228"/>
      <c r="BU31" s="228"/>
      <c r="BV31" s="228"/>
      <c r="BW31" s="228"/>
      <c r="BX31" s="228"/>
      <c r="BY31" s="228"/>
      <c r="BZ31" s="228"/>
      <c r="CA31" s="228"/>
      <c r="CB31" s="228"/>
      <c r="CC31" s="228"/>
      <c r="CD31" s="228"/>
      <c r="CE31" s="228"/>
      <c r="CF31" s="228"/>
      <c r="CG31" s="228"/>
      <c r="CH31" s="228"/>
      <c r="CI31" s="228"/>
      <c r="CJ31" s="228"/>
      <c r="CK31" s="228"/>
      <c r="CL31" s="228"/>
      <c r="CM31" s="228"/>
      <c r="CN31" s="228"/>
      <c r="CO31" s="228"/>
      <c r="CP31" s="228"/>
      <c r="CQ31" s="228"/>
      <c r="CR31" s="228"/>
      <c r="CS31" s="228"/>
      <c r="CT31" s="228"/>
      <c r="CU31" s="228"/>
      <c r="CV31" s="228"/>
      <c r="CW31" s="228"/>
    </row>
    <row r="32" spans="1:101" ht="31.5" customHeight="1" x14ac:dyDescent="0.25">
      <c r="A32" s="228"/>
      <c r="B32" s="228"/>
      <c r="C32" s="228"/>
      <c r="D32" s="228"/>
      <c r="E32" s="228"/>
      <c r="F32" s="228"/>
      <c r="G32" s="228"/>
      <c r="H32" s="228"/>
      <c r="I32" s="228"/>
      <c r="J32" s="228"/>
      <c r="K32" s="228"/>
      <c r="L32" s="228"/>
      <c r="M32" s="228"/>
      <c r="N32" s="228"/>
      <c r="O32" s="228"/>
      <c r="P32" s="228"/>
      <c r="Q32" s="228"/>
      <c r="R32" s="228"/>
      <c r="S32" s="228"/>
      <c r="T32" s="228"/>
      <c r="U32" s="228"/>
      <c r="V32" s="228"/>
      <c r="W32" s="228"/>
      <c r="X32" s="228"/>
      <c r="Y32" s="228"/>
      <c r="Z32" s="228"/>
      <c r="AA32" s="228"/>
      <c r="AB32" s="228"/>
      <c r="AC32" s="228"/>
      <c r="AD32" s="228"/>
      <c r="AE32" s="228"/>
      <c r="AF32" s="228"/>
      <c r="AG32" s="228"/>
      <c r="AH32" s="228"/>
      <c r="AI32" s="228"/>
      <c r="AJ32" s="228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8"/>
      <c r="AV32" s="228"/>
      <c r="AW32" s="228"/>
      <c r="AX32" s="228"/>
      <c r="AY32" s="228"/>
      <c r="AZ32" s="228"/>
      <c r="BA32" s="228"/>
      <c r="BB32" s="228"/>
      <c r="BC32" s="228"/>
      <c r="BD32" s="228"/>
      <c r="BE32" s="228"/>
      <c r="BF32" s="228"/>
      <c r="BG32" s="228"/>
      <c r="BH32" s="228"/>
      <c r="BI32" s="228"/>
      <c r="BJ32" s="228"/>
      <c r="BK32" s="228"/>
      <c r="BL32" s="228"/>
      <c r="BM32" s="228"/>
      <c r="BN32" s="228"/>
      <c r="BO32" s="228"/>
      <c r="BP32" s="228"/>
      <c r="BQ32" s="228"/>
      <c r="BR32" s="228"/>
      <c r="BS32" s="228"/>
      <c r="BT32" s="228"/>
      <c r="BU32" s="228"/>
      <c r="BV32" s="228"/>
      <c r="BW32" s="228"/>
      <c r="BX32" s="228"/>
      <c r="BY32" s="228"/>
      <c r="BZ32" s="228"/>
      <c r="CA32" s="228"/>
      <c r="CB32" s="228"/>
      <c r="CC32" s="228"/>
      <c r="CD32" s="228"/>
      <c r="CE32" s="228"/>
      <c r="CF32" s="228"/>
      <c r="CG32" s="228"/>
      <c r="CH32" s="228"/>
      <c r="CI32" s="228"/>
      <c r="CJ32" s="228"/>
      <c r="CK32" s="228"/>
      <c r="CL32" s="228"/>
      <c r="CM32" s="228"/>
      <c r="CN32" s="228"/>
      <c r="CO32" s="228"/>
      <c r="CP32" s="228"/>
      <c r="CQ32" s="228"/>
      <c r="CR32" s="228"/>
      <c r="CS32" s="228"/>
      <c r="CT32" s="228"/>
      <c r="CU32" s="228"/>
      <c r="CV32" s="228"/>
      <c r="CW32" s="228"/>
    </row>
    <row r="33" spans="1:101" ht="31.5" customHeight="1" x14ac:dyDescent="0.25">
      <c r="A33" s="228"/>
      <c r="B33" s="228"/>
      <c r="C33" s="228"/>
      <c r="D33" s="228"/>
      <c r="E33" s="228"/>
      <c r="F33" s="228"/>
      <c r="G33" s="228"/>
      <c r="H33" s="228"/>
      <c r="I33" s="228"/>
      <c r="J33" s="228"/>
      <c r="K33" s="228"/>
      <c r="L33" s="228"/>
      <c r="M33" s="228"/>
      <c r="N33" s="228"/>
      <c r="O33" s="228"/>
      <c r="P33" s="228"/>
      <c r="Q33" s="228"/>
      <c r="R33" s="228"/>
      <c r="S33" s="228"/>
      <c r="T33" s="228"/>
      <c r="U33" s="228"/>
      <c r="V33" s="228"/>
      <c r="W33" s="228"/>
      <c r="X33" s="228"/>
      <c r="Y33" s="228"/>
      <c r="Z33" s="228"/>
      <c r="AA33" s="228"/>
      <c r="AB33" s="228"/>
      <c r="AC33" s="228"/>
      <c r="AD33" s="228"/>
      <c r="AE33" s="228"/>
      <c r="AF33" s="228"/>
      <c r="AG33" s="228"/>
      <c r="AH33" s="228"/>
      <c r="AI33" s="228"/>
      <c r="AJ33" s="228"/>
      <c r="AK33" s="228"/>
      <c r="AL33" s="228"/>
      <c r="AM33" s="228"/>
      <c r="AN33" s="228"/>
      <c r="AO33" s="228"/>
      <c r="AP33" s="228"/>
      <c r="AQ33" s="228"/>
      <c r="AR33" s="228"/>
      <c r="AS33" s="228"/>
      <c r="AT33" s="228"/>
      <c r="AU33" s="228"/>
      <c r="AV33" s="228"/>
      <c r="AW33" s="228"/>
      <c r="AX33" s="228"/>
      <c r="AY33" s="228"/>
      <c r="AZ33" s="228"/>
      <c r="BA33" s="228"/>
      <c r="BB33" s="228"/>
      <c r="BC33" s="228"/>
      <c r="BD33" s="228"/>
      <c r="BE33" s="228"/>
      <c r="BF33" s="228"/>
      <c r="BG33" s="228"/>
      <c r="BH33" s="228"/>
      <c r="BI33" s="228"/>
      <c r="BJ33" s="228"/>
      <c r="BK33" s="228"/>
      <c r="BL33" s="228"/>
      <c r="BM33" s="228"/>
      <c r="BN33" s="228"/>
      <c r="BO33" s="228"/>
      <c r="BP33" s="228"/>
      <c r="BQ33" s="228"/>
      <c r="BR33" s="228"/>
      <c r="BS33" s="228"/>
      <c r="BT33" s="228"/>
      <c r="BU33" s="228"/>
      <c r="BV33" s="228"/>
      <c r="BW33" s="228"/>
      <c r="BX33" s="228"/>
      <c r="BY33" s="228"/>
      <c r="BZ33" s="228"/>
      <c r="CA33" s="228"/>
      <c r="CB33" s="228"/>
      <c r="CC33" s="228"/>
      <c r="CD33" s="228"/>
      <c r="CE33" s="228"/>
      <c r="CF33" s="228"/>
      <c r="CG33" s="228"/>
      <c r="CH33" s="228"/>
      <c r="CI33" s="228"/>
      <c r="CJ33" s="228"/>
      <c r="CK33" s="228"/>
      <c r="CL33" s="228"/>
      <c r="CM33" s="228"/>
      <c r="CN33" s="228"/>
      <c r="CO33" s="228"/>
      <c r="CP33" s="228"/>
      <c r="CQ33" s="228"/>
      <c r="CR33" s="228"/>
      <c r="CS33" s="228"/>
      <c r="CT33" s="228"/>
      <c r="CU33" s="228"/>
      <c r="CV33" s="228"/>
      <c r="CW33" s="228"/>
    </row>
    <row r="34" spans="1:101" ht="31.5" customHeight="1" x14ac:dyDescent="0.25">
      <c r="A34" s="228"/>
      <c r="B34" s="228"/>
      <c r="C34" s="228"/>
      <c r="D34" s="228"/>
      <c r="E34" s="228"/>
      <c r="F34" s="228"/>
      <c r="G34" s="228"/>
      <c r="H34" s="228"/>
      <c r="I34" s="228"/>
      <c r="J34" s="228"/>
      <c r="K34" s="228"/>
      <c r="L34" s="228"/>
      <c r="M34" s="228"/>
      <c r="N34" s="228"/>
      <c r="O34" s="228"/>
      <c r="P34" s="228"/>
      <c r="Q34" s="228"/>
      <c r="R34" s="228"/>
      <c r="S34" s="228"/>
      <c r="T34" s="228"/>
      <c r="U34" s="228"/>
      <c r="V34" s="228"/>
      <c r="W34" s="228"/>
      <c r="X34" s="228"/>
      <c r="Y34" s="228"/>
      <c r="Z34" s="228"/>
      <c r="AA34" s="228"/>
      <c r="AB34" s="228"/>
      <c r="AC34" s="228"/>
      <c r="AD34" s="228"/>
      <c r="AE34" s="228"/>
      <c r="AF34" s="228"/>
      <c r="AG34" s="228"/>
      <c r="AH34" s="228"/>
      <c r="AI34" s="228"/>
      <c r="AJ34" s="228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8"/>
      <c r="AV34" s="228"/>
      <c r="AW34" s="228"/>
      <c r="AX34" s="228"/>
      <c r="AY34" s="228"/>
      <c r="AZ34" s="228"/>
      <c r="BA34" s="228"/>
      <c r="BB34" s="228"/>
      <c r="BC34" s="228"/>
      <c r="BD34" s="228"/>
      <c r="BE34" s="228"/>
      <c r="BF34" s="228"/>
      <c r="BG34" s="228"/>
      <c r="BH34" s="228"/>
      <c r="BI34" s="228"/>
      <c r="BJ34" s="228"/>
      <c r="BK34" s="228"/>
      <c r="BL34" s="228"/>
      <c r="BM34" s="228"/>
      <c r="BN34" s="228"/>
      <c r="BO34" s="228"/>
      <c r="BP34" s="228"/>
      <c r="BQ34" s="228"/>
      <c r="BR34" s="228"/>
      <c r="BS34" s="228"/>
      <c r="BT34" s="228"/>
      <c r="BU34" s="228"/>
      <c r="BV34" s="228"/>
      <c r="BW34" s="228"/>
      <c r="BX34" s="228"/>
      <c r="BY34" s="228"/>
      <c r="BZ34" s="228"/>
      <c r="CA34" s="228"/>
      <c r="CB34" s="228"/>
      <c r="CC34" s="228"/>
      <c r="CD34" s="228"/>
      <c r="CE34" s="228"/>
      <c r="CF34" s="228"/>
      <c r="CG34" s="228"/>
      <c r="CH34" s="228"/>
      <c r="CI34" s="228"/>
      <c r="CJ34" s="228"/>
      <c r="CK34" s="228"/>
      <c r="CL34" s="228"/>
      <c r="CM34" s="228"/>
      <c r="CN34" s="228"/>
      <c r="CO34" s="228"/>
      <c r="CP34" s="228"/>
      <c r="CQ34" s="228"/>
      <c r="CR34" s="228"/>
      <c r="CS34" s="228"/>
      <c r="CT34" s="228"/>
      <c r="CU34" s="228"/>
      <c r="CV34" s="228"/>
      <c r="CW34" s="228"/>
    </row>
    <row r="35" spans="1:101" ht="31.5" customHeight="1" x14ac:dyDescent="0.25">
      <c r="A35" s="228"/>
      <c r="B35" s="228"/>
      <c r="C35" s="228"/>
      <c r="D35" s="228"/>
      <c r="E35" s="228"/>
      <c r="F35" s="228"/>
      <c r="G35" s="228"/>
      <c r="H35" s="228"/>
      <c r="I35" s="228"/>
      <c r="J35" s="228"/>
      <c r="K35" s="228"/>
      <c r="L35" s="228"/>
      <c r="M35" s="228"/>
      <c r="N35" s="228"/>
      <c r="O35" s="228"/>
      <c r="P35" s="228"/>
      <c r="Q35" s="228"/>
      <c r="R35" s="228"/>
      <c r="S35" s="228"/>
      <c r="T35" s="228"/>
      <c r="U35" s="228"/>
      <c r="V35" s="228"/>
      <c r="W35" s="228"/>
      <c r="X35" s="228"/>
      <c r="Y35" s="228"/>
      <c r="Z35" s="228"/>
      <c r="AA35" s="228"/>
      <c r="AB35" s="228"/>
      <c r="AC35" s="228"/>
      <c r="AD35" s="228"/>
      <c r="AE35" s="228"/>
      <c r="AF35" s="228"/>
      <c r="AG35" s="228"/>
      <c r="AH35" s="228"/>
      <c r="AI35" s="228"/>
      <c r="AJ35" s="228"/>
      <c r="AK35" s="228"/>
      <c r="AL35" s="228"/>
      <c r="AM35" s="228"/>
      <c r="AN35" s="228"/>
      <c r="AO35" s="228"/>
      <c r="AP35" s="228"/>
      <c r="AQ35" s="228"/>
      <c r="AR35" s="228"/>
      <c r="AS35" s="228"/>
      <c r="AT35" s="228"/>
      <c r="AU35" s="228"/>
      <c r="AV35" s="228"/>
      <c r="AW35" s="228"/>
      <c r="AX35" s="228"/>
      <c r="AY35" s="228"/>
      <c r="AZ35" s="228"/>
      <c r="BA35" s="228"/>
      <c r="BB35" s="228"/>
      <c r="BC35" s="228"/>
      <c r="BD35" s="228"/>
      <c r="BE35" s="228"/>
      <c r="BF35" s="228"/>
      <c r="BG35" s="228"/>
      <c r="BH35" s="228"/>
      <c r="BI35" s="228"/>
      <c r="BJ35" s="228"/>
      <c r="BK35" s="228"/>
      <c r="BL35" s="228"/>
      <c r="BM35" s="228"/>
      <c r="BN35" s="228"/>
      <c r="BO35" s="228"/>
      <c r="BP35" s="228"/>
      <c r="BQ35" s="228"/>
      <c r="BR35" s="228"/>
      <c r="BS35" s="228"/>
      <c r="BT35" s="228"/>
      <c r="BU35" s="228"/>
      <c r="BV35" s="228"/>
      <c r="BW35" s="228"/>
      <c r="BX35" s="228"/>
      <c r="BY35" s="228"/>
      <c r="BZ35" s="228"/>
      <c r="CA35" s="228"/>
      <c r="CB35" s="228"/>
      <c r="CC35" s="228"/>
      <c r="CD35" s="228"/>
      <c r="CE35" s="228"/>
      <c r="CF35" s="228"/>
      <c r="CG35" s="228"/>
      <c r="CH35" s="228"/>
      <c r="CI35" s="228"/>
      <c r="CJ35" s="228"/>
      <c r="CK35" s="228"/>
      <c r="CL35" s="228"/>
      <c r="CM35" s="228"/>
      <c r="CN35" s="228"/>
      <c r="CO35" s="228"/>
      <c r="CP35" s="228"/>
      <c r="CQ35" s="228"/>
      <c r="CR35" s="228"/>
      <c r="CS35" s="228"/>
      <c r="CT35" s="228"/>
      <c r="CU35" s="228"/>
      <c r="CV35" s="228"/>
      <c r="CW35" s="228"/>
    </row>
    <row r="36" spans="1:101" ht="31.5" customHeight="1" x14ac:dyDescent="0.25">
      <c r="A36" s="228"/>
      <c r="B36" s="228"/>
      <c r="C36" s="228"/>
      <c r="D36" s="228"/>
      <c r="E36" s="228"/>
      <c r="F36" s="228"/>
      <c r="G36" s="228"/>
      <c r="H36" s="228"/>
      <c r="I36" s="228"/>
      <c r="J36" s="228"/>
      <c r="K36" s="228"/>
      <c r="L36" s="228"/>
      <c r="M36" s="228"/>
      <c r="N36" s="228"/>
      <c r="O36" s="228"/>
      <c r="P36" s="228"/>
      <c r="Q36" s="228"/>
      <c r="R36" s="228"/>
      <c r="S36" s="228"/>
      <c r="T36" s="228"/>
      <c r="U36" s="228"/>
      <c r="V36" s="228"/>
      <c r="W36" s="228"/>
      <c r="X36" s="228"/>
      <c r="Y36" s="228"/>
      <c r="Z36" s="228"/>
      <c r="AA36" s="228"/>
      <c r="AB36" s="228"/>
      <c r="AC36" s="228"/>
      <c r="AD36" s="228"/>
      <c r="AE36" s="228"/>
      <c r="AF36" s="228"/>
      <c r="AG36" s="228"/>
      <c r="AH36" s="228"/>
      <c r="AI36" s="228"/>
      <c r="AJ36" s="228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8"/>
      <c r="AV36" s="228"/>
      <c r="AW36" s="228"/>
      <c r="AX36" s="228"/>
      <c r="AY36" s="228"/>
      <c r="AZ36" s="228"/>
      <c r="BA36" s="228"/>
      <c r="BB36" s="228"/>
      <c r="BC36" s="228"/>
      <c r="BD36" s="228"/>
      <c r="BE36" s="228"/>
      <c r="BF36" s="228"/>
      <c r="BG36" s="228"/>
      <c r="BH36" s="228"/>
      <c r="BI36" s="228"/>
      <c r="BJ36" s="228"/>
      <c r="BK36" s="228"/>
      <c r="BL36" s="228"/>
      <c r="BM36" s="228"/>
      <c r="BN36" s="228"/>
      <c r="BO36" s="228"/>
      <c r="BP36" s="228"/>
      <c r="BQ36" s="228"/>
      <c r="BR36" s="228"/>
      <c r="BS36" s="228"/>
      <c r="BT36" s="228"/>
      <c r="BU36" s="228"/>
      <c r="BV36" s="228"/>
      <c r="BW36" s="228"/>
      <c r="BX36" s="228"/>
      <c r="BY36" s="228"/>
      <c r="BZ36" s="228"/>
      <c r="CA36" s="228"/>
      <c r="CB36" s="228"/>
      <c r="CC36" s="228"/>
      <c r="CD36" s="228"/>
      <c r="CE36" s="228"/>
      <c r="CF36" s="228"/>
      <c r="CG36" s="228"/>
      <c r="CH36" s="228"/>
      <c r="CI36" s="228"/>
      <c r="CJ36" s="228"/>
      <c r="CK36" s="228"/>
      <c r="CL36" s="228"/>
      <c r="CM36" s="228"/>
      <c r="CN36" s="228"/>
      <c r="CO36" s="228"/>
      <c r="CP36" s="228"/>
      <c r="CQ36" s="228"/>
      <c r="CR36" s="228"/>
      <c r="CS36" s="228"/>
      <c r="CT36" s="228"/>
      <c r="CU36" s="228"/>
      <c r="CV36" s="228"/>
      <c r="CW36" s="228"/>
    </row>
    <row r="37" spans="1:101" ht="31.5" customHeight="1" x14ac:dyDescent="0.25">
      <c r="A37" s="228"/>
      <c r="B37" s="228"/>
      <c r="C37" s="228"/>
      <c r="D37" s="228"/>
      <c r="E37" s="228"/>
      <c r="F37" s="228"/>
      <c r="G37" s="228"/>
      <c r="H37" s="228"/>
      <c r="I37" s="228"/>
      <c r="J37" s="228"/>
      <c r="K37" s="228"/>
      <c r="L37" s="228"/>
      <c r="M37" s="228"/>
      <c r="N37" s="228"/>
      <c r="O37" s="228"/>
      <c r="P37" s="228"/>
      <c r="Q37" s="228"/>
      <c r="R37" s="228"/>
      <c r="S37" s="228"/>
      <c r="T37" s="228"/>
      <c r="U37" s="228"/>
      <c r="V37" s="228"/>
      <c r="W37" s="228"/>
      <c r="X37" s="228"/>
      <c r="Y37" s="228"/>
      <c r="Z37" s="228"/>
      <c r="AA37" s="228"/>
      <c r="AB37" s="228"/>
      <c r="AC37" s="228"/>
      <c r="AD37" s="228"/>
      <c r="AE37" s="228"/>
      <c r="AF37" s="228"/>
      <c r="AG37" s="228"/>
      <c r="AH37" s="228"/>
      <c r="AI37" s="228"/>
      <c r="AJ37" s="228"/>
      <c r="AK37" s="228"/>
      <c r="AL37" s="228"/>
      <c r="AM37" s="228"/>
      <c r="AN37" s="228"/>
      <c r="AO37" s="228"/>
      <c r="AP37" s="228"/>
      <c r="AQ37" s="228"/>
      <c r="AR37" s="228"/>
      <c r="AS37" s="228"/>
      <c r="AT37" s="228"/>
      <c r="AU37" s="228"/>
      <c r="AV37" s="228"/>
      <c r="AW37" s="228"/>
      <c r="AX37" s="228"/>
      <c r="AY37" s="228"/>
      <c r="AZ37" s="228"/>
      <c r="BA37" s="228"/>
      <c r="BB37" s="228"/>
      <c r="BC37" s="228"/>
      <c r="BD37" s="228"/>
      <c r="BE37" s="228"/>
      <c r="BF37" s="228"/>
      <c r="BG37" s="228"/>
      <c r="BH37" s="228"/>
      <c r="BI37" s="228"/>
      <c r="BJ37" s="228"/>
      <c r="BK37" s="228"/>
      <c r="BL37" s="228"/>
      <c r="BM37" s="228"/>
      <c r="BN37" s="228"/>
      <c r="BO37" s="228"/>
      <c r="BP37" s="228"/>
      <c r="BQ37" s="228"/>
      <c r="BR37" s="228"/>
      <c r="BS37" s="228"/>
      <c r="BT37" s="228"/>
      <c r="BU37" s="228"/>
      <c r="BV37" s="228"/>
      <c r="BW37" s="228"/>
      <c r="BX37" s="228"/>
      <c r="BY37" s="228"/>
      <c r="BZ37" s="228"/>
      <c r="CA37" s="228"/>
      <c r="CB37" s="228"/>
      <c r="CC37" s="228"/>
      <c r="CD37" s="228"/>
      <c r="CE37" s="228"/>
      <c r="CF37" s="228"/>
      <c r="CG37" s="228"/>
      <c r="CH37" s="228"/>
      <c r="CI37" s="228"/>
      <c r="CJ37" s="228"/>
      <c r="CK37" s="228"/>
      <c r="CL37" s="228"/>
      <c r="CM37" s="228"/>
      <c r="CN37" s="228"/>
      <c r="CO37" s="228"/>
      <c r="CP37" s="228"/>
      <c r="CQ37" s="228"/>
      <c r="CR37" s="228"/>
      <c r="CS37" s="228"/>
      <c r="CT37" s="228"/>
      <c r="CU37" s="228"/>
      <c r="CV37" s="228"/>
      <c r="CW37" s="228"/>
    </row>
    <row r="38" spans="1:101" ht="31.5" customHeight="1" x14ac:dyDescent="0.25">
      <c r="A38" s="228"/>
      <c r="B38" s="228"/>
      <c r="C38" s="228"/>
      <c r="D38" s="228"/>
      <c r="E38" s="228"/>
      <c r="F38" s="228"/>
      <c r="G38" s="228"/>
      <c r="H38" s="228"/>
      <c r="I38" s="228"/>
      <c r="J38" s="228"/>
      <c r="K38" s="228"/>
      <c r="L38" s="228"/>
      <c r="M38" s="228"/>
      <c r="N38" s="228"/>
      <c r="O38" s="228"/>
      <c r="P38" s="228"/>
      <c r="Q38" s="228"/>
      <c r="R38" s="228"/>
      <c r="S38" s="228"/>
      <c r="T38" s="228"/>
      <c r="U38" s="228"/>
      <c r="V38" s="228"/>
      <c r="W38" s="228"/>
      <c r="X38" s="228"/>
      <c r="Y38" s="228"/>
      <c r="Z38" s="228"/>
      <c r="AA38" s="228"/>
      <c r="AB38" s="228"/>
      <c r="AC38" s="228"/>
      <c r="AD38" s="228"/>
      <c r="AE38" s="228"/>
      <c r="AF38" s="228"/>
      <c r="AG38" s="228"/>
      <c r="AH38" s="228"/>
      <c r="AI38" s="228"/>
      <c r="AJ38" s="228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8"/>
      <c r="AV38" s="228"/>
      <c r="AW38" s="228"/>
      <c r="AX38" s="228"/>
      <c r="AY38" s="228"/>
      <c r="AZ38" s="228"/>
      <c r="BA38" s="228"/>
      <c r="BB38" s="228"/>
      <c r="BC38" s="228"/>
      <c r="BD38" s="228"/>
      <c r="BE38" s="228"/>
      <c r="BF38" s="228"/>
      <c r="BG38" s="228"/>
      <c r="BH38" s="228"/>
      <c r="BI38" s="228"/>
      <c r="BJ38" s="228"/>
      <c r="BK38" s="228"/>
      <c r="BL38" s="228"/>
      <c r="BM38" s="228"/>
      <c r="BN38" s="228"/>
      <c r="BO38" s="228"/>
      <c r="BP38" s="228"/>
      <c r="BQ38" s="228"/>
      <c r="BR38" s="228"/>
      <c r="BS38" s="228"/>
      <c r="BT38" s="228"/>
      <c r="BU38" s="228"/>
      <c r="BV38" s="228"/>
      <c r="BW38" s="228"/>
      <c r="BX38" s="228"/>
      <c r="BY38" s="228"/>
      <c r="BZ38" s="228"/>
      <c r="CA38" s="228"/>
      <c r="CB38" s="228"/>
      <c r="CC38" s="228"/>
      <c r="CD38" s="228"/>
      <c r="CE38" s="228"/>
      <c r="CF38" s="228"/>
      <c r="CG38" s="228"/>
      <c r="CH38" s="228"/>
      <c r="CI38" s="228"/>
      <c r="CJ38" s="228"/>
      <c r="CK38" s="228"/>
      <c r="CL38" s="228"/>
      <c r="CM38" s="228"/>
      <c r="CN38" s="228"/>
      <c r="CO38" s="228"/>
      <c r="CP38" s="228"/>
      <c r="CQ38" s="228"/>
      <c r="CR38" s="228"/>
      <c r="CS38" s="228"/>
      <c r="CT38" s="228"/>
      <c r="CU38" s="228"/>
      <c r="CV38" s="228"/>
      <c r="CW38" s="228"/>
    </row>
    <row r="39" spans="1:101" ht="31.5" customHeight="1" x14ac:dyDescent="0.25">
      <c r="A39" s="228"/>
      <c r="B39" s="228"/>
      <c r="C39" s="228"/>
      <c r="D39" s="228"/>
      <c r="E39" s="228"/>
      <c r="F39" s="228"/>
      <c r="G39" s="228"/>
      <c r="H39" s="228"/>
      <c r="I39" s="228"/>
      <c r="J39" s="228"/>
      <c r="K39" s="228"/>
      <c r="L39" s="228"/>
      <c r="M39" s="228"/>
      <c r="N39" s="228"/>
      <c r="O39" s="228"/>
      <c r="P39" s="228"/>
      <c r="Q39" s="228"/>
      <c r="R39" s="228"/>
      <c r="S39" s="228"/>
      <c r="T39" s="228"/>
      <c r="U39" s="228"/>
      <c r="V39" s="228"/>
      <c r="W39" s="228"/>
      <c r="X39" s="228"/>
      <c r="Y39" s="228"/>
      <c r="Z39" s="228"/>
      <c r="AA39" s="228"/>
      <c r="AB39" s="228"/>
      <c r="AC39" s="228"/>
      <c r="AD39" s="228"/>
      <c r="AE39" s="228"/>
      <c r="AF39" s="228"/>
      <c r="AG39" s="228"/>
      <c r="AH39" s="228"/>
      <c r="AI39" s="228"/>
      <c r="AJ39" s="228"/>
      <c r="AK39" s="228"/>
      <c r="AL39" s="228"/>
      <c r="AM39" s="228"/>
      <c r="AN39" s="228"/>
      <c r="AO39" s="228"/>
      <c r="AP39" s="228"/>
      <c r="AQ39" s="228"/>
      <c r="AR39" s="228"/>
      <c r="AS39" s="228"/>
      <c r="AT39" s="228"/>
      <c r="AU39" s="228"/>
      <c r="AV39" s="228"/>
      <c r="AW39" s="228"/>
      <c r="AX39" s="228"/>
      <c r="AY39" s="228"/>
      <c r="AZ39" s="228"/>
      <c r="BA39" s="228"/>
      <c r="BB39" s="228"/>
      <c r="BC39" s="228"/>
      <c r="BD39" s="228"/>
      <c r="BE39" s="228"/>
      <c r="BF39" s="228"/>
      <c r="BG39" s="228"/>
      <c r="BH39" s="228"/>
      <c r="BI39" s="228"/>
      <c r="BJ39" s="228"/>
      <c r="BK39" s="228"/>
      <c r="BL39" s="228"/>
      <c r="BM39" s="228"/>
      <c r="BN39" s="228"/>
      <c r="BO39" s="228"/>
      <c r="BP39" s="228"/>
      <c r="BQ39" s="228"/>
      <c r="BR39" s="228"/>
      <c r="BS39" s="228"/>
      <c r="BT39" s="228"/>
      <c r="BU39" s="228"/>
      <c r="BV39" s="228"/>
      <c r="BW39" s="228"/>
      <c r="BX39" s="228"/>
      <c r="BY39" s="228"/>
      <c r="BZ39" s="228"/>
      <c r="CA39" s="228"/>
      <c r="CB39" s="228"/>
      <c r="CC39" s="228"/>
      <c r="CD39" s="228"/>
      <c r="CE39" s="228"/>
      <c r="CF39" s="228"/>
      <c r="CG39" s="228"/>
      <c r="CH39" s="228"/>
      <c r="CI39" s="228"/>
      <c r="CJ39" s="228"/>
      <c r="CK39" s="228"/>
      <c r="CL39" s="228"/>
      <c r="CM39" s="228"/>
      <c r="CN39" s="228"/>
      <c r="CO39" s="228"/>
      <c r="CP39" s="228"/>
      <c r="CQ39" s="228"/>
      <c r="CR39" s="228"/>
      <c r="CS39" s="228"/>
      <c r="CT39" s="228"/>
      <c r="CU39" s="228"/>
      <c r="CV39" s="228"/>
      <c r="CW39" s="228"/>
    </row>
    <row r="40" spans="1:101" ht="31.5" customHeight="1" x14ac:dyDescent="0.25">
      <c r="A40" s="228"/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8"/>
      <c r="P40" s="228"/>
      <c r="Q40" s="228"/>
      <c r="R40" s="228"/>
      <c r="S40" s="228"/>
      <c r="T40" s="228"/>
      <c r="U40" s="228"/>
      <c r="V40" s="228"/>
      <c r="W40" s="228"/>
      <c r="X40" s="228"/>
      <c r="Y40" s="228"/>
      <c r="Z40" s="228"/>
      <c r="AA40" s="228"/>
      <c r="AB40" s="228"/>
      <c r="AC40" s="228"/>
      <c r="AD40" s="228"/>
      <c r="AE40" s="228"/>
      <c r="AF40" s="228"/>
      <c r="AG40" s="228"/>
      <c r="AH40" s="228"/>
      <c r="AI40" s="228"/>
      <c r="AJ40" s="228"/>
      <c r="AK40" s="228"/>
      <c r="AL40" s="228"/>
      <c r="AM40" s="228"/>
      <c r="AN40" s="228"/>
      <c r="AO40" s="228"/>
      <c r="AP40" s="228"/>
      <c r="AQ40" s="228"/>
      <c r="AR40" s="228"/>
      <c r="AS40" s="228"/>
      <c r="AT40" s="228"/>
      <c r="AU40" s="228"/>
      <c r="AV40" s="228"/>
      <c r="AW40" s="228"/>
      <c r="AX40" s="228"/>
      <c r="AY40" s="228"/>
      <c r="AZ40" s="228"/>
      <c r="BA40" s="228"/>
      <c r="BB40" s="228"/>
      <c r="BC40" s="228"/>
      <c r="BD40" s="228"/>
      <c r="BE40" s="228"/>
      <c r="BF40" s="228"/>
      <c r="BG40" s="228"/>
      <c r="BH40" s="228"/>
      <c r="BI40" s="228"/>
      <c r="BJ40" s="228"/>
      <c r="BK40" s="228"/>
      <c r="BL40" s="228"/>
      <c r="BM40" s="228"/>
      <c r="BN40" s="228"/>
      <c r="BO40" s="228"/>
      <c r="BP40" s="228"/>
      <c r="BQ40" s="228"/>
      <c r="BR40" s="228"/>
      <c r="BS40" s="228"/>
      <c r="BT40" s="228"/>
      <c r="BU40" s="228"/>
      <c r="BV40" s="228"/>
      <c r="BW40" s="228"/>
      <c r="BX40" s="228"/>
      <c r="BY40" s="228"/>
      <c r="BZ40" s="228"/>
      <c r="CA40" s="228"/>
      <c r="CB40" s="228"/>
      <c r="CC40" s="228"/>
      <c r="CD40" s="228"/>
      <c r="CE40" s="228"/>
      <c r="CF40" s="228"/>
      <c r="CG40" s="228"/>
      <c r="CH40" s="228"/>
      <c r="CI40" s="228"/>
      <c r="CJ40" s="228"/>
      <c r="CK40" s="228"/>
      <c r="CL40" s="228"/>
      <c r="CM40" s="228"/>
      <c r="CN40" s="228"/>
      <c r="CO40" s="228"/>
      <c r="CP40" s="228"/>
      <c r="CQ40" s="228"/>
      <c r="CR40" s="228"/>
      <c r="CS40" s="228"/>
      <c r="CT40" s="228"/>
      <c r="CU40" s="228"/>
      <c r="CV40" s="228"/>
      <c r="CW40" s="228"/>
    </row>
    <row r="41" spans="1:101" ht="31.5" customHeight="1" x14ac:dyDescent="0.25">
      <c r="A41" s="228"/>
      <c r="B41" s="228"/>
      <c r="C41" s="228"/>
      <c r="D41" s="228"/>
      <c r="E41" s="228"/>
      <c r="F41" s="228"/>
      <c r="G41" s="228"/>
      <c r="H41" s="228"/>
      <c r="I41" s="228"/>
      <c r="J41" s="228"/>
      <c r="K41" s="228"/>
      <c r="L41" s="228"/>
      <c r="M41" s="228"/>
      <c r="N41" s="228"/>
      <c r="O41" s="228"/>
      <c r="P41" s="228"/>
      <c r="Q41" s="228"/>
      <c r="R41" s="228"/>
      <c r="S41" s="228"/>
      <c r="T41" s="228"/>
      <c r="U41" s="228"/>
      <c r="V41" s="228"/>
      <c r="W41" s="228"/>
      <c r="X41" s="228"/>
      <c r="Y41" s="228"/>
      <c r="Z41" s="228"/>
      <c r="AA41" s="228"/>
      <c r="AB41" s="228"/>
      <c r="AC41" s="228"/>
      <c r="AD41" s="228"/>
      <c r="AE41" s="228"/>
      <c r="AF41" s="228"/>
      <c r="AG41" s="228"/>
      <c r="AH41" s="228"/>
      <c r="AI41" s="228"/>
      <c r="AJ41" s="228"/>
      <c r="AK41" s="228"/>
      <c r="AL41" s="228"/>
      <c r="AM41" s="228"/>
      <c r="AN41" s="228"/>
      <c r="AO41" s="228"/>
      <c r="AP41" s="228"/>
      <c r="AQ41" s="228"/>
      <c r="AR41" s="228"/>
      <c r="AS41" s="228"/>
      <c r="AT41" s="228"/>
      <c r="AU41" s="228"/>
      <c r="AV41" s="228"/>
      <c r="AW41" s="228"/>
      <c r="AX41" s="228"/>
      <c r="AY41" s="228"/>
      <c r="AZ41" s="228"/>
      <c r="BA41" s="228"/>
      <c r="BB41" s="228"/>
      <c r="BC41" s="228"/>
      <c r="BD41" s="228"/>
      <c r="BE41" s="228"/>
      <c r="BF41" s="228"/>
      <c r="BG41" s="228"/>
      <c r="BH41" s="228"/>
      <c r="BI41" s="228"/>
      <c r="BJ41" s="228"/>
      <c r="BK41" s="228"/>
      <c r="BL41" s="228"/>
      <c r="BM41" s="228"/>
      <c r="BN41" s="228"/>
      <c r="BO41" s="228"/>
      <c r="BP41" s="228"/>
      <c r="BQ41" s="228"/>
      <c r="BR41" s="228"/>
      <c r="BS41" s="228"/>
      <c r="BT41" s="228"/>
      <c r="BU41" s="228"/>
      <c r="BV41" s="228"/>
      <c r="BW41" s="228"/>
      <c r="BX41" s="228"/>
      <c r="BY41" s="228"/>
      <c r="BZ41" s="228"/>
      <c r="CA41" s="228"/>
      <c r="CB41" s="228"/>
      <c r="CC41" s="228"/>
      <c r="CD41" s="228"/>
      <c r="CE41" s="228"/>
      <c r="CF41" s="228"/>
      <c r="CG41" s="228"/>
      <c r="CH41" s="228"/>
      <c r="CI41" s="228"/>
      <c r="CJ41" s="228"/>
      <c r="CK41" s="228"/>
      <c r="CL41" s="228"/>
      <c r="CM41" s="228"/>
      <c r="CN41" s="228"/>
      <c r="CO41" s="228"/>
      <c r="CP41" s="228"/>
      <c r="CQ41" s="228"/>
      <c r="CR41" s="228"/>
      <c r="CS41" s="228"/>
      <c r="CT41" s="228"/>
      <c r="CU41" s="228"/>
      <c r="CV41" s="228"/>
      <c r="CW41" s="228"/>
    </row>
    <row r="42" spans="1:101" ht="31.5" customHeight="1" x14ac:dyDescent="0.25">
      <c r="A42" s="228"/>
      <c r="B42" s="228"/>
      <c r="C42" s="228"/>
      <c r="D42" s="228"/>
      <c r="E42" s="228"/>
      <c r="F42" s="228"/>
      <c r="G42" s="228"/>
      <c r="H42" s="228"/>
      <c r="I42" s="228"/>
      <c r="J42" s="228"/>
      <c r="K42" s="228"/>
      <c r="L42" s="228"/>
      <c r="M42" s="228"/>
      <c r="N42" s="228"/>
      <c r="O42" s="228"/>
      <c r="P42" s="228"/>
      <c r="Q42" s="228"/>
      <c r="R42" s="228"/>
      <c r="S42" s="228"/>
      <c r="T42" s="228"/>
      <c r="U42" s="228"/>
      <c r="V42" s="228"/>
      <c r="W42" s="228"/>
      <c r="X42" s="228"/>
      <c r="Y42" s="228"/>
      <c r="Z42" s="228"/>
      <c r="AA42" s="228"/>
      <c r="AB42" s="228"/>
      <c r="AC42" s="228"/>
      <c r="AD42" s="228"/>
      <c r="AE42" s="228"/>
      <c r="AF42" s="228"/>
      <c r="AG42" s="228"/>
      <c r="AH42" s="228"/>
      <c r="AI42" s="228"/>
      <c r="AJ42" s="228"/>
      <c r="AK42" s="228"/>
      <c r="AL42" s="228"/>
      <c r="AM42" s="228"/>
      <c r="AN42" s="228"/>
      <c r="AO42" s="228"/>
      <c r="AP42" s="228"/>
      <c r="AQ42" s="228"/>
      <c r="AR42" s="228"/>
      <c r="AS42" s="228"/>
      <c r="AT42" s="228"/>
      <c r="AU42" s="228"/>
      <c r="AV42" s="228"/>
      <c r="AW42" s="228"/>
      <c r="AX42" s="228"/>
      <c r="AY42" s="228"/>
      <c r="AZ42" s="228"/>
      <c r="BA42" s="228"/>
      <c r="BB42" s="228"/>
      <c r="BC42" s="228"/>
      <c r="BD42" s="228"/>
      <c r="BE42" s="228"/>
      <c r="BF42" s="228"/>
      <c r="BG42" s="228"/>
      <c r="BH42" s="228"/>
      <c r="BI42" s="228"/>
      <c r="BJ42" s="228"/>
      <c r="BK42" s="228"/>
      <c r="BL42" s="228"/>
      <c r="BM42" s="228"/>
      <c r="BN42" s="228"/>
      <c r="BO42" s="228"/>
      <c r="BP42" s="228"/>
      <c r="BQ42" s="228"/>
      <c r="BR42" s="228"/>
      <c r="BS42" s="228"/>
      <c r="BT42" s="228"/>
      <c r="BU42" s="228"/>
      <c r="BV42" s="228"/>
      <c r="BW42" s="228"/>
      <c r="BX42" s="228"/>
      <c r="BY42" s="228"/>
      <c r="BZ42" s="228"/>
      <c r="CA42" s="228"/>
      <c r="CB42" s="228"/>
      <c r="CC42" s="228"/>
      <c r="CD42" s="228"/>
      <c r="CE42" s="228"/>
      <c r="CF42" s="228"/>
      <c r="CG42" s="228"/>
      <c r="CH42" s="228"/>
      <c r="CI42" s="228"/>
      <c r="CJ42" s="228"/>
      <c r="CK42" s="228"/>
      <c r="CL42" s="228"/>
      <c r="CM42" s="228"/>
      <c r="CN42" s="228"/>
      <c r="CO42" s="228"/>
      <c r="CP42" s="228"/>
      <c r="CQ42" s="228"/>
      <c r="CR42" s="228"/>
      <c r="CS42" s="228"/>
      <c r="CT42" s="228"/>
      <c r="CU42" s="228"/>
      <c r="CV42" s="228"/>
      <c r="CW42" s="228"/>
    </row>
    <row r="43" spans="1:101" ht="31.5" customHeight="1" x14ac:dyDescent="0.25">
      <c r="A43" s="228"/>
      <c r="B43" s="228"/>
      <c r="C43" s="228"/>
      <c r="D43" s="228"/>
      <c r="E43" s="228"/>
      <c r="F43" s="228"/>
      <c r="G43" s="228"/>
      <c r="H43" s="228"/>
      <c r="I43" s="228"/>
      <c r="J43" s="228"/>
      <c r="K43" s="228"/>
      <c r="L43" s="228"/>
      <c r="M43" s="228"/>
      <c r="N43" s="228"/>
      <c r="O43" s="228"/>
      <c r="P43" s="228"/>
      <c r="Q43" s="228"/>
      <c r="R43" s="228"/>
      <c r="S43" s="228"/>
      <c r="T43" s="228"/>
      <c r="U43" s="228"/>
      <c r="V43" s="228"/>
      <c r="W43" s="228"/>
      <c r="X43" s="228"/>
      <c r="Y43" s="228"/>
      <c r="Z43" s="228"/>
      <c r="AA43" s="228"/>
      <c r="AB43" s="228"/>
      <c r="AC43" s="228"/>
      <c r="AD43" s="228"/>
      <c r="AE43" s="228"/>
      <c r="AF43" s="228"/>
      <c r="AG43" s="228"/>
      <c r="AH43" s="228"/>
      <c r="AI43" s="228"/>
      <c r="AJ43" s="228"/>
      <c r="AK43" s="228"/>
      <c r="AL43" s="228"/>
      <c r="AM43" s="228"/>
      <c r="AN43" s="228"/>
      <c r="AO43" s="228"/>
      <c r="AP43" s="228"/>
      <c r="AQ43" s="228"/>
      <c r="AR43" s="228"/>
      <c r="AS43" s="228"/>
      <c r="AT43" s="228"/>
      <c r="AU43" s="228"/>
      <c r="AV43" s="228"/>
      <c r="AW43" s="228"/>
      <c r="AX43" s="228"/>
      <c r="AY43" s="228"/>
      <c r="AZ43" s="228"/>
      <c r="BA43" s="228"/>
      <c r="BB43" s="228"/>
      <c r="BC43" s="228"/>
      <c r="BD43" s="228"/>
      <c r="BE43" s="228"/>
      <c r="BF43" s="228"/>
      <c r="BG43" s="228"/>
      <c r="BH43" s="228"/>
      <c r="BI43" s="228"/>
      <c r="BJ43" s="228"/>
      <c r="BK43" s="228"/>
      <c r="BL43" s="228"/>
      <c r="BM43" s="228"/>
      <c r="BN43" s="228"/>
      <c r="BO43" s="228"/>
      <c r="BP43" s="228"/>
      <c r="BQ43" s="228"/>
      <c r="BR43" s="228"/>
      <c r="BS43" s="228"/>
      <c r="BT43" s="228"/>
      <c r="BU43" s="228"/>
      <c r="BV43" s="228"/>
      <c r="BW43" s="228"/>
      <c r="BX43" s="228"/>
      <c r="BY43" s="228"/>
      <c r="BZ43" s="228"/>
      <c r="CA43" s="228"/>
      <c r="CB43" s="228"/>
      <c r="CC43" s="228"/>
      <c r="CD43" s="228"/>
      <c r="CE43" s="228"/>
      <c r="CF43" s="228"/>
      <c r="CG43" s="228"/>
      <c r="CH43" s="228"/>
      <c r="CI43" s="228"/>
      <c r="CJ43" s="228"/>
      <c r="CK43" s="228"/>
      <c r="CL43" s="228"/>
      <c r="CM43" s="228"/>
      <c r="CN43" s="228"/>
      <c r="CO43" s="228"/>
      <c r="CP43" s="228"/>
      <c r="CQ43" s="228"/>
      <c r="CR43" s="228"/>
      <c r="CS43" s="228"/>
      <c r="CT43" s="228"/>
      <c r="CU43" s="228"/>
      <c r="CV43" s="228"/>
      <c r="CW43" s="228"/>
    </row>
    <row r="44" spans="1:101" ht="31.5" customHeight="1" x14ac:dyDescent="0.25">
      <c r="A44" s="228"/>
      <c r="B44" s="228"/>
      <c r="C44" s="228"/>
      <c r="D44" s="228"/>
      <c r="E44" s="228"/>
      <c r="F44" s="228"/>
      <c r="G44" s="228"/>
      <c r="H44" s="228"/>
      <c r="I44" s="228"/>
      <c r="J44" s="228"/>
      <c r="K44" s="228"/>
      <c r="L44" s="228"/>
      <c r="M44" s="228"/>
      <c r="N44" s="228"/>
      <c r="O44" s="228"/>
      <c r="P44" s="228"/>
      <c r="Q44" s="228"/>
      <c r="R44" s="228"/>
      <c r="S44" s="228"/>
      <c r="T44" s="228"/>
      <c r="U44" s="228"/>
      <c r="V44" s="228"/>
      <c r="W44" s="228"/>
      <c r="X44" s="228"/>
      <c r="Y44" s="228"/>
      <c r="Z44" s="228"/>
      <c r="AA44" s="228"/>
      <c r="AB44" s="228"/>
      <c r="AC44" s="228"/>
      <c r="AD44" s="228"/>
      <c r="AE44" s="228"/>
      <c r="AF44" s="228"/>
      <c r="AG44" s="228"/>
      <c r="AH44" s="228"/>
      <c r="AI44" s="228"/>
      <c r="AJ44" s="228"/>
      <c r="AK44" s="228"/>
      <c r="AL44" s="228"/>
      <c r="AM44" s="228"/>
      <c r="AN44" s="228"/>
      <c r="AO44" s="228"/>
      <c r="AP44" s="228"/>
      <c r="AQ44" s="228"/>
      <c r="AR44" s="228"/>
      <c r="AS44" s="228"/>
      <c r="AT44" s="228"/>
      <c r="AU44" s="228"/>
      <c r="AV44" s="228"/>
      <c r="AW44" s="228"/>
      <c r="AX44" s="228"/>
      <c r="AY44" s="228"/>
      <c r="AZ44" s="228"/>
      <c r="BA44" s="228"/>
      <c r="BB44" s="228"/>
      <c r="BC44" s="228"/>
      <c r="BD44" s="228"/>
      <c r="BE44" s="228"/>
      <c r="BF44" s="228"/>
      <c r="BG44" s="228"/>
      <c r="BH44" s="228"/>
      <c r="BI44" s="228"/>
      <c r="BJ44" s="228"/>
      <c r="BK44" s="228"/>
      <c r="BL44" s="228"/>
      <c r="BM44" s="228"/>
      <c r="BN44" s="228"/>
      <c r="BO44" s="228"/>
      <c r="BP44" s="228"/>
      <c r="BQ44" s="228"/>
      <c r="BR44" s="228"/>
      <c r="BS44" s="228"/>
      <c r="BT44" s="228"/>
      <c r="BU44" s="228"/>
      <c r="BV44" s="228"/>
      <c r="BW44" s="228"/>
      <c r="BX44" s="228"/>
      <c r="BY44" s="228"/>
      <c r="BZ44" s="228"/>
      <c r="CA44" s="228"/>
      <c r="CB44" s="228"/>
      <c r="CC44" s="228"/>
      <c r="CD44" s="228"/>
      <c r="CE44" s="228"/>
      <c r="CF44" s="228"/>
      <c r="CG44" s="228"/>
      <c r="CH44" s="228"/>
      <c r="CI44" s="228"/>
      <c r="CJ44" s="228"/>
      <c r="CK44" s="228"/>
      <c r="CL44" s="228"/>
      <c r="CM44" s="228"/>
      <c r="CN44" s="228"/>
      <c r="CO44" s="228"/>
      <c r="CP44" s="228"/>
      <c r="CQ44" s="228"/>
      <c r="CR44" s="228"/>
      <c r="CS44" s="228"/>
      <c r="CT44" s="228"/>
      <c r="CU44" s="228"/>
      <c r="CV44" s="228"/>
      <c r="CW44" s="228"/>
    </row>
    <row r="45" spans="1:101" ht="31.5" customHeight="1" x14ac:dyDescent="0.25">
      <c r="Q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</row>
    <row r="46" spans="1:101" ht="31.5" customHeight="1" x14ac:dyDescent="0.25">
      <c r="Q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</row>
    <row r="47" spans="1:101" ht="31.5" customHeight="1" x14ac:dyDescent="0.25">
      <c r="Q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</row>
    <row r="48" spans="1:101" ht="31.5" customHeight="1" x14ac:dyDescent="0.25">
      <c r="Q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</row>
    <row r="49" customFormat="1" ht="31.5" customHeight="1" x14ac:dyDescent="0.25"/>
    <row r="50" customFormat="1" ht="31.5" customHeight="1" x14ac:dyDescent="0.25"/>
    <row r="51" customFormat="1" ht="31.5" customHeight="1" x14ac:dyDescent="0.25"/>
    <row r="52" customFormat="1" ht="31.5" customHeight="1" x14ac:dyDescent="0.25"/>
    <row r="53" customFormat="1" ht="31.5" customHeight="1" x14ac:dyDescent="0.25"/>
    <row r="54" customFormat="1" ht="31.5" customHeight="1" x14ac:dyDescent="0.25"/>
    <row r="55" customFormat="1" ht="31.5" customHeight="1" x14ac:dyDescent="0.25"/>
    <row r="56" customFormat="1" ht="31.5" customHeight="1" x14ac:dyDescent="0.25"/>
    <row r="57" customFormat="1" ht="31.5" customHeight="1" x14ac:dyDescent="0.25"/>
    <row r="58" customFormat="1" ht="31.5" customHeight="1" x14ac:dyDescent="0.25"/>
    <row r="59" customFormat="1" ht="31.5" customHeight="1" x14ac:dyDescent="0.25"/>
    <row r="60" customFormat="1" ht="31.5" customHeight="1" x14ac:dyDescent="0.25"/>
    <row r="61" customFormat="1" ht="31.5" customHeight="1" x14ac:dyDescent="0.25"/>
    <row r="62" customFormat="1" ht="31.5" customHeight="1" x14ac:dyDescent="0.25"/>
    <row r="63" customFormat="1" ht="31.5" customHeight="1" x14ac:dyDescent="0.25"/>
    <row r="64" customFormat="1" ht="31.5" customHeight="1" x14ac:dyDescent="0.25"/>
    <row r="65" customFormat="1" ht="31.5" customHeight="1" x14ac:dyDescent="0.25"/>
    <row r="66" customFormat="1" ht="31.5" customHeight="1" x14ac:dyDescent="0.25"/>
    <row r="67" customFormat="1" ht="31.5" customHeight="1" x14ac:dyDescent="0.25"/>
    <row r="68" customFormat="1" ht="31.5" customHeight="1" x14ac:dyDescent="0.25"/>
    <row r="69" customFormat="1" ht="31.5" customHeight="1" x14ac:dyDescent="0.25"/>
    <row r="70" customFormat="1" ht="31.5" customHeight="1" x14ac:dyDescent="0.25"/>
    <row r="71" customFormat="1" ht="31.5" customHeight="1" x14ac:dyDescent="0.25"/>
    <row r="72" customFormat="1" ht="31.5" customHeight="1" x14ac:dyDescent="0.25"/>
    <row r="73" customFormat="1" ht="31.5" customHeight="1" x14ac:dyDescent="0.25"/>
    <row r="74" customFormat="1" ht="31.5" customHeight="1" x14ac:dyDescent="0.25"/>
    <row r="75" customFormat="1" ht="31.5" customHeight="1" x14ac:dyDescent="0.25"/>
    <row r="76" customFormat="1" ht="31.5" customHeight="1" x14ac:dyDescent="0.25"/>
    <row r="77" customFormat="1" ht="31.5" customHeight="1" x14ac:dyDescent="0.25"/>
    <row r="78" customFormat="1" ht="31.5" customHeight="1" x14ac:dyDescent="0.25"/>
    <row r="79" customFormat="1" ht="31.5" customHeight="1" x14ac:dyDescent="0.25"/>
    <row r="80" customFormat="1" ht="31.5" customHeight="1" x14ac:dyDescent="0.25"/>
    <row r="81" spans="68:100" ht="31.5" customHeight="1" x14ac:dyDescent="0.3"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</row>
    <row r="82" spans="68:100" ht="31.5" customHeight="1" x14ac:dyDescent="0.3"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</row>
    <row r="83" spans="68:100" ht="31.5" customHeight="1" x14ac:dyDescent="0.3"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</row>
    <row r="84" spans="68:100" ht="31.5" customHeight="1" x14ac:dyDescent="0.3"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</row>
    <row r="85" spans="68:100" ht="31.5" customHeight="1" x14ac:dyDescent="0.3"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</row>
    <row r="86" spans="68:100" ht="31.5" customHeight="1" x14ac:dyDescent="0.3"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</row>
    <row r="87" spans="68:100" ht="31.5" customHeight="1" x14ac:dyDescent="0.3"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</row>
    <row r="88" spans="68:100" ht="31.5" customHeight="1" x14ac:dyDescent="0.3"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</row>
    <row r="89" spans="68:100" ht="31.5" customHeight="1" x14ac:dyDescent="0.3"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</row>
    <row r="90" spans="68:100" ht="31.5" customHeight="1" x14ac:dyDescent="0.3"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</row>
    <row r="91" spans="68:100" ht="31.5" customHeight="1" x14ac:dyDescent="0.3"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</row>
    <row r="92" spans="68:100" ht="31.5" customHeight="1" x14ac:dyDescent="0.3"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</row>
    <row r="93" spans="68:100" ht="31.5" customHeight="1" x14ac:dyDescent="0.3"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</row>
    <row r="94" spans="68:100" ht="31.5" customHeight="1" x14ac:dyDescent="0.3"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</row>
    <row r="95" spans="68:100" ht="31.5" customHeight="1" x14ac:dyDescent="0.3"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</row>
    <row r="96" spans="68:100" ht="31.5" customHeight="1" x14ac:dyDescent="0.3"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</row>
    <row r="97" spans="68:100" ht="31.5" customHeight="1" x14ac:dyDescent="0.3"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</row>
    <row r="98" spans="68:100" ht="31.5" customHeight="1" x14ac:dyDescent="0.3"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</row>
    <row r="99" spans="68:100" ht="31.5" customHeight="1" x14ac:dyDescent="0.3"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</row>
    <row r="100" spans="68:100" ht="31.5" customHeight="1" x14ac:dyDescent="0.3"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</row>
    <row r="101" spans="68:100" ht="31.5" customHeight="1" x14ac:dyDescent="0.3"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</row>
    <row r="102" spans="68:100" ht="31.5" customHeight="1" x14ac:dyDescent="0.3"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</row>
    <row r="103" spans="68:100" ht="31.5" customHeight="1" x14ac:dyDescent="0.3"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</row>
    <row r="104" spans="68:100" ht="31.5" customHeight="1" x14ac:dyDescent="0.3"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</row>
    <row r="105" spans="68:100" ht="31.5" customHeight="1" x14ac:dyDescent="0.3"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</row>
    <row r="106" spans="68:100" ht="31.5" customHeight="1" x14ac:dyDescent="0.3"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</row>
    <row r="107" spans="68:100" ht="31.5" customHeight="1" x14ac:dyDescent="0.3"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</row>
    <row r="108" spans="68:100" ht="31.5" customHeight="1" x14ac:dyDescent="0.3"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</row>
    <row r="109" spans="68:100" ht="31.5" customHeight="1" x14ac:dyDescent="0.3"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</row>
    <row r="110" spans="68:100" ht="31.5" customHeight="1" x14ac:dyDescent="0.3"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</row>
    <row r="111" spans="68:100" ht="31.5" customHeight="1" x14ac:dyDescent="0.3"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</row>
    <row r="112" spans="68:100" ht="31.5" customHeight="1" x14ac:dyDescent="0.3"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</row>
    <row r="113" spans="68:100" ht="31.5" customHeight="1" x14ac:dyDescent="0.3"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</row>
    <row r="114" spans="68:100" ht="31.5" customHeight="1" x14ac:dyDescent="0.3"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</row>
    <row r="115" spans="68:100" ht="31.5" customHeight="1" x14ac:dyDescent="0.3"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</row>
    <row r="116" spans="68:100" ht="31.5" customHeight="1" x14ac:dyDescent="0.3"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</row>
    <row r="117" spans="68:100" ht="31.5" customHeight="1" x14ac:dyDescent="0.3"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</row>
    <row r="118" spans="68:100" ht="31.5" customHeight="1" x14ac:dyDescent="0.3"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</row>
    <row r="119" spans="68:100" ht="31.5" customHeight="1" x14ac:dyDescent="0.3"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</row>
    <row r="120" spans="68:100" ht="31.5" customHeight="1" x14ac:dyDescent="0.3"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</row>
    <row r="121" spans="68:100" ht="31.5" customHeight="1" x14ac:dyDescent="0.3"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</row>
    <row r="122" spans="68:100" ht="31.5" customHeight="1" x14ac:dyDescent="0.3"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</row>
    <row r="123" spans="68:100" ht="31.5" customHeight="1" x14ac:dyDescent="0.3"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</row>
    <row r="124" spans="68:100" ht="31.5" customHeight="1" x14ac:dyDescent="0.3"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</row>
    <row r="125" spans="68:100" ht="31.5" customHeight="1" x14ac:dyDescent="0.3"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</row>
    <row r="126" spans="68:100" ht="31.5" customHeight="1" x14ac:dyDescent="0.3"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</row>
    <row r="127" spans="68:100" ht="31.5" customHeight="1" x14ac:dyDescent="0.3"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</row>
    <row r="128" spans="68:100" ht="31.5" customHeight="1" x14ac:dyDescent="0.3"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</row>
    <row r="129" spans="68:100" ht="31.5" customHeight="1" x14ac:dyDescent="0.3"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</row>
    <row r="130" spans="68:100" ht="31.5" customHeight="1" x14ac:dyDescent="0.3"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</row>
    <row r="131" spans="68:100" ht="31.5" customHeight="1" x14ac:dyDescent="0.3"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</row>
    <row r="132" spans="68:100" ht="31.5" customHeight="1" x14ac:dyDescent="0.3"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</row>
    <row r="133" spans="68:100" ht="31.5" customHeight="1" x14ac:dyDescent="0.3"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</row>
    <row r="134" spans="68:100" ht="31.5" customHeight="1" x14ac:dyDescent="0.3"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</row>
    <row r="135" spans="68:100" ht="31.5" customHeight="1" x14ac:dyDescent="0.3"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</row>
    <row r="136" spans="68:100" ht="31.5" customHeight="1" x14ac:dyDescent="0.3"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</row>
    <row r="137" spans="68:100" ht="31.5" customHeight="1" x14ac:dyDescent="0.3"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</row>
    <row r="138" spans="68:100" ht="31.5" customHeight="1" x14ac:dyDescent="0.3"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</row>
    <row r="139" spans="68:100" ht="31.5" customHeight="1" x14ac:dyDescent="0.3"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</row>
    <row r="140" spans="68:100" ht="31.5" customHeight="1" x14ac:dyDescent="0.3"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</row>
    <row r="141" spans="68:100" ht="31.5" customHeight="1" x14ac:dyDescent="0.3"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</row>
    <row r="142" spans="68:100" ht="31.5" customHeight="1" x14ac:dyDescent="0.3"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</row>
    <row r="143" spans="68:100" ht="31.5" customHeight="1" x14ac:dyDescent="0.3"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</row>
    <row r="144" spans="68:100" ht="31.5" customHeight="1" x14ac:dyDescent="0.3"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</row>
    <row r="145" spans="68:100" ht="31.5" customHeight="1" x14ac:dyDescent="0.3"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</row>
    <row r="146" spans="68:100" ht="31.5" customHeight="1" x14ac:dyDescent="0.3"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</row>
    <row r="147" spans="68:100" ht="31.5" customHeight="1" x14ac:dyDescent="0.3"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</row>
    <row r="148" spans="68:100" ht="31.5" customHeight="1" x14ac:dyDescent="0.3"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</row>
    <row r="149" spans="68:100" ht="31.5" customHeight="1" x14ac:dyDescent="0.3"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</row>
    <row r="150" spans="68:100" ht="31.5" customHeight="1" x14ac:dyDescent="0.3"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</row>
    <row r="151" spans="68:100" ht="31.5" customHeight="1" x14ac:dyDescent="0.3"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</row>
    <row r="152" spans="68:100" ht="31.5" customHeight="1" x14ac:dyDescent="0.3"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</row>
    <row r="153" spans="68:100" ht="31.5" customHeight="1" x14ac:dyDescent="0.3"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</row>
    <row r="154" spans="68:100" ht="31.5" customHeight="1" x14ac:dyDescent="0.3"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</row>
    <row r="155" spans="68:100" ht="31.5" customHeight="1" x14ac:dyDescent="0.3"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</row>
    <row r="156" spans="68:100" ht="31.5" customHeight="1" x14ac:dyDescent="0.3"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</row>
    <row r="157" spans="68:100" ht="31.5" customHeight="1" x14ac:dyDescent="0.3"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</row>
    <row r="158" spans="68:100" ht="31.5" customHeight="1" x14ac:dyDescent="0.3"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</row>
    <row r="159" spans="68:100" ht="31.5" customHeight="1" x14ac:dyDescent="0.3"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</row>
    <row r="160" spans="68:100" ht="31.5" customHeight="1" x14ac:dyDescent="0.3"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</row>
    <row r="161" spans="68:100" ht="31.5" customHeight="1" x14ac:dyDescent="0.3"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</row>
    <row r="162" spans="68:100" ht="31.5" customHeight="1" x14ac:dyDescent="0.3">
      <c r="BR162" s="1"/>
    </row>
    <row r="163" spans="68:100" ht="31.5" customHeight="1" x14ac:dyDescent="0.3">
      <c r="BR163" s="1"/>
    </row>
    <row r="164" spans="68:100" ht="31.5" customHeight="1" x14ac:dyDescent="0.3">
      <c r="BR164" s="1"/>
    </row>
    <row r="165" spans="68:100" ht="31.5" customHeight="1" x14ac:dyDescent="0.3">
      <c r="BR165" s="1"/>
    </row>
    <row r="166" spans="68:100" ht="31.5" customHeight="1" x14ac:dyDescent="0.3">
      <c r="BR166" s="1"/>
    </row>
    <row r="167" spans="68:100" ht="31.5" customHeight="1" x14ac:dyDescent="0.3">
      <c r="BR167" s="1"/>
    </row>
    <row r="168" spans="68:100" ht="31.5" customHeight="1" x14ac:dyDescent="0.3">
      <c r="BR168" s="1"/>
    </row>
    <row r="169" spans="68:100" ht="31.5" customHeight="1" x14ac:dyDescent="0.3">
      <c r="BR169" s="1"/>
    </row>
    <row r="170" spans="68:100" ht="31.5" customHeight="1" x14ac:dyDescent="0.3">
      <c r="BR170" s="1"/>
    </row>
    <row r="171" spans="68:100" ht="31.5" customHeight="1" x14ac:dyDescent="0.3">
      <c r="BR171" s="1"/>
    </row>
    <row r="172" spans="68:100" ht="31.5" customHeight="1" x14ac:dyDescent="0.3">
      <c r="BR172" s="1"/>
    </row>
    <row r="173" spans="68:100" ht="31.5" customHeight="1" x14ac:dyDescent="0.3">
      <c r="BR173" s="1"/>
    </row>
    <row r="174" spans="68:100" ht="31.5" customHeight="1" x14ac:dyDescent="0.3">
      <c r="BR174" s="1"/>
    </row>
    <row r="175" spans="68:100" ht="31.5" customHeight="1" x14ac:dyDescent="0.3">
      <c r="BR175" s="1"/>
    </row>
    <row r="176" spans="68:100" ht="31.5" customHeight="1" x14ac:dyDescent="0.3">
      <c r="BR176" s="1"/>
    </row>
    <row r="177" spans="70:70" ht="31.5" customHeight="1" x14ac:dyDescent="0.3">
      <c r="BR177" s="1"/>
    </row>
    <row r="178" spans="70:70" ht="31.5" customHeight="1" x14ac:dyDescent="0.3">
      <c r="BR178" s="1"/>
    </row>
    <row r="179" spans="70:70" ht="31.5" customHeight="1" x14ac:dyDescent="0.3">
      <c r="BR179" s="1"/>
    </row>
    <row r="180" spans="70:70" ht="31.5" customHeight="1" x14ac:dyDescent="0.3">
      <c r="BR180" s="1"/>
    </row>
    <row r="181" spans="70:70" ht="31.5" customHeight="1" x14ac:dyDescent="0.3">
      <c r="BR181" s="1"/>
    </row>
    <row r="182" spans="70:70" ht="31.5" customHeight="1" x14ac:dyDescent="0.3">
      <c r="BR182" s="1"/>
    </row>
    <row r="183" spans="70:70" ht="31.5" customHeight="1" x14ac:dyDescent="0.3">
      <c r="BR183" s="1"/>
    </row>
    <row r="184" spans="70:70" ht="31.5" customHeight="1" x14ac:dyDescent="0.3">
      <c r="BR184" s="1"/>
    </row>
    <row r="185" spans="70:70" ht="31.5" customHeight="1" x14ac:dyDescent="0.3">
      <c r="BR185" s="1"/>
    </row>
    <row r="186" spans="70:70" ht="31.5" customHeight="1" x14ac:dyDescent="0.3">
      <c r="BR186" s="1"/>
    </row>
    <row r="187" spans="70:70" ht="31.5" customHeight="1" x14ac:dyDescent="0.3">
      <c r="BR187" s="1"/>
    </row>
    <row r="188" spans="70:70" ht="31.5" customHeight="1" x14ac:dyDescent="0.3">
      <c r="BR188" s="1"/>
    </row>
    <row r="189" spans="70:70" ht="31.5" customHeight="1" x14ac:dyDescent="0.3">
      <c r="BR189" s="1"/>
    </row>
    <row r="190" spans="70:70" ht="31.5" customHeight="1" x14ac:dyDescent="0.3">
      <c r="BR190" s="1"/>
    </row>
    <row r="191" spans="70:70" ht="31.5" customHeight="1" x14ac:dyDescent="0.3">
      <c r="BR191" s="1"/>
    </row>
    <row r="192" spans="70:70" ht="31.5" customHeight="1" x14ac:dyDescent="0.3">
      <c r="BR192" s="1"/>
    </row>
    <row r="193" spans="70:70" ht="31.5" customHeight="1" x14ac:dyDescent="0.3">
      <c r="BR193" s="1"/>
    </row>
    <row r="194" spans="70:70" ht="31.5" customHeight="1" x14ac:dyDescent="0.3">
      <c r="BR194" s="1"/>
    </row>
    <row r="195" spans="70:70" ht="31.5" customHeight="1" x14ac:dyDescent="0.3">
      <c r="BR195" s="1"/>
    </row>
    <row r="196" spans="70:70" ht="31.5" customHeight="1" x14ac:dyDescent="0.3">
      <c r="BR196" s="1"/>
    </row>
    <row r="197" spans="70:70" ht="31.5" customHeight="1" x14ac:dyDescent="0.3">
      <c r="BR197" s="1"/>
    </row>
    <row r="198" spans="70:70" ht="31.5" customHeight="1" x14ac:dyDescent="0.3">
      <c r="BR198" s="1"/>
    </row>
    <row r="199" spans="70:70" ht="31.5" customHeight="1" x14ac:dyDescent="0.3">
      <c r="BR199" s="1"/>
    </row>
    <row r="200" spans="70:70" ht="31.5" customHeight="1" x14ac:dyDescent="0.3">
      <c r="BR200" s="1"/>
    </row>
    <row r="201" spans="70:70" ht="31.5" customHeight="1" x14ac:dyDescent="0.3">
      <c r="BR201" s="1"/>
    </row>
    <row r="202" spans="70:70" ht="31.5" customHeight="1" x14ac:dyDescent="0.3">
      <c r="BR202" s="1"/>
    </row>
    <row r="203" spans="70:70" ht="31.5" customHeight="1" x14ac:dyDescent="0.3">
      <c r="BR203" s="1"/>
    </row>
    <row r="204" spans="70:70" ht="31.5" customHeight="1" x14ac:dyDescent="0.3">
      <c r="BR204" s="1"/>
    </row>
  </sheetData>
  <autoFilter ref="E1:CV28" xr:uid="{00000000-0009-0000-0000-000008000000}">
    <sortState xmlns:xlrd2="http://schemas.microsoft.com/office/spreadsheetml/2017/richdata2" ref="E2:CV28">
      <sortCondition descending="1" ref="BB1:BB28"/>
    </sortState>
  </autoFilter>
  <mergeCells count="1">
    <mergeCell ref="A14:B14"/>
  </mergeCells>
  <phoneticPr fontId="53" type="noConversion"/>
  <conditionalFormatting sqref="F2:F12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1:BI12 BI81:BI1048576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2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max"/>
        <color rgb="FFFCFCFF"/>
        <color rgb="FF63BE7B"/>
      </colorScale>
    </cfRule>
  </conditionalFormatting>
  <conditionalFormatting sqref="D1:E1 D23:E1048576 D13:E13 D2:D12 E14:E19 E22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13 C18 C23:C1048576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1:BH12 BH81:BH1048576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8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9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0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0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2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2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4">
    <cfRule type="colorScale" priority="131">
      <colorScale>
        <cfvo type="min"/>
        <cfvo type="max"/>
        <color rgb="FFFFEF9C"/>
        <color rgb="FF63BE7B"/>
      </colorScale>
    </cfRule>
  </conditionalFormatting>
  <conditionalFormatting sqref="C19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5">
    <cfRule type="colorScale" priority="127">
      <colorScale>
        <cfvo type="min"/>
        <cfvo type="max"/>
        <color rgb="FFFFEF9C"/>
        <color rgb="FF63BE7B"/>
      </colorScale>
    </cfRule>
  </conditionalFormatting>
  <conditionalFormatting sqref="C16">
    <cfRule type="colorScale" priority="126">
      <colorScale>
        <cfvo type="min"/>
        <cfvo type="max"/>
        <color rgb="FFFFEF9C"/>
        <color rgb="FF63BE7B"/>
      </colorScale>
    </cfRule>
  </conditionalFormatting>
  <conditionalFormatting sqref="C17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8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9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">
    <cfRule type="colorScale" priority="121">
      <colorScale>
        <cfvo type="num" val="0"/>
        <cfvo type="num" val="28"/>
        <cfvo type="num" val="30.1"/>
        <color theme="9" tint="0.39997558519241921"/>
        <color theme="7" tint="0.39997558519241921"/>
        <color theme="5" tint="0.39997558519241921"/>
      </colorScale>
    </cfRule>
  </conditionalFormatting>
  <conditionalFormatting sqref="C2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2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max"/>
        <color rgb="FFFCFCFF"/>
        <color rgb="FF63BE7B"/>
      </colorScale>
    </cfRule>
  </conditionalFormatting>
  <conditionalFormatting sqref="I1:I12 I45:I1048576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2 H45:H1048576">
    <cfRule type="colorScale" priority="116">
      <colorScale>
        <cfvo type="min"/>
        <cfvo type="max"/>
        <color rgb="FFFCFCFF"/>
        <color rgb="FFF8696B"/>
      </colorScale>
    </cfRule>
  </conditionalFormatting>
  <conditionalFormatting sqref="E2:E12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12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:E1048576 E1:E19">
    <cfRule type="colorScale" priority="112">
      <colorScale>
        <cfvo type="num" val="1.69"/>
        <cfvo type="num" val="1.75"/>
        <cfvo type="num" val="1.83"/>
        <color rgb="FFF8696B"/>
        <color rgb="FFFFEB84"/>
        <color rgb="FF63BE7B"/>
      </colorScale>
    </cfRule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:D13 D15:D1048576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:F19 F22:F1048576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">
    <cfRule type="colorScale" priority="107">
      <colorScale>
        <cfvo type="num" val="1.69"/>
        <cfvo type="num" val="1.75"/>
        <cfvo type="num" val="1.83"/>
        <color rgb="FFF8696B"/>
        <color rgb="FFFFEB84"/>
        <color rgb="FF63BE7B"/>
      </colorScale>
    </cfRule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12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{5993D631-B0C2-483A-9601-6A7EC078B582}</x14:id>
        </ext>
      </extLst>
    </cfRule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:D22">
    <cfRule type="colorScale" priority="104">
      <colorScale>
        <cfvo type="min"/>
        <cfvo type="percentile" val="50"/>
        <cfvo type="max"/>
        <color theme="7" tint="0.79998168889431442"/>
        <color theme="7" tint="0.79998168889431442"/>
        <color theme="7" tint="0.79998168889431442"/>
      </colorScale>
    </cfRule>
  </conditionalFormatting>
  <conditionalFormatting sqref="D22">
    <cfRule type="colorScale" priority="103">
      <colorScale>
        <cfvo type="num" val="1.69"/>
        <cfvo type="num" val="1.75"/>
        <cfvo type="num" val="1.83"/>
        <color rgb="FFF8696B"/>
        <color rgb="FFFFEB84"/>
        <color rgb="FF63BE7B"/>
      </colorScale>
    </cfRule>
  </conditionalFormatting>
  <conditionalFormatting sqref="U1">
    <cfRule type="iconSet" priority="10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">
      <colorScale>
        <cfvo type="min"/>
        <cfvo type="max"/>
        <color rgb="FFFFEF9C"/>
        <color rgb="FF63BE7B"/>
      </colorScale>
    </cfRule>
  </conditionalFormatting>
  <conditionalFormatting sqref="V1">
    <cfRule type="iconSet" priority="9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V1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:V1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">
    <cfRule type="iconSet" priority="9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W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12 W81:W1048576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12 V81:V1048576">
    <cfRule type="iconSet" priority="8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U12 U81:U1048576">
    <cfRule type="iconSet" priority="8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12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{3A8E6B43-326A-4A74-9DBC-9B58B976B06C}</x14:id>
        </ext>
      </extLst>
    </cfRule>
  </conditionalFormatting>
  <conditionalFormatting sqref="X81:X1048576 X1:X12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{B1BB47D9-1585-44B0-B617-CB2BF4F3077D}</x14:id>
        </ext>
      </extLst>
    </cfRule>
    <cfRule type="colorScale" priority="85">
      <colorScale>
        <cfvo type="min"/>
        <cfvo type="percentile" val="50"/>
        <cfvo type="max"/>
        <color rgb="FFFFAFAF"/>
        <color rgb="FFDDEBF7"/>
        <color rgb="FF00B0F0"/>
      </colorScale>
    </cfRule>
  </conditionalFormatting>
  <conditionalFormatting sqref="Z81:Z1048576 Z1:Z12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{EACCAA29-2C3D-4B04-9CA6-07B6845EF7A5}</x14:id>
        </ext>
      </extLst>
    </cfRule>
    <cfRule type="colorScale" priority="83">
      <colorScale>
        <cfvo type="min"/>
        <cfvo type="percentile" val="50"/>
        <cfvo type="max"/>
        <color rgb="FFFFAFAF"/>
        <color rgb="FFDDEBF7"/>
        <color rgb="FF00B0F0"/>
      </colorScale>
    </cfRule>
  </conditionalFormatting>
  <conditionalFormatting sqref="AB1:AB12 AB81:AB1048576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{049B647A-BD48-422F-8F11-D187A4A71BDE}</x14:id>
        </ext>
      </extLst>
    </cfRule>
    <cfRule type="colorScale" priority="81">
      <colorScale>
        <cfvo type="min"/>
        <cfvo type="percentile" val="50"/>
        <cfvo type="max"/>
        <color rgb="FFFFAFAF"/>
        <color rgb="FFDDEBF7"/>
        <color rgb="FF00B0F0"/>
      </colorScale>
    </cfRule>
  </conditionalFormatting>
  <conditionalFormatting sqref="AC1:AC12 AC81:AC1048576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{2F9CDC0F-5E3C-42D4-B527-15586E3B9408}</x14:id>
        </ext>
      </extLst>
    </cfRule>
    <cfRule type="colorScale" priority="79">
      <colorScale>
        <cfvo type="min"/>
        <cfvo type="percentile" val="50"/>
        <cfvo type="max"/>
        <color rgb="FFFFAFAF"/>
        <color rgb="FFDDEBF7"/>
        <color rgb="FF00B0F0"/>
      </colorScale>
    </cfRule>
  </conditionalFormatting>
  <conditionalFormatting sqref="AI1:AI12 AI81:AI104857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{41C637A3-D75D-40C0-9BF7-C4CA9DA446D6}</x14:id>
        </ext>
      </extLst>
    </cfRule>
  </conditionalFormatting>
  <conditionalFormatting sqref="AJ1:AJ12 AJ81:AJ1048576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{FD059E67-83CF-4801-8180-E12C24D067DA}</x14:id>
        </ext>
      </extLst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:AK12 AK81:AK1048576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{0FF92D19-8ECF-476F-BDCC-03FE86D6DBD3}</x14:id>
        </ext>
      </extLst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1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{7F67BD36-C908-4A40-A4CA-FB41F837A3F2}</x14:id>
        </ext>
      </extLst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81:AL1048576 AL1:AL12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{73D6C16B-075C-4E66-931B-17D197DFF6E4}</x14:id>
        </ext>
      </extLst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:AO12 AO81:AO1048576">
    <cfRule type="colorScale" priority="67">
      <colorScale>
        <cfvo type="min"/>
        <cfvo type="max"/>
        <color rgb="FFFFEF9C"/>
        <color rgb="FF63BE7B"/>
      </colorScale>
    </cfRule>
  </conditionalFormatting>
  <conditionalFormatting sqref="AP1:AP12 AP81:AP1048576">
    <cfRule type="iconSet" priority="65">
      <iconSet iconSet="3Arrows">
        <cfvo type="percent" val="0"/>
        <cfvo type="percent" val="33"/>
        <cfvo type="percent" val="67"/>
      </iconSet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AQ12 AQ81:AQ1048576">
    <cfRule type="colorScale" priority="64">
      <colorScale>
        <cfvo type="min"/>
        <cfvo type="max"/>
        <color rgb="FFFFEF9C"/>
        <color rgb="FF63BE7B"/>
      </colorScale>
    </cfRule>
  </conditionalFormatting>
  <conditionalFormatting sqref="AR1:AR12 AR81:AR1048576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:BF12 BF81:BF1048576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{96513AB5-C18E-4437-B86A-6082F212D36B}</x14:id>
        </ext>
      </extLst>
    </cfRule>
    <cfRule type="colorScale" priority="62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O81:O1048576 O1:O12">
    <cfRule type="colorScale" priority="58">
      <colorScale>
        <cfvo type="min"/>
        <cfvo type="percentile" val="50"/>
        <cfvo type="max"/>
        <color rgb="FFF8696B"/>
        <color rgb="FF9BC2E6"/>
        <color rgb="FF2F75B5"/>
      </colorScale>
    </cfRule>
  </conditionalFormatting>
  <conditionalFormatting sqref="S81:S1048576 S1:S12">
    <cfRule type="iconSet" priority="5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:T12 T81:T1048576">
    <cfRule type="iconSet" priority="5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1:BE12 BE81:BE1048576">
    <cfRule type="iconSet" priority="52">
      <iconSet iconSet="3Arrows">
        <cfvo type="percent" val="0"/>
        <cfvo type="percent" val="33"/>
        <cfvo type="percent" val="67"/>
      </iconSet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81:BD1048576 BD1:BD12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:AW12 AW81:AW1048576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81:AV1048576 AV1:AV12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2 P81:P1048576">
    <cfRule type="colorScale" priority="48">
      <colorScale>
        <cfvo type="min"/>
        <cfvo type="percentile" val="50"/>
        <cfvo type="max"/>
        <color rgb="FFF8696B"/>
        <color rgb="FF9BC2E6"/>
        <color rgb="FF2F75B5"/>
      </colorScale>
    </cfRule>
  </conditionalFormatting>
  <conditionalFormatting sqref="AD1:AD12 AD81:AD1048576">
    <cfRule type="colorScale" priority="43">
      <colorScale>
        <cfvo type="min"/>
        <cfvo type="max"/>
        <color rgb="FFFFEF9C"/>
        <color rgb="FF63BE7B"/>
      </colorScale>
    </cfRule>
  </conditionalFormatting>
  <conditionalFormatting sqref="AE1:AE12 AE81:AE1048576">
    <cfRule type="colorScale" priority="42">
      <colorScale>
        <cfvo type="min"/>
        <cfvo type="max"/>
        <color rgb="FFFFEF9C"/>
        <color rgb="FF63BE7B"/>
      </colorScale>
    </cfRule>
  </conditionalFormatting>
  <conditionalFormatting sqref="AF1:AF12 AF81:AF1048576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:AG12 AG81:AG104857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:AH12 AH81:AH1048576">
    <cfRule type="colorScale" priority="39">
      <colorScale>
        <cfvo type="percentile" val="50"/>
        <cfvo type="percentile" val="80"/>
        <cfvo type="max"/>
        <color rgb="FFF8696B"/>
        <color rgb="FFFFEB84"/>
        <color rgb="FF63BE7B"/>
      </colorScale>
    </cfRule>
  </conditionalFormatting>
  <conditionalFormatting sqref="L1:L12 L81:L1048576">
    <cfRule type="colorScale" priority="38">
      <colorScale>
        <cfvo type="min"/>
        <cfvo type="max"/>
        <color rgb="FFFFEF9C"/>
        <color rgb="FF63BE7B"/>
      </colorScale>
    </cfRule>
  </conditionalFormatting>
  <conditionalFormatting sqref="AS1:AS12 AS81:AS104857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81:AT1048576 AT1:AT1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U12 AU81:AU10485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81:AX1048576 AX1:AX12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N12 AN81:AN1048576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:Y12 Y81:Y1048576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{ADF2FCA0-B478-421D-88E6-5BA4AB0B6AE6}</x14:id>
        </ext>
      </extLst>
    </cfRule>
    <cfRule type="colorScale" priority="29">
      <colorScale>
        <cfvo type="min"/>
        <cfvo type="percentile" val="50"/>
        <cfvo type="max"/>
        <color rgb="FFFFAFAF"/>
        <color rgb="FFDDEBF7"/>
        <color rgb="FF00B0F0"/>
      </colorScale>
    </cfRule>
  </conditionalFormatting>
  <conditionalFormatting sqref="AA81:AA1048576 AA1:AA12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{DF3C2BE4-A950-493E-AC67-D0C69F3FCAD8}</x14:id>
        </ext>
      </extLst>
    </cfRule>
    <cfRule type="colorScale" priority="26">
      <colorScale>
        <cfvo type="min"/>
        <cfvo type="percentile" val="50"/>
        <cfvo type="max"/>
        <color rgb="FFFFAFAF"/>
        <color rgb="FFDDEBF7"/>
        <color rgb="FF00B0F0"/>
      </colorScale>
    </cfRule>
  </conditionalFormatting>
  <conditionalFormatting sqref="AN1:AN12 AN81:AN1048576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{74FF5CFA-B80D-48E8-A45A-CCA7CF544139}</x14:id>
        </ext>
      </extLst>
    </cfRule>
  </conditionalFormatting>
  <conditionalFormatting sqref="N1:N12 N81:N1048576">
    <cfRule type="colorScale" priority="23">
      <colorScale>
        <cfvo type="min"/>
        <cfvo type="max"/>
        <color rgb="FFFCFCFF"/>
        <color rgb="FFF8696B"/>
      </colorScale>
    </cfRule>
  </conditionalFormatting>
  <conditionalFormatting sqref="M1:M12 M81:M1048576">
    <cfRule type="colorScale" priority="22">
      <colorScale>
        <cfvo type="min"/>
        <cfvo type="max"/>
        <color rgb="FFFCFCFF"/>
        <color rgb="FFF8696B"/>
      </colorScale>
    </cfRule>
  </conditionalFormatting>
  <conditionalFormatting sqref="AM1:AM104857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{31D57B93-6042-44D1-A789-BF0A12BA116A}</x14:id>
        </ext>
      </extLst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W1:CW12 BJ1:BJ12 BJ84:BK1048576 L13:P80 AN13:AX80 BL84:CV204 BD13:BF80 CW84:CW161 BJ81:CW83 S13:AL80 BH13:CW80">
    <cfRule type="iconSet" priority="2400838">
      <iconSet iconSet="3Arrows">
        <cfvo type="percent" val="0"/>
        <cfvo type="num" val="6.7"/>
        <cfvo type="num" val="7"/>
      </iconSet>
    </cfRule>
    <cfRule type="colorScale" priority="2400839">
      <colorScale>
        <cfvo type="num" val="6.6"/>
        <cfvo type="num" val="6.7"/>
        <cfvo type="num" val="7"/>
        <color rgb="FFF8696B"/>
        <color rgb="FFFFEB84"/>
        <color rgb="FF63BE7B"/>
      </colorScale>
    </cfRule>
  </conditionalFormatting>
  <conditionalFormatting sqref="BA1:BA1048576">
    <cfRule type="dataBar" priority="1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{B46DC36F-905F-4176-AFED-5DF63D3051EE}</x14:id>
        </ext>
      </extLst>
    </cfRule>
  </conditionalFormatting>
  <conditionalFormatting sqref="BB1:BB1048576"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{B2720A35-F288-4806-8E45-E61D4870B388}</x14:id>
        </ext>
      </extLst>
    </cfRule>
  </conditionalFormatting>
  <conditionalFormatting sqref="BC1:BC1048576">
    <cfRule type="dataBar" priority="1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{21746399-7EC8-457E-AB5E-EE2AC89F5045}</x14:id>
        </ext>
      </extLst>
    </cfRule>
  </conditionalFormatting>
  <conditionalFormatting sqref="BG1:BG1048576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{2204188D-712A-4C89-B029-8726B7A58761}</x14:id>
        </ext>
      </extLst>
    </cfRule>
    <cfRule type="colorScale" priority="9">
      <colorScale>
        <cfvo type="min"/>
        <cfvo type="percentile" val="50"/>
        <cfvo type="max"/>
        <color rgb="FFFAA0A2"/>
        <color theme="4" tint="0.79998168889431442"/>
        <color rgb="FF00B0F0"/>
      </colorScale>
    </cfRule>
  </conditionalFormatting>
  <conditionalFormatting sqref="AY1:AY1048576">
    <cfRule type="dataBar" priority="7">
      <dataBar>
        <cfvo type="min"/>
        <cfvo type="max"/>
        <color rgb="FFA40000"/>
      </dataBar>
      <extLst>
        <ext xmlns:x14="http://schemas.microsoft.com/office/spreadsheetml/2009/9/main" uri="{B025F937-C7B1-47D3-B67F-A62EFF666E3E}">
          <x14:id>{8E5A1563-43A0-4246-8F34-4DF8A67BA539}</x14:id>
        </ext>
      </extLst>
    </cfRule>
  </conditionalFormatting>
  <conditionalFormatting sqref="AZ1:AZ1048576">
    <cfRule type="dataBar" priority="6">
      <dataBar>
        <cfvo type="min"/>
        <cfvo type="max"/>
        <color rgb="FFA40000"/>
      </dataBar>
      <extLst>
        <ext xmlns:x14="http://schemas.microsoft.com/office/spreadsheetml/2009/9/main" uri="{B025F937-C7B1-47D3-B67F-A62EFF666E3E}">
          <x14:id>{FB9C18E4-6E6D-4C83-A5A0-F1F14589D67B}</x14:id>
        </ext>
      </extLst>
    </cfRule>
  </conditionalFormatting>
  <conditionalFormatting sqref="J1:J1048576">
    <cfRule type="dataBar" priority="5">
      <dataBar>
        <cfvo type="min"/>
        <cfvo type="max"/>
        <color rgb="FFA40000"/>
      </dataBar>
      <extLst>
        <ext xmlns:x14="http://schemas.microsoft.com/office/spreadsheetml/2009/9/main" uri="{B025F937-C7B1-47D3-B67F-A62EFF666E3E}">
          <x14:id>{31F4685D-B9DC-4158-A394-0DD8F26AF569}</x14:id>
        </ext>
      </extLst>
    </cfRule>
  </conditionalFormatting>
  <conditionalFormatting sqref="Q1:Q1048576">
    <cfRule type="dataBar" priority="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{3C3F77A7-9A86-4208-B8B3-B87D7E04336C}</x14:id>
        </ext>
      </extLst>
    </cfRule>
  </conditionalFormatting>
  <conditionalFormatting sqref="R1:R1048576">
    <cfRule type="dataBar" priority="3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{A90D3959-1A14-465B-BD87-2F2571347974}</x14:id>
        </ext>
      </extLst>
    </cfRule>
  </conditionalFormatting>
  <conditionalFormatting sqref="K1:K1048576">
    <cfRule type="dataBar" priority="2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{94B6E9DE-8C01-43F3-9F39-05A3F90B4677}</x14:id>
        </ext>
      </extLst>
    </cfRule>
  </conditionalFormatting>
  <conditionalFormatting sqref="H1:H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{3775FF0D-5CBD-4FD5-A2F3-79E3CD5C8F30}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993D631-B0C2-483A-9601-6A7EC078B5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D2:D12</xm:sqref>
        </x14:conditionalFormatting>
        <x14:conditionalFormatting xmlns:xm="http://schemas.microsoft.com/office/excel/2006/main">
          <x14:cfRule type="dataBar" id="{3A8E6B43-326A-4A74-9DBC-9B58B976B0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C2:C12</xm:sqref>
        </x14:conditionalFormatting>
        <x14:conditionalFormatting xmlns:xm="http://schemas.microsoft.com/office/excel/2006/main">
          <x14:cfRule type="dataBar" id="{B1BB47D9-1585-44B0-B617-CB2BF4F307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X81:X1048576 X1:X12</xm:sqref>
        </x14:conditionalFormatting>
        <x14:conditionalFormatting xmlns:xm="http://schemas.microsoft.com/office/excel/2006/main">
          <x14:cfRule type="dataBar" id="{EACCAA29-2C3D-4B04-9CA6-07B6845EF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Z81:Z1048576 Z1:Z12</xm:sqref>
        </x14:conditionalFormatting>
        <x14:conditionalFormatting xmlns:xm="http://schemas.microsoft.com/office/excel/2006/main">
          <x14:cfRule type="dataBar" id="{049B647A-BD48-422F-8F11-D187A4A71B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AB1:AB12 AB81:AB1048576</xm:sqref>
        </x14:conditionalFormatting>
        <x14:conditionalFormatting xmlns:xm="http://schemas.microsoft.com/office/excel/2006/main">
          <x14:cfRule type="dataBar" id="{2F9CDC0F-5E3C-42D4-B527-15586E3B94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AC1:AC12 AC81:AC1048576</xm:sqref>
        </x14:conditionalFormatting>
        <x14:conditionalFormatting xmlns:xm="http://schemas.microsoft.com/office/excel/2006/main">
          <x14:cfRule type="dataBar" id="{41C637A3-D75D-40C0-9BF7-C4CA9DA446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AI1:AI12 AI81:AI1048576</xm:sqref>
        </x14:conditionalFormatting>
        <x14:conditionalFormatting xmlns:xm="http://schemas.microsoft.com/office/excel/2006/main">
          <x14:cfRule type="dataBar" id="{FD059E67-83CF-4801-8180-E12C24D067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AJ1:AJ12 AJ81:AJ1048576</xm:sqref>
        </x14:conditionalFormatting>
        <x14:conditionalFormatting xmlns:xm="http://schemas.microsoft.com/office/excel/2006/main">
          <x14:cfRule type="dataBar" id="{0FF92D19-8ECF-476F-BDCC-03FE86D6DB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AK1:AK12 AK81:AK1048576</xm:sqref>
        </x14:conditionalFormatting>
        <x14:conditionalFormatting xmlns:xm="http://schemas.microsoft.com/office/excel/2006/main">
          <x14:cfRule type="dataBar" id="{7F67BD36-C908-4A40-A4CA-FB41F837A3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AL1</xm:sqref>
        </x14:conditionalFormatting>
        <x14:conditionalFormatting xmlns:xm="http://schemas.microsoft.com/office/excel/2006/main">
          <x14:cfRule type="dataBar" id="{73D6C16B-075C-4E66-931B-17D197DFF6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AL81:AL1048576 AL1:AL12</xm:sqref>
        </x14:conditionalFormatting>
        <x14:conditionalFormatting xmlns:xm="http://schemas.microsoft.com/office/excel/2006/main">
          <x14:cfRule type="dataBar" id="{96513AB5-C18E-4437-B86A-6082F212D3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BF1:BF12 BF81:BF1048576</xm:sqref>
        </x14:conditionalFormatting>
        <x14:conditionalFormatting xmlns:xm="http://schemas.microsoft.com/office/excel/2006/main">
          <x14:cfRule type="dataBar" id="{ADF2FCA0-B478-421D-88E6-5BA4AB0B6A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Y1:Y12 Y81:Y1048576</xm:sqref>
        </x14:conditionalFormatting>
        <x14:conditionalFormatting xmlns:xm="http://schemas.microsoft.com/office/excel/2006/main">
          <x14:cfRule type="dataBar" id="{DF3C2BE4-A950-493E-AC67-D0C69F3FCA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AA81:AA1048576 AA1:AA12</xm:sqref>
        </x14:conditionalFormatting>
        <x14:conditionalFormatting xmlns:xm="http://schemas.microsoft.com/office/excel/2006/main">
          <x14:cfRule type="dataBar" id="{74FF5CFA-B80D-48E8-A45A-CCA7CF5441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AN1:AN12 AN81:AN1048576</xm:sqref>
        </x14:conditionalFormatting>
        <x14:conditionalFormatting xmlns:xm="http://schemas.microsoft.com/office/excel/2006/main">
          <x14:cfRule type="dataBar" id="{31D57B93-6042-44D1-A789-BF0A12BA11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AM1:AM1048576</xm:sqref>
        </x14:conditionalFormatting>
        <x14:conditionalFormatting xmlns:xm="http://schemas.microsoft.com/office/excel/2006/main">
          <x14:cfRule type="dataBar" id="{B46DC36F-905F-4176-AFED-5DF63D3051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BA1:BA1048576</xm:sqref>
        </x14:conditionalFormatting>
        <x14:conditionalFormatting xmlns:xm="http://schemas.microsoft.com/office/excel/2006/main">
          <x14:cfRule type="dataBar" id="{B2720A35-F288-4806-8E45-E61D4870B38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BB1:BB1048576</xm:sqref>
        </x14:conditionalFormatting>
        <x14:conditionalFormatting xmlns:xm="http://schemas.microsoft.com/office/excel/2006/main">
          <x14:cfRule type="dataBar" id="{21746399-7EC8-457E-AB5E-EE2AC89F504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BC1:BC1048576</xm:sqref>
        </x14:conditionalFormatting>
        <x14:conditionalFormatting xmlns:xm="http://schemas.microsoft.com/office/excel/2006/main">
          <x14:cfRule type="dataBar" id="{2204188D-712A-4C89-B029-8726B7A587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BG1:BG1048576</xm:sqref>
        </x14:conditionalFormatting>
        <x14:conditionalFormatting xmlns:xm="http://schemas.microsoft.com/office/excel/2006/main">
          <x14:cfRule type="dataBar" id="{8E5A1563-43A0-4246-8F34-4DF8A67BA5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AY1:AY1048576</xm:sqref>
        </x14:conditionalFormatting>
        <x14:conditionalFormatting xmlns:xm="http://schemas.microsoft.com/office/excel/2006/main">
          <x14:cfRule type="dataBar" id="{FB9C18E4-6E6D-4C83-A5A0-F1F14589D67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AZ1:AZ1048576</xm:sqref>
        </x14:conditionalFormatting>
        <x14:conditionalFormatting xmlns:xm="http://schemas.microsoft.com/office/excel/2006/main">
          <x14:cfRule type="dataBar" id="{31F4685D-B9DC-4158-A394-0DD8F26AF5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3C3F77A7-9A86-4208-B8B3-B87D7E0433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A90D3959-1A14-465B-BD87-2F25713479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  <x14:conditionalFormatting xmlns:xm="http://schemas.microsoft.com/office/excel/2006/main">
          <x14:cfRule type="dataBar" id="{94B6E9DE-8C01-43F3-9F39-05A3F90B46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K1:K1048576</xm:sqref>
        </x14:conditionalFormatting>
        <x14:conditionalFormatting xmlns:xm="http://schemas.microsoft.com/office/excel/2006/main">
          <x14:cfRule type="dataBar" id="{3775FF0D-5CBD-4FD5-A2F3-79E3CD5C8F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H1:H1048576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D1A53-F998-497D-B743-E396AC211728}">
  <sheetPr>
    <tabColor theme="3" tint="-0.499984740745262"/>
  </sheetPr>
  <dimension ref="A1:AS1001"/>
  <sheetViews>
    <sheetView topLeftCell="B1" zoomScale="90" zoomScaleNormal="90" workbookViewId="0">
      <pane xSplit="2" ySplit="1" topLeftCell="D2" activePane="bottomRight" state="frozen"/>
      <selection activeCell="B1" sqref="B1"/>
      <selection pane="topRight" activeCell="C1" sqref="C1"/>
      <selection pane="bottomLeft" activeCell="B2" sqref="B2"/>
      <selection pane="bottomRight"/>
    </sheetView>
  </sheetViews>
  <sheetFormatPr defaultRowHeight="15" x14ac:dyDescent="0.25"/>
  <cols>
    <col min="3" max="3" width="30.7109375" customWidth="1"/>
    <col min="4" max="4" width="12.7109375" customWidth="1"/>
    <col min="5" max="5" width="23.28515625" bestFit="1" customWidth="1"/>
    <col min="6" max="24" width="16.7109375" customWidth="1"/>
    <col min="25" max="45" width="9.140625" style="281"/>
  </cols>
  <sheetData>
    <row r="1" spans="1:45" ht="50.1" customHeight="1" thickBot="1" x14ac:dyDescent="0.3">
      <c r="A1" s="271"/>
      <c r="B1" s="112"/>
      <c r="C1" s="4" t="s">
        <v>20</v>
      </c>
      <c r="D1" s="4" t="s">
        <v>214</v>
      </c>
      <c r="E1" s="4" t="s">
        <v>28</v>
      </c>
      <c r="F1" s="4" t="s">
        <v>1</v>
      </c>
      <c r="G1" s="4" t="s">
        <v>231</v>
      </c>
      <c r="H1" s="282" t="s">
        <v>121</v>
      </c>
      <c r="I1" s="40" t="s">
        <v>18</v>
      </c>
      <c r="J1" s="40" t="s">
        <v>81</v>
      </c>
      <c r="K1" s="336" t="s">
        <v>430</v>
      </c>
      <c r="L1" s="4" t="s">
        <v>631</v>
      </c>
      <c r="M1" s="4" t="s">
        <v>633</v>
      </c>
      <c r="N1" s="4" t="s">
        <v>632</v>
      </c>
      <c r="O1" s="4" t="s">
        <v>634</v>
      </c>
      <c r="P1" s="4" t="s">
        <v>377</v>
      </c>
      <c r="Q1" s="39" t="s">
        <v>636</v>
      </c>
      <c r="R1" s="39" t="s">
        <v>637</v>
      </c>
      <c r="S1" s="39" t="s">
        <v>465</v>
      </c>
      <c r="T1" s="39" t="s">
        <v>260</v>
      </c>
      <c r="U1" s="53" t="s">
        <v>304</v>
      </c>
      <c r="V1" s="97" t="s">
        <v>303</v>
      </c>
      <c r="W1" s="290" t="s">
        <v>638</v>
      </c>
      <c r="X1" s="110" t="s">
        <v>25</v>
      </c>
      <c r="Y1" s="292" t="s">
        <v>14</v>
      </c>
      <c r="Z1" s="293" t="s">
        <v>620</v>
      </c>
      <c r="AA1" s="293" t="s">
        <v>0</v>
      </c>
      <c r="AB1" s="293" t="s">
        <v>20</v>
      </c>
      <c r="AC1" s="293" t="s">
        <v>1</v>
      </c>
      <c r="AD1" s="293" t="s">
        <v>621</v>
      </c>
      <c r="AE1" s="293" t="s">
        <v>165</v>
      </c>
      <c r="AF1" s="293" t="s">
        <v>189</v>
      </c>
      <c r="AG1" s="293" t="s">
        <v>190</v>
      </c>
      <c r="AH1" s="293" t="s">
        <v>18</v>
      </c>
      <c r="AI1" s="293" t="s">
        <v>509</v>
      </c>
      <c r="AJ1" s="293" t="s">
        <v>622</v>
      </c>
      <c r="AK1" s="293" t="s">
        <v>635</v>
      </c>
      <c r="AL1" s="293" t="s">
        <v>10</v>
      </c>
      <c r="AM1" s="293" t="s">
        <v>642</v>
      </c>
      <c r="AN1" s="293" t="s">
        <v>623</v>
      </c>
      <c r="AO1" s="293" t="s">
        <v>167</v>
      </c>
      <c r="AP1" s="293" t="s">
        <v>2</v>
      </c>
      <c r="AQ1" s="293" t="s">
        <v>3</v>
      </c>
      <c r="AR1" s="293" t="s">
        <v>624</v>
      </c>
      <c r="AS1" s="294" t="s">
        <v>625</v>
      </c>
    </row>
    <row r="2" spans="1:45" ht="24.95" customHeight="1" thickBot="1" x14ac:dyDescent="0.3">
      <c r="B2" s="29" t="str">
        <f t="shared" ref="B2:B11" si="0">ROW()-1 &amp; "º"</f>
        <v>1º</v>
      </c>
      <c r="C2" s="69" t="str">
        <f t="shared" ref="C2:C11" si="1">AB2</f>
        <v>André</v>
      </c>
      <c r="D2" s="86" t="str">
        <f t="shared" ref="D2:D11" si="2">Z2</f>
        <v>BRA</v>
      </c>
      <c r="E2" s="256" t="str">
        <f t="shared" ref="E2:E11" si="3">AA2</f>
        <v>Corinthians</v>
      </c>
      <c r="F2" s="36">
        <f t="shared" ref="F2:F11" si="4">AC2</f>
        <v>20</v>
      </c>
      <c r="G2" s="96">
        <f t="shared" ref="G2:G11" si="5">IFERROR(AVERAGE(H:H),0)</f>
        <v>34.245555555555555</v>
      </c>
      <c r="H2" s="197">
        <f t="shared" ref="H2:H11" si="6">IFERROR(AD2/90,0)</f>
        <v>35.68888888888889</v>
      </c>
      <c r="I2" s="197">
        <f t="shared" ref="I2:I11" si="7">VALUE(SUBSTITUTE(AH2, " km", ""))</f>
        <v>444.8</v>
      </c>
      <c r="J2" s="283">
        <f t="shared" ref="J2:J11" si="8">I2/H2</f>
        <v>12.463262764632628</v>
      </c>
      <c r="K2" s="210">
        <f t="shared" ref="K2:K11" si="9">IFERROR((((I2*1000)/(AD2*60))*3600)/1000,0)</f>
        <v>8.3088418430884197</v>
      </c>
      <c r="L2" s="285">
        <f t="shared" ref="L2:L11" si="10">AF2</f>
        <v>354</v>
      </c>
      <c r="M2" s="286">
        <f t="shared" ref="M2:M11" si="11">L2/H2</f>
        <v>9.9190535491905347</v>
      </c>
      <c r="N2" s="285">
        <f t="shared" ref="N2:N11" si="12">AG2</f>
        <v>103</v>
      </c>
      <c r="O2" s="286">
        <f t="shared" ref="O2:O11" si="13">N2/H2</f>
        <v>2.8860523038605228</v>
      </c>
      <c r="P2" s="284">
        <f t="shared" ref="P2:P11" si="14">IFERROR(N2/L2,0)</f>
        <v>0.29096045197740111</v>
      </c>
      <c r="Q2" s="58">
        <f t="shared" ref="Q2:Q11" si="15">AK2</f>
        <v>68</v>
      </c>
      <c r="R2" s="76">
        <f t="shared" ref="R2:R11" si="16">AK2/H2</f>
        <v>1.905354919053549</v>
      </c>
      <c r="S2" s="287">
        <f t="shared" ref="S2:S11" si="17">AJ2</f>
        <v>0.1</v>
      </c>
      <c r="T2" s="76">
        <f t="shared" ref="T2:T11" si="18">AO2</f>
        <v>15.2</v>
      </c>
      <c r="U2" s="288">
        <f t="shared" ref="U2:U11" si="19">AN2</f>
        <v>0</v>
      </c>
      <c r="V2" s="289">
        <f t="shared" ref="V2:V11" si="20">U2/H2</f>
        <v>0</v>
      </c>
      <c r="W2" s="291">
        <f t="shared" ref="W2:W11" si="21">(I2/100)*10+(J2/12)*10+(L2/100)*10+(N2/50)*10+(R2*10)+(S2/0.1)*10+(U2*-10)</f>
        <v>139.91960149439603</v>
      </c>
      <c r="X2" s="5">
        <f t="shared" ref="X2:X11" si="22">AM2</f>
        <v>6.87</v>
      </c>
      <c r="Y2" s="299"/>
      <c r="Z2" s="295" t="s">
        <v>13</v>
      </c>
      <c r="AA2" s="295" t="s">
        <v>1045</v>
      </c>
      <c r="AB2" s="295" t="s">
        <v>833</v>
      </c>
      <c r="AC2" s="295">
        <v>20</v>
      </c>
      <c r="AD2" s="295">
        <v>3212</v>
      </c>
      <c r="AE2" s="295">
        <v>9.6</v>
      </c>
      <c r="AF2" s="295">
        <v>354</v>
      </c>
      <c r="AG2" s="295">
        <v>103</v>
      </c>
      <c r="AH2" s="295" t="s">
        <v>1050</v>
      </c>
      <c r="AI2" s="295">
        <v>12.5</v>
      </c>
      <c r="AJ2" s="295">
        <v>0.1</v>
      </c>
      <c r="AK2" s="295">
        <v>68</v>
      </c>
      <c r="AL2" s="295">
        <v>7</v>
      </c>
      <c r="AM2" s="295">
        <v>6.87</v>
      </c>
      <c r="AN2" s="295">
        <v>0</v>
      </c>
      <c r="AO2" s="295">
        <v>15.2</v>
      </c>
      <c r="AP2" s="295" t="s">
        <v>930</v>
      </c>
      <c r="AQ2" s="295" t="s">
        <v>912</v>
      </c>
      <c r="AR2" s="295">
        <v>19</v>
      </c>
      <c r="AS2" s="300" t="s">
        <v>626</v>
      </c>
    </row>
    <row r="3" spans="1:45" ht="24.95" customHeight="1" thickBot="1" x14ac:dyDescent="0.3">
      <c r="B3" s="29" t="str">
        <f t="shared" si="0"/>
        <v>2º</v>
      </c>
      <c r="C3" s="69" t="str">
        <f t="shared" si="1"/>
        <v>Bruno Gomes</v>
      </c>
      <c r="D3" s="86" t="str">
        <f t="shared" si="2"/>
        <v>BRA</v>
      </c>
      <c r="E3" s="256" t="str">
        <f t="shared" si="3"/>
        <v>Internacional</v>
      </c>
      <c r="F3" s="36">
        <f t="shared" si="4"/>
        <v>25</v>
      </c>
      <c r="G3" s="96">
        <f t="shared" si="5"/>
        <v>34.245555555555555</v>
      </c>
      <c r="H3" s="197">
        <f t="shared" si="6"/>
        <v>33.5</v>
      </c>
      <c r="I3" s="197">
        <f t="shared" si="7"/>
        <v>420.3</v>
      </c>
      <c r="J3" s="283">
        <f t="shared" si="8"/>
        <v>12.546268656716418</v>
      </c>
      <c r="K3" s="210">
        <f t="shared" si="9"/>
        <v>8.3641791044776106</v>
      </c>
      <c r="L3" s="285">
        <f t="shared" si="10"/>
        <v>293</v>
      </c>
      <c r="M3" s="286">
        <f t="shared" si="11"/>
        <v>8.7462686567164187</v>
      </c>
      <c r="N3" s="285">
        <f t="shared" si="12"/>
        <v>77</v>
      </c>
      <c r="O3" s="286">
        <f t="shared" si="13"/>
        <v>2.2985074626865671</v>
      </c>
      <c r="P3" s="284">
        <f t="shared" si="14"/>
        <v>0.26279863481228671</v>
      </c>
      <c r="Q3" s="58">
        <f t="shared" si="15"/>
        <v>64</v>
      </c>
      <c r="R3" s="76">
        <f t="shared" si="16"/>
        <v>1.9104477611940298</v>
      </c>
      <c r="S3" s="287">
        <f t="shared" si="17"/>
        <v>0.1</v>
      </c>
      <c r="T3" s="76">
        <f t="shared" si="18"/>
        <v>23</v>
      </c>
      <c r="U3" s="288">
        <f t="shared" si="19"/>
        <v>0</v>
      </c>
      <c r="V3" s="289">
        <f t="shared" si="20"/>
        <v>0</v>
      </c>
      <c r="W3" s="291">
        <f t="shared" si="21"/>
        <v>126.28970149253732</v>
      </c>
      <c r="X3" s="5">
        <f t="shared" si="22"/>
        <v>6.92</v>
      </c>
      <c r="Y3" s="301"/>
      <c r="Z3" s="297" t="s">
        <v>13</v>
      </c>
      <c r="AA3" s="297" t="s">
        <v>584</v>
      </c>
      <c r="AB3" s="297" t="s">
        <v>628</v>
      </c>
      <c r="AC3" s="297">
        <v>25</v>
      </c>
      <c r="AD3" s="297">
        <v>3015</v>
      </c>
      <c r="AE3" s="297">
        <v>10.6</v>
      </c>
      <c r="AF3" s="297">
        <v>293</v>
      </c>
      <c r="AG3" s="297">
        <v>77</v>
      </c>
      <c r="AH3" s="297" t="s">
        <v>1049</v>
      </c>
      <c r="AI3" s="297">
        <v>12.5</v>
      </c>
      <c r="AJ3" s="297">
        <v>0.1</v>
      </c>
      <c r="AK3" s="297">
        <v>64</v>
      </c>
      <c r="AL3" s="297">
        <v>81</v>
      </c>
      <c r="AM3" s="297">
        <v>6.92</v>
      </c>
      <c r="AN3" s="297">
        <v>0</v>
      </c>
      <c r="AO3" s="297">
        <v>23</v>
      </c>
      <c r="AP3" s="297" t="s">
        <v>629</v>
      </c>
      <c r="AQ3" s="297" t="s">
        <v>630</v>
      </c>
      <c r="AR3" s="297">
        <v>19</v>
      </c>
      <c r="AS3" s="302" t="s">
        <v>627</v>
      </c>
    </row>
    <row r="4" spans="1:45" ht="24.95" customHeight="1" thickBot="1" x14ac:dyDescent="0.3">
      <c r="B4" s="29" t="str">
        <f t="shared" si="0"/>
        <v>3º</v>
      </c>
      <c r="C4" s="69" t="str">
        <f t="shared" si="1"/>
        <v>Dudu</v>
      </c>
      <c r="D4" s="86" t="str">
        <f t="shared" si="2"/>
        <v>BRA</v>
      </c>
      <c r="E4" s="256" t="str">
        <f t="shared" si="3"/>
        <v>Vitória</v>
      </c>
      <c r="F4" s="36">
        <f t="shared" si="4"/>
        <v>27</v>
      </c>
      <c r="G4" s="96">
        <f t="shared" si="5"/>
        <v>34.245555555555555</v>
      </c>
      <c r="H4" s="197">
        <f t="shared" si="6"/>
        <v>26.533333333333335</v>
      </c>
      <c r="I4" s="197">
        <f t="shared" si="7"/>
        <v>318</v>
      </c>
      <c r="J4" s="283">
        <f t="shared" si="8"/>
        <v>11.984924623115576</v>
      </c>
      <c r="K4" s="210">
        <f t="shared" si="9"/>
        <v>7.9899497487437179</v>
      </c>
      <c r="L4" s="285">
        <f t="shared" si="10"/>
        <v>241</v>
      </c>
      <c r="M4" s="286">
        <f t="shared" si="11"/>
        <v>9.0829145728643219</v>
      </c>
      <c r="N4" s="285">
        <f t="shared" si="12"/>
        <v>56</v>
      </c>
      <c r="O4" s="286">
        <f t="shared" si="13"/>
        <v>2.1105527638190953</v>
      </c>
      <c r="P4" s="284">
        <f t="shared" si="14"/>
        <v>0.23236514522821577</v>
      </c>
      <c r="Q4" s="58">
        <f t="shared" si="15"/>
        <v>48</v>
      </c>
      <c r="R4" s="76">
        <f t="shared" si="16"/>
        <v>1.8090452261306531</v>
      </c>
      <c r="S4" s="287">
        <f t="shared" si="17"/>
        <v>0.1</v>
      </c>
      <c r="T4" s="76">
        <f t="shared" si="18"/>
        <v>12.9</v>
      </c>
      <c r="U4" s="288">
        <f t="shared" si="19"/>
        <v>0</v>
      </c>
      <c r="V4" s="289">
        <f t="shared" si="20"/>
        <v>0</v>
      </c>
      <c r="W4" s="291">
        <f t="shared" si="21"/>
        <v>105.1778894472362</v>
      </c>
      <c r="X4" s="5">
        <f t="shared" si="22"/>
        <v>7.03</v>
      </c>
      <c r="Y4" s="301"/>
      <c r="Z4" s="297" t="s">
        <v>13</v>
      </c>
      <c r="AA4" s="297" t="s">
        <v>592</v>
      </c>
      <c r="AB4" s="297" t="s">
        <v>986</v>
      </c>
      <c r="AC4" s="297">
        <v>27</v>
      </c>
      <c r="AD4" s="297">
        <v>2388</v>
      </c>
      <c r="AE4" s="297">
        <v>12.4</v>
      </c>
      <c r="AF4" s="297">
        <v>241</v>
      </c>
      <c r="AG4" s="297">
        <v>56</v>
      </c>
      <c r="AH4" s="297" t="s">
        <v>1058</v>
      </c>
      <c r="AI4" s="297">
        <v>12</v>
      </c>
      <c r="AJ4" s="297">
        <v>0.1</v>
      </c>
      <c r="AK4" s="297">
        <v>48</v>
      </c>
      <c r="AL4" s="297">
        <v>12</v>
      </c>
      <c r="AM4" s="297">
        <v>7.03</v>
      </c>
      <c r="AN4" s="297">
        <v>0</v>
      </c>
      <c r="AO4" s="297">
        <v>12.9</v>
      </c>
      <c r="AP4" s="297" t="s">
        <v>661</v>
      </c>
      <c r="AQ4" s="297" t="s">
        <v>961</v>
      </c>
      <c r="AR4" s="297">
        <v>17</v>
      </c>
      <c r="AS4" s="302" t="s">
        <v>627</v>
      </c>
    </row>
    <row r="5" spans="1:45" ht="24.95" customHeight="1" thickBot="1" x14ac:dyDescent="0.3">
      <c r="B5" s="29" t="str">
        <f t="shared" si="0"/>
        <v>4º</v>
      </c>
      <c r="C5" s="69" t="str">
        <f t="shared" si="1"/>
        <v>Everton Ribeiro</v>
      </c>
      <c r="D5" s="86" t="str">
        <f t="shared" si="2"/>
        <v>BRA</v>
      </c>
      <c r="E5" s="256" t="str">
        <f t="shared" si="3"/>
        <v>Bahia</v>
      </c>
      <c r="F5" s="36">
        <f t="shared" si="4"/>
        <v>37</v>
      </c>
      <c r="G5" s="96">
        <f t="shared" si="5"/>
        <v>34.245555555555555</v>
      </c>
      <c r="H5" s="197">
        <f t="shared" si="6"/>
        <v>37.044444444444444</v>
      </c>
      <c r="I5" s="197">
        <f t="shared" si="7"/>
        <v>452.6</v>
      </c>
      <c r="J5" s="283">
        <f t="shared" si="8"/>
        <v>12.217756448710258</v>
      </c>
      <c r="K5" s="210">
        <f t="shared" si="9"/>
        <v>8.1451709658068392</v>
      </c>
      <c r="L5" s="285">
        <f t="shared" si="10"/>
        <v>352</v>
      </c>
      <c r="M5" s="286">
        <f t="shared" si="11"/>
        <v>9.5020995800839838</v>
      </c>
      <c r="N5" s="285">
        <f t="shared" si="12"/>
        <v>66</v>
      </c>
      <c r="O5" s="286">
        <f t="shared" si="13"/>
        <v>1.7816436712657469</v>
      </c>
      <c r="P5" s="284">
        <f t="shared" si="14"/>
        <v>0.1875</v>
      </c>
      <c r="Q5" s="58">
        <f t="shared" si="15"/>
        <v>46</v>
      </c>
      <c r="R5" s="76">
        <f t="shared" si="16"/>
        <v>1.241751649670066</v>
      </c>
      <c r="S5" s="287">
        <f t="shared" si="17"/>
        <v>0</v>
      </c>
      <c r="T5" s="76">
        <f t="shared" si="18"/>
        <v>14.6</v>
      </c>
      <c r="U5" s="288">
        <f t="shared" si="19"/>
        <v>0</v>
      </c>
      <c r="V5" s="289">
        <f t="shared" si="20"/>
        <v>0</v>
      </c>
      <c r="W5" s="291">
        <f t="shared" si="21"/>
        <v>116.25898020395921</v>
      </c>
      <c r="X5" s="5">
        <f t="shared" si="22"/>
        <v>6.84</v>
      </c>
      <c r="Y5" s="299" t="s">
        <v>19</v>
      </c>
      <c r="Z5" s="295" t="s">
        <v>13</v>
      </c>
      <c r="AA5" s="295" t="s">
        <v>580</v>
      </c>
      <c r="AB5" s="295" t="s">
        <v>654</v>
      </c>
      <c r="AC5" s="295">
        <v>37</v>
      </c>
      <c r="AD5" s="295">
        <v>3334</v>
      </c>
      <c r="AE5" s="295">
        <v>6</v>
      </c>
      <c r="AF5" s="295">
        <v>352</v>
      </c>
      <c r="AG5" s="295">
        <v>66</v>
      </c>
      <c r="AH5" s="295" t="s">
        <v>1051</v>
      </c>
      <c r="AI5" s="295">
        <v>12.2</v>
      </c>
      <c r="AJ5" s="295">
        <v>0</v>
      </c>
      <c r="AK5" s="295">
        <v>46</v>
      </c>
      <c r="AL5" s="295">
        <v>104</v>
      </c>
      <c r="AM5" s="295">
        <v>6.84</v>
      </c>
      <c r="AN5" s="295">
        <v>0</v>
      </c>
      <c r="AO5" s="295">
        <v>14.6</v>
      </c>
      <c r="AP5" s="295" t="s">
        <v>1052</v>
      </c>
      <c r="AQ5" s="295" t="s">
        <v>657</v>
      </c>
      <c r="AR5" s="295" t="s">
        <v>548</v>
      </c>
      <c r="AS5" s="300" t="s">
        <v>626</v>
      </c>
    </row>
    <row r="6" spans="1:45" ht="24.95" customHeight="1" thickBot="1" x14ac:dyDescent="0.3">
      <c r="B6" s="29" t="str">
        <f t="shared" si="0"/>
        <v>5º</v>
      </c>
      <c r="C6" s="69" t="str">
        <f t="shared" si="1"/>
        <v>Gabriel Menino</v>
      </c>
      <c r="D6" s="86" t="str">
        <f t="shared" si="2"/>
        <v>BRA</v>
      </c>
      <c r="E6" s="256" t="str">
        <f t="shared" si="3"/>
        <v>Santos</v>
      </c>
      <c r="F6" s="36">
        <f t="shared" si="4"/>
        <v>25</v>
      </c>
      <c r="G6" s="96">
        <f t="shared" si="5"/>
        <v>34.245555555555555</v>
      </c>
      <c r="H6" s="197">
        <f t="shared" si="6"/>
        <v>27.81111111111111</v>
      </c>
      <c r="I6" s="197">
        <f t="shared" si="7"/>
        <v>335.7</v>
      </c>
      <c r="J6" s="283">
        <f t="shared" si="8"/>
        <v>12.070715141829805</v>
      </c>
      <c r="K6" s="210">
        <f t="shared" si="9"/>
        <v>8.047143427886537</v>
      </c>
      <c r="L6" s="285">
        <f t="shared" si="10"/>
        <v>283</v>
      </c>
      <c r="M6" s="286">
        <f t="shared" si="11"/>
        <v>10.175789053136237</v>
      </c>
      <c r="N6" s="285">
        <f t="shared" si="12"/>
        <v>72</v>
      </c>
      <c r="O6" s="286">
        <f t="shared" si="13"/>
        <v>2.5888933280063924</v>
      </c>
      <c r="P6" s="284">
        <f t="shared" si="14"/>
        <v>0.25441696113074203</v>
      </c>
      <c r="Q6" s="58">
        <f t="shared" si="15"/>
        <v>37</v>
      </c>
      <c r="R6" s="76">
        <f t="shared" si="16"/>
        <v>1.3304035157810628</v>
      </c>
      <c r="S6" s="287">
        <f t="shared" si="17"/>
        <v>0.1</v>
      </c>
      <c r="T6" s="76">
        <f t="shared" si="18"/>
        <v>13.7</v>
      </c>
      <c r="U6" s="288">
        <f t="shared" si="19"/>
        <v>0</v>
      </c>
      <c r="V6" s="289">
        <f t="shared" si="20"/>
        <v>0</v>
      </c>
      <c r="W6" s="291">
        <f t="shared" si="21"/>
        <v>109.63296444266879</v>
      </c>
      <c r="X6" s="5">
        <f t="shared" si="22"/>
        <v>6.84</v>
      </c>
      <c r="Y6" s="299"/>
      <c r="Z6" s="295" t="s">
        <v>13</v>
      </c>
      <c r="AA6" s="295" t="s">
        <v>901</v>
      </c>
      <c r="AB6" s="295" t="s">
        <v>1056</v>
      </c>
      <c r="AC6" s="295">
        <v>25</v>
      </c>
      <c r="AD6" s="295">
        <v>2503</v>
      </c>
      <c r="AE6" s="295">
        <v>9.4</v>
      </c>
      <c r="AF6" s="295">
        <v>283</v>
      </c>
      <c r="AG6" s="295">
        <v>72</v>
      </c>
      <c r="AH6" s="295" t="s">
        <v>1057</v>
      </c>
      <c r="AI6" s="295">
        <v>12.1</v>
      </c>
      <c r="AJ6" s="295">
        <v>0.1</v>
      </c>
      <c r="AK6" s="295">
        <v>37</v>
      </c>
      <c r="AL6" s="295">
        <v>15</v>
      </c>
      <c r="AM6" s="295">
        <v>6.84</v>
      </c>
      <c r="AN6" s="295">
        <v>0</v>
      </c>
      <c r="AO6" s="295">
        <v>13.7</v>
      </c>
      <c r="AP6" s="295" t="s">
        <v>954</v>
      </c>
      <c r="AQ6" s="295" t="s">
        <v>1015</v>
      </c>
      <c r="AR6" s="295" t="s">
        <v>548</v>
      </c>
      <c r="AS6" s="300" t="s">
        <v>626</v>
      </c>
    </row>
    <row r="7" spans="1:45" ht="24.95" customHeight="1" thickBot="1" x14ac:dyDescent="0.3">
      <c r="B7" s="29" t="str">
        <f t="shared" si="0"/>
        <v>6º</v>
      </c>
      <c r="C7" s="69" t="str">
        <f t="shared" si="1"/>
        <v>Jean Lucas</v>
      </c>
      <c r="D7" s="86" t="str">
        <f t="shared" si="2"/>
        <v>BRA</v>
      </c>
      <c r="E7" s="256" t="str">
        <f t="shared" si="3"/>
        <v>Bahia</v>
      </c>
      <c r="F7" s="36">
        <f t="shared" si="4"/>
        <v>28</v>
      </c>
      <c r="G7" s="96">
        <f t="shared" si="5"/>
        <v>34.245555555555555</v>
      </c>
      <c r="H7" s="197">
        <f t="shared" si="6"/>
        <v>38.611111111111114</v>
      </c>
      <c r="I7" s="197">
        <f t="shared" si="7"/>
        <v>469.6</v>
      </c>
      <c r="J7" s="283">
        <f t="shared" si="8"/>
        <v>12.162302158273381</v>
      </c>
      <c r="K7" s="210">
        <f t="shared" si="9"/>
        <v>8.108201438848921</v>
      </c>
      <c r="L7" s="285">
        <f t="shared" si="10"/>
        <v>288</v>
      </c>
      <c r="M7" s="286">
        <f t="shared" si="11"/>
        <v>7.4589928057553951</v>
      </c>
      <c r="N7" s="285">
        <f t="shared" si="12"/>
        <v>62</v>
      </c>
      <c r="O7" s="286">
        <f t="shared" si="13"/>
        <v>1.6057553956834532</v>
      </c>
      <c r="P7" s="284">
        <f t="shared" si="14"/>
        <v>0.21527777777777779</v>
      </c>
      <c r="Q7" s="58">
        <f t="shared" si="15"/>
        <v>48</v>
      </c>
      <c r="R7" s="76">
        <f t="shared" si="16"/>
        <v>1.2431654676258992</v>
      </c>
      <c r="S7" s="287">
        <f t="shared" si="17"/>
        <v>0.1</v>
      </c>
      <c r="T7" s="76">
        <f t="shared" si="18"/>
        <v>11.9</v>
      </c>
      <c r="U7" s="288">
        <f t="shared" si="19"/>
        <v>1</v>
      </c>
      <c r="V7" s="289">
        <f t="shared" si="20"/>
        <v>2.5899280575539568E-2</v>
      </c>
      <c r="W7" s="291">
        <f t="shared" si="21"/>
        <v>110.72690647482015</v>
      </c>
      <c r="X7" s="5">
        <f t="shared" si="22"/>
        <v>7</v>
      </c>
      <c r="Y7" s="299" t="s">
        <v>927</v>
      </c>
      <c r="Z7" s="295" t="s">
        <v>13</v>
      </c>
      <c r="AA7" s="295" t="s">
        <v>580</v>
      </c>
      <c r="AB7" s="295" t="s">
        <v>1053</v>
      </c>
      <c r="AC7" s="295">
        <v>28</v>
      </c>
      <c r="AD7" s="295">
        <v>3475</v>
      </c>
      <c r="AE7" s="295">
        <v>8.6999999999999993</v>
      </c>
      <c r="AF7" s="295">
        <v>288</v>
      </c>
      <c r="AG7" s="295">
        <v>62</v>
      </c>
      <c r="AH7" s="295" t="s">
        <v>1054</v>
      </c>
      <c r="AI7" s="295">
        <v>12.2</v>
      </c>
      <c r="AJ7" s="295">
        <v>0.1</v>
      </c>
      <c r="AK7" s="295">
        <v>48</v>
      </c>
      <c r="AL7" s="295">
        <v>12</v>
      </c>
      <c r="AM7" s="295">
        <v>7</v>
      </c>
      <c r="AN7" s="295">
        <v>1</v>
      </c>
      <c r="AO7" s="295">
        <v>11.9</v>
      </c>
      <c r="AP7" s="295" t="s">
        <v>942</v>
      </c>
      <c r="AQ7" s="295" t="s">
        <v>926</v>
      </c>
      <c r="AR7" s="295" t="s">
        <v>548</v>
      </c>
      <c r="AS7" s="300" t="s">
        <v>626</v>
      </c>
    </row>
    <row r="8" spans="1:45" ht="24.95" customHeight="1" thickBot="1" x14ac:dyDescent="0.3">
      <c r="B8" s="29" t="str">
        <f t="shared" si="0"/>
        <v>7º</v>
      </c>
      <c r="C8" s="69" t="str">
        <f t="shared" si="1"/>
        <v>Juan Camilo Portilla</v>
      </c>
      <c r="D8" s="86" t="str">
        <f t="shared" si="2"/>
        <v>COL</v>
      </c>
      <c r="E8" s="256" t="str">
        <f t="shared" si="3"/>
        <v>Athletico Paranaense</v>
      </c>
      <c r="F8" s="36">
        <f t="shared" si="4"/>
        <v>27</v>
      </c>
      <c r="G8" s="96">
        <f t="shared" si="5"/>
        <v>34.245555555555555</v>
      </c>
      <c r="H8" s="197">
        <f t="shared" si="6"/>
        <v>35.866666666666667</v>
      </c>
      <c r="I8" s="197">
        <f t="shared" si="7"/>
        <v>429.8</v>
      </c>
      <c r="J8" s="283">
        <f t="shared" si="8"/>
        <v>11.983271375464684</v>
      </c>
      <c r="K8" s="210">
        <f t="shared" si="9"/>
        <v>7.988847583643123</v>
      </c>
      <c r="L8" s="285">
        <f t="shared" si="10"/>
        <v>285</v>
      </c>
      <c r="M8" s="286">
        <f t="shared" si="11"/>
        <v>7.9460966542750926</v>
      </c>
      <c r="N8" s="285">
        <f t="shared" si="12"/>
        <v>71</v>
      </c>
      <c r="O8" s="286">
        <f t="shared" si="13"/>
        <v>1.9795539033457248</v>
      </c>
      <c r="P8" s="284">
        <f t="shared" si="14"/>
        <v>0.24912280701754386</v>
      </c>
      <c r="Q8" s="58">
        <f t="shared" si="15"/>
        <v>45</v>
      </c>
      <c r="R8" s="76">
        <f t="shared" si="16"/>
        <v>1.2546468401486988</v>
      </c>
      <c r="S8" s="287">
        <f t="shared" si="17"/>
        <v>0</v>
      </c>
      <c r="T8" s="76">
        <f t="shared" si="18"/>
        <v>14.5</v>
      </c>
      <c r="U8" s="288">
        <f t="shared" si="19"/>
        <v>1</v>
      </c>
      <c r="V8" s="289">
        <f t="shared" si="20"/>
        <v>2.7881040892193308E-2</v>
      </c>
      <c r="W8" s="291">
        <f t="shared" si="21"/>
        <v>98.212527881040899</v>
      </c>
      <c r="X8" s="5">
        <f t="shared" si="22"/>
        <v>6.88</v>
      </c>
      <c r="Y8" s="299"/>
      <c r="Z8" s="295" t="s">
        <v>553</v>
      </c>
      <c r="AA8" s="295" t="s">
        <v>614</v>
      </c>
      <c r="AB8" s="295" t="s">
        <v>981</v>
      </c>
      <c r="AC8" s="295">
        <v>27</v>
      </c>
      <c r="AD8" s="295">
        <v>3228</v>
      </c>
      <c r="AE8" s="295">
        <v>9.6999999999999993</v>
      </c>
      <c r="AF8" s="295">
        <v>285</v>
      </c>
      <c r="AG8" s="295">
        <v>71</v>
      </c>
      <c r="AH8" s="295" t="s">
        <v>1059</v>
      </c>
      <c r="AI8" s="295">
        <v>12</v>
      </c>
      <c r="AJ8" s="295">
        <v>0</v>
      </c>
      <c r="AK8" s="295">
        <v>45</v>
      </c>
      <c r="AL8" s="295">
        <v>5</v>
      </c>
      <c r="AM8" s="295">
        <v>6.88</v>
      </c>
      <c r="AN8" s="295">
        <v>1</v>
      </c>
      <c r="AO8" s="295">
        <v>14.5</v>
      </c>
      <c r="AP8" s="295" t="s">
        <v>952</v>
      </c>
      <c r="AQ8" s="295" t="s">
        <v>674</v>
      </c>
      <c r="AR8" s="295" t="s">
        <v>548</v>
      </c>
      <c r="AS8" s="300" t="s">
        <v>626</v>
      </c>
    </row>
    <row r="9" spans="1:45" ht="24.95" customHeight="1" thickBot="1" x14ac:dyDescent="0.3">
      <c r="B9" s="29" t="str">
        <f t="shared" si="0"/>
        <v>8º</v>
      </c>
      <c r="C9" s="69" t="str">
        <f t="shared" si="1"/>
        <v>Neto Moura</v>
      </c>
      <c r="D9" s="86" t="str">
        <f t="shared" si="2"/>
        <v>BRA</v>
      </c>
      <c r="E9" s="256" t="str">
        <f t="shared" si="3"/>
        <v>Mirassol</v>
      </c>
      <c r="F9" s="36">
        <f t="shared" si="4"/>
        <v>30</v>
      </c>
      <c r="G9" s="96">
        <f t="shared" si="5"/>
        <v>34.245555555555555</v>
      </c>
      <c r="H9" s="197">
        <f t="shared" si="6"/>
        <v>32.966666666666669</v>
      </c>
      <c r="I9" s="197">
        <f t="shared" si="7"/>
        <v>395.2</v>
      </c>
      <c r="J9" s="283">
        <f t="shared" si="8"/>
        <v>11.987866531850353</v>
      </c>
      <c r="K9" s="210">
        <f t="shared" si="9"/>
        <v>7.9919110212335687</v>
      </c>
      <c r="L9" s="285">
        <f t="shared" si="10"/>
        <v>278</v>
      </c>
      <c r="M9" s="286">
        <f t="shared" si="11"/>
        <v>8.4327603640040447</v>
      </c>
      <c r="N9" s="285">
        <f t="shared" si="12"/>
        <v>72</v>
      </c>
      <c r="O9" s="286">
        <f t="shared" si="13"/>
        <v>2.1840242669362993</v>
      </c>
      <c r="P9" s="284">
        <f t="shared" si="14"/>
        <v>0.25899280575539568</v>
      </c>
      <c r="Q9" s="58">
        <f t="shared" si="15"/>
        <v>44</v>
      </c>
      <c r="R9" s="76">
        <f t="shared" si="16"/>
        <v>1.3346814964610718</v>
      </c>
      <c r="S9" s="287">
        <f t="shared" si="17"/>
        <v>0.1</v>
      </c>
      <c r="T9" s="76">
        <f t="shared" si="18"/>
        <v>11.4</v>
      </c>
      <c r="U9" s="288">
        <f t="shared" si="19"/>
        <v>0</v>
      </c>
      <c r="V9" s="289">
        <f t="shared" si="20"/>
        <v>0</v>
      </c>
      <c r="W9" s="291">
        <f t="shared" si="21"/>
        <v>115.05670374115267</v>
      </c>
      <c r="X9" s="5">
        <f t="shared" si="22"/>
        <v>6.84</v>
      </c>
      <c r="Y9" s="299"/>
      <c r="Z9" s="295" t="s">
        <v>13</v>
      </c>
      <c r="AA9" s="295" t="s">
        <v>660</v>
      </c>
      <c r="AB9" s="295" t="s">
        <v>675</v>
      </c>
      <c r="AC9" s="295">
        <v>30</v>
      </c>
      <c r="AD9" s="295">
        <v>2967</v>
      </c>
      <c r="AE9" s="295">
        <v>8.6999999999999993</v>
      </c>
      <c r="AF9" s="295">
        <v>278</v>
      </c>
      <c r="AG9" s="295">
        <v>72</v>
      </c>
      <c r="AH9" s="295" t="s">
        <v>962</v>
      </c>
      <c r="AI9" s="295">
        <v>12</v>
      </c>
      <c r="AJ9" s="295">
        <v>0.1</v>
      </c>
      <c r="AK9" s="295">
        <v>44</v>
      </c>
      <c r="AL9" s="295">
        <v>5</v>
      </c>
      <c r="AM9" s="295">
        <v>6.84</v>
      </c>
      <c r="AN9" s="295">
        <v>0</v>
      </c>
      <c r="AO9" s="295">
        <v>11.4</v>
      </c>
      <c r="AP9" s="295" t="s">
        <v>956</v>
      </c>
      <c r="AQ9" s="295" t="s">
        <v>677</v>
      </c>
      <c r="AR9" s="295" t="s">
        <v>548</v>
      </c>
      <c r="AS9" s="300" t="s">
        <v>626</v>
      </c>
    </row>
    <row r="10" spans="1:45" ht="24.95" customHeight="1" thickBot="1" x14ac:dyDescent="0.3">
      <c r="B10" s="29" t="str">
        <f t="shared" si="0"/>
        <v>9º</v>
      </c>
      <c r="C10" s="69" t="str">
        <f t="shared" si="1"/>
        <v>Rodrigo Garro</v>
      </c>
      <c r="D10" s="86" t="str">
        <f t="shared" si="2"/>
        <v>ARG</v>
      </c>
      <c r="E10" s="256" t="str">
        <f t="shared" si="3"/>
        <v>Corinthians</v>
      </c>
      <c r="F10" s="36">
        <f t="shared" si="4"/>
        <v>28</v>
      </c>
      <c r="G10" s="96">
        <f t="shared" si="5"/>
        <v>34.245555555555555</v>
      </c>
      <c r="H10" s="197">
        <f t="shared" si="6"/>
        <v>39.711111111111109</v>
      </c>
      <c r="I10" s="197">
        <f t="shared" si="7"/>
        <v>501.3</v>
      </c>
      <c r="J10" s="283">
        <f t="shared" si="8"/>
        <v>12.623670956911026</v>
      </c>
      <c r="K10" s="210">
        <f t="shared" si="9"/>
        <v>8.4157806379406832</v>
      </c>
      <c r="L10" s="285">
        <f t="shared" si="10"/>
        <v>318</v>
      </c>
      <c r="M10" s="286">
        <f t="shared" si="11"/>
        <v>8.0078343592613326</v>
      </c>
      <c r="N10" s="285">
        <f t="shared" si="12"/>
        <v>69</v>
      </c>
      <c r="O10" s="286">
        <f t="shared" si="13"/>
        <v>1.7375489647453835</v>
      </c>
      <c r="P10" s="284">
        <f t="shared" si="14"/>
        <v>0.21698113207547171</v>
      </c>
      <c r="Q10" s="58">
        <f t="shared" si="15"/>
        <v>59</v>
      </c>
      <c r="R10" s="76">
        <f t="shared" si="16"/>
        <v>1.4857302742025742</v>
      </c>
      <c r="S10" s="287">
        <f t="shared" si="17"/>
        <v>0</v>
      </c>
      <c r="T10" s="76">
        <f t="shared" si="18"/>
        <v>15.3</v>
      </c>
      <c r="U10" s="288">
        <f t="shared" si="19"/>
        <v>0</v>
      </c>
      <c r="V10" s="289">
        <f t="shared" si="20"/>
        <v>0</v>
      </c>
      <c r="W10" s="291">
        <f t="shared" si="21"/>
        <v>121.10702853945159</v>
      </c>
      <c r="X10" s="5">
        <f t="shared" si="22"/>
        <v>7.01</v>
      </c>
      <c r="Y10" s="299"/>
      <c r="Z10" s="295" t="s">
        <v>478</v>
      </c>
      <c r="AA10" s="295" t="s">
        <v>1045</v>
      </c>
      <c r="AB10" s="295" t="s">
        <v>834</v>
      </c>
      <c r="AC10" s="295">
        <v>28</v>
      </c>
      <c r="AD10" s="295">
        <v>3574</v>
      </c>
      <c r="AE10" s="295">
        <v>5.8</v>
      </c>
      <c r="AF10" s="295">
        <v>318</v>
      </c>
      <c r="AG10" s="295">
        <v>69</v>
      </c>
      <c r="AH10" s="295" t="s">
        <v>1046</v>
      </c>
      <c r="AI10" s="295">
        <v>12.6</v>
      </c>
      <c r="AJ10" s="295">
        <v>0</v>
      </c>
      <c r="AK10" s="295">
        <v>59</v>
      </c>
      <c r="AL10" s="295">
        <v>55</v>
      </c>
      <c r="AM10" s="295">
        <v>7.01</v>
      </c>
      <c r="AN10" s="295">
        <v>0</v>
      </c>
      <c r="AO10" s="295">
        <v>15.3</v>
      </c>
      <c r="AP10" s="295" t="s">
        <v>1047</v>
      </c>
      <c r="AQ10" s="295" t="s">
        <v>1048</v>
      </c>
      <c r="AR10" s="295">
        <v>20</v>
      </c>
      <c r="AS10" s="300" t="s">
        <v>626</v>
      </c>
    </row>
    <row r="11" spans="1:45" ht="24.95" customHeight="1" thickBot="1" x14ac:dyDescent="0.3">
      <c r="B11" s="29" t="str">
        <f t="shared" si="0"/>
        <v>10º</v>
      </c>
      <c r="C11" s="69" t="str">
        <f t="shared" si="1"/>
        <v>Sebastián Gómez</v>
      </c>
      <c r="D11" s="86" t="str">
        <f t="shared" si="2"/>
        <v>COL</v>
      </c>
      <c r="E11" s="256" t="str">
        <f t="shared" si="3"/>
        <v>Coritiba</v>
      </c>
      <c r="F11" s="36">
        <f t="shared" si="4"/>
        <v>30</v>
      </c>
      <c r="G11" s="96">
        <f t="shared" si="5"/>
        <v>34.245555555555555</v>
      </c>
      <c r="H11" s="197">
        <f t="shared" si="6"/>
        <v>34.722222222222221</v>
      </c>
      <c r="I11" s="197">
        <f t="shared" si="7"/>
        <v>422.2</v>
      </c>
      <c r="J11" s="283">
        <f t="shared" si="8"/>
        <v>12.15936</v>
      </c>
      <c r="K11" s="210">
        <f t="shared" si="9"/>
        <v>8.1062399999999997</v>
      </c>
      <c r="L11" s="285">
        <f t="shared" si="10"/>
        <v>249</v>
      </c>
      <c r="M11" s="286">
        <f t="shared" si="11"/>
        <v>7.1711999999999998</v>
      </c>
      <c r="N11" s="285">
        <f t="shared" si="12"/>
        <v>65</v>
      </c>
      <c r="O11" s="286">
        <f t="shared" si="13"/>
        <v>1.8720000000000001</v>
      </c>
      <c r="P11" s="284">
        <f t="shared" si="14"/>
        <v>0.26104417670682734</v>
      </c>
      <c r="Q11" s="58">
        <f t="shared" si="15"/>
        <v>61</v>
      </c>
      <c r="R11" s="76">
        <f t="shared" si="16"/>
        <v>1.7568000000000001</v>
      </c>
      <c r="S11" s="287">
        <f t="shared" si="17"/>
        <v>0.2</v>
      </c>
      <c r="T11" s="76">
        <f t="shared" si="18"/>
        <v>15.5</v>
      </c>
      <c r="U11" s="288">
        <f t="shared" si="19"/>
        <v>1</v>
      </c>
      <c r="V11" s="289">
        <f t="shared" si="20"/>
        <v>2.8799999999999999E-2</v>
      </c>
      <c r="W11" s="291">
        <f t="shared" si="21"/>
        <v>117.82080000000001</v>
      </c>
      <c r="X11" s="5">
        <f t="shared" si="22"/>
        <v>6.87</v>
      </c>
      <c r="Y11" s="301" t="s">
        <v>639</v>
      </c>
      <c r="Z11" s="297" t="s">
        <v>553</v>
      </c>
      <c r="AA11" s="297" t="s">
        <v>658</v>
      </c>
      <c r="AB11" s="297" t="s">
        <v>667</v>
      </c>
      <c r="AC11" s="297">
        <v>30</v>
      </c>
      <c r="AD11" s="297">
        <v>3125</v>
      </c>
      <c r="AE11" s="297">
        <v>8.4</v>
      </c>
      <c r="AF11" s="297">
        <v>249</v>
      </c>
      <c r="AG11" s="297">
        <v>65</v>
      </c>
      <c r="AH11" s="297" t="s">
        <v>1055</v>
      </c>
      <c r="AI11" s="297">
        <v>12.2</v>
      </c>
      <c r="AJ11" s="297">
        <v>0.2</v>
      </c>
      <c r="AK11" s="297">
        <v>61</v>
      </c>
      <c r="AL11" s="297">
        <v>4</v>
      </c>
      <c r="AM11" s="297">
        <v>6.87</v>
      </c>
      <c r="AN11" s="297">
        <v>1</v>
      </c>
      <c r="AO11" s="297">
        <v>15.5</v>
      </c>
      <c r="AP11" s="297" t="s">
        <v>936</v>
      </c>
      <c r="AQ11" s="297" t="s">
        <v>668</v>
      </c>
      <c r="AR11" s="297" t="s">
        <v>548</v>
      </c>
      <c r="AS11" s="302" t="s">
        <v>626</v>
      </c>
    </row>
    <row r="12" spans="1:45" ht="24.95" customHeight="1" x14ac:dyDescent="0.25"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</row>
    <row r="13" spans="1:45" ht="24.95" customHeight="1" x14ac:dyDescent="0.25"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</row>
    <row r="14" spans="1:45" ht="24.95" customHeight="1" x14ac:dyDescent="0.25"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</row>
    <row r="15" spans="1:45" ht="24.95" customHeight="1" x14ac:dyDescent="0.25"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</row>
    <row r="16" spans="1:45" ht="24.95" customHeight="1" x14ac:dyDescent="0.25"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</row>
    <row r="17" customFormat="1" ht="24.95" customHeight="1" x14ac:dyDescent="0.25"/>
    <row r="18" customFormat="1" ht="24.95" customHeight="1" x14ac:dyDescent="0.25"/>
    <row r="19" customFormat="1" ht="24.95" customHeight="1" x14ac:dyDescent="0.25"/>
    <row r="20" customFormat="1" ht="24.95" customHeight="1" x14ac:dyDescent="0.25"/>
    <row r="21" customFormat="1" ht="24.95" customHeight="1" x14ac:dyDescent="0.25"/>
    <row r="22" customFormat="1" ht="24.95" customHeight="1" x14ac:dyDescent="0.25"/>
    <row r="23" customFormat="1" ht="24.95" customHeight="1" x14ac:dyDescent="0.25"/>
    <row r="24" customFormat="1" ht="24.95" customHeight="1" x14ac:dyDescent="0.25"/>
    <row r="25" customFormat="1" ht="24.95" customHeight="1" x14ac:dyDescent="0.25"/>
    <row r="26" customFormat="1" ht="24.95" customHeight="1" x14ac:dyDescent="0.25"/>
    <row r="27" customFormat="1" ht="24.95" customHeight="1" x14ac:dyDescent="0.25"/>
    <row r="28" customFormat="1" ht="24.95" customHeight="1" x14ac:dyDescent="0.25"/>
    <row r="29" customFormat="1" ht="24.95" customHeight="1" x14ac:dyDescent="0.25"/>
    <row r="30" customFormat="1" ht="24.95" customHeight="1" x14ac:dyDescent="0.25"/>
    <row r="31" customFormat="1" ht="24.95" customHeight="1" x14ac:dyDescent="0.25"/>
    <row r="32" customFormat="1" ht="24.95" customHeight="1" x14ac:dyDescent="0.25"/>
    <row r="33" customFormat="1" ht="24.95" customHeight="1" x14ac:dyDescent="0.25"/>
    <row r="34" customFormat="1" ht="24.95" customHeight="1" x14ac:dyDescent="0.25"/>
    <row r="35" customFormat="1" ht="24.95" customHeight="1" x14ac:dyDescent="0.25"/>
    <row r="36" customFormat="1" ht="24.95" customHeight="1" x14ac:dyDescent="0.25"/>
    <row r="37" customFormat="1" ht="24.95" customHeight="1" x14ac:dyDescent="0.25"/>
    <row r="38" customFormat="1" ht="24.95" customHeight="1" x14ac:dyDescent="0.25"/>
    <row r="39" customFormat="1" ht="24.95" customHeight="1" x14ac:dyDescent="0.25"/>
    <row r="40" customFormat="1" ht="24.95" customHeight="1" x14ac:dyDescent="0.25"/>
    <row r="41" customFormat="1" ht="24.95" customHeight="1" x14ac:dyDescent="0.25"/>
    <row r="42" customFormat="1" ht="24.95" customHeight="1" x14ac:dyDescent="0.25"/>
    <row r="43" customFormat="1" ht="24.95" customHeight="1" x14ac:dyDescent="0.25"/>
    <row r="44" customFormat="1" ht="24.95" customHeight="1" x14ac:dyDescent="0.25"/>
    <row r="45" customFormat="1" ht="24.95" customHeight="1" x14ac:dyDescent="0.25"/>
    <row r="46" customFormat="1" ht="24.95" customHeight="1" x14ac:dyDescent="0.25"/>
    <row r="47" customFormat="1" ht="24.95" customHeight="1" x14ac:dyDescent="0.25"/>
    <row r="48" customFormat="1" ht="24.95" customHeight="1" x14ac:dyDescent="0.25"/>
    <row r="49" customFormat="1" ht="24.95" customHeight="1" x14ac:dyDescent="0.25"/>
    <row r="50" customFormat="1" ht="24.95" customHeight="1" x14ac:dyDescent="0.25"/>
    <row r="51" customFormat="1" ht="24.95" customHeight="1" x14ac:dyDescent="0.25"/>
    <row r="52" customFormat="1" ht="24.95" customHeight="1" x14ac:dyDescent="0.25"/>
    <row r="53" customFormat="1" ht="24.95" customHeight="1" x14ac:dyDescent="0.25"/>
    <row r="54" customFormat="1" ht="24.95" customHeight="1" x14ac:dyDescent="0.25"/>
    <row r="55" customFormat="1" ht="24.95" customHeight="1" x14ac:dyDescent="0.25"/>
    <row r="56" customFormat="1" ht="24.95" customHeight="1" x14ac:dyDescent="0.25"/>
    <row r="57" customFormat="1" ht="24.95" customHeight="1" x14ac:dyDescent="0.25"/>
    <row r="58" customFormat="1" ht="24.95" customHeight="1" x14ac:dyDescent="0.25"/>
    <row r="59" customFormat="1" ht="24.95" customHeight="1" x14ac:dyDescent="0.25"/>
    <row r="60" customFormat="1" ht="24.95" customHeight="1" x14ac:dyDescent="0.25"/>
    <row r="61" customFormat="1" ht="24.95" customHeight="1" x14ac:dyDescent="0.25"/>
    <row r="62" customFormat="1" ht="24.95" customHeight="1" x14ac:dyDescent="0.25"/>
    <row r="63" customFormat="1" ht="24.95" customHeight="1" x14ac:dyDescent="0.25"/>
    <row r="64" customFormat="1" ht="24.95" customHeight="1" x14ac:dyDescent="0.25"/>
    <row r="65" customFormat="1" ht="24.95" customHeight="1" x14ac:dyDescent="0.25"/>
    <row r="66" customFormat="1" ht="24.95" customHeight="1" x14ac:dyDescent="0.25"/>
    <row r="67" customFormat="1" ht="24.95" customHeight="1" x14ac:dyDescent="0.25"/>
    <row r="68" customFormat="1" ht="24.95" customHeight="1" x14ac:dyDescent="0.25"/>
    <row r="69" customFormat="1" ht="24.95" customHeight="1" x14ac:dyDescent="0.25"/>
    <row r="70" customFormat="1" ht="24.95" customHeight="1" x14ac:dyDescent="0.25"/>
    <row r="71" customFormat="1" ht="24.95" customHeight="1" x14ac:dyDescent="0.25"/>
    <row r="72" customFormat="1" ht="24.95" customHeight="1" x14ac:dyDescent="0.25"/>
    <row r="73" customFormat="1" ht="24.95" customHeight="1" x14ac:dyDescent="0.25"/>
    <row r="74" customFormat="1" ht="24.95" customHeight="1" x14ac:dyDescent="0.25"/>
    <row r="75" customFormat="1" ht="24.95" customHeight="1" x14ac:dyDescent="0.25"/>
    <row r="76" customFormat="1" ht="24.95" customHeight="1" x14ac:dyDescent="0.25"/>
    <row r="77" customFormat="1" ht="24.95" customHeight="1" x14ac:dyDescent="0.25"/>
    <row r="78" customFormat="1" ht="24.95" customHeight="1" x14ac:dyDescent="0.25"/>
    <row r="79" customFormat="1" ht="24.95" customHeight="1" x14ac:dyDescent="0.25"/>
    <row r="80" customFormat="1" ht="24.95" customHeight="1" x14ac:dyDescent="0.25"/>
    <row r="81" customFormat="1" ht="24.95" customHeight="1" x14ac:dyDescent="0.25"/>
    <row r="82" customFormat="1" ht="24.95" customHeight="1" x14ac:dyDescent="0.25"/>
    <row r="83" customFormat="1" ht="24.95" customHeight="1" x14ac:dyDescent="0.25"/>
    <row r="84" customFormat="1" ht="24.95" customHeight="1" x14ac:dyDescent="0.25"/>
    <row r="85" customFormat="1" ht="24.95" customHeight="1" x14ac:dyDescent="0.25"/>
    <row r="86" customFormat="1" ht="24.95" customHeight="1" x14ac:dyDescent="0.25"/>
    <row r="87" customFormat="1" ht="24.95" customHeight="1" x14ac:dyDescent="0.25"/>
    <row r="88" customFormat="1" ht="24.95" customHeight="1" x14ac:dyDescent="0.25"/>
    <row r="89" customFormat="1" ht="24.95" customHeight="1" x14ac:dyDescent="0.25"/>
    <row r="90" customFormat="1" ht="24.95" customHeight="1" x14ac:dyDescent="0.25"/>
    <row r="91" customFormat="1" ht="24.95" customHeight="1" x14ac:dyDescent="0.25"/>
    <row r="92" customFormat="1" ht="24.95" customHeight="1" x14ac:dyDescent="0.25"/>
    <row r="93" customFormat="1" ht="24.95" customHeight="1" x14ac:dyDescent="0.25"/>
    <row r="94" customFormat="1" ht="24.95" customHeight="1" x14ac:dyDescent="0.25"/>
    <row r="95" customFormat="1" ht="24.95" customHeight="1" x14ac:dyDescent="0.25"/>
    <row r="96" customFormat="1" ht="24.95" customHeight="1" x14ac:dyDescent="0.25"/>
    <row r="97" customFormat="1" ht="24.95" customHeight="1" x14ac:dyDescent="0.25"/>
    <row r="98" customFormat="1" ht="24.95" customHeight="1" x14ac:dyDescent="0.25"/>
    <row r="99" customFormat="1" ht="24.95" customHeight="1" x14ac:dyDescent="0.25"/>
    <row r="100" customFormat="1" ht="24.95" customHeight="1" x14ac:dyDescent="0.25"/>
    <row r="101" customFormat="1" ht="24.95" customHeight="1" x14ac:dyDescent="0.25"/>
    <row r="102" customFormat="1" ht="24.95" customHeight="1" x14ac:dyDescent="0.25"/>
    <row r="103" customFormat="1" ht="24.95" customHeight="1" x14ac:dyDescent="0.25"/>
    <row r="104" customFormat="1" ht="24.95" customHeight="1" x14ac:dyDescent="0.25"/>
    <row r="105" customFormat="1" ht="24.95" customHeight="1" x14ac:dyDescent="0.25"/>
    <row r="106" customFormat="1" ht="24.95" customHeight="1" x14ac:dyDescent="0.25"/>
    <row r="107" customFormat="1" ht="24.95" customHeight="1" x14ac:dyDescent="0.25"/>
    <row r="108" customFormat="1" ht="24.95" customHeight="1" x14ac:dyDescent="0.25"/>
    <row r="109" customFormat="1" ht="24.95" customHeight="1" x14ac:dyDescent="0.25"/>
    <row r="110" customFormat="1" ht="24.95" customHeight="1" x14ac:dyDescent="0.25"/>
    <row r="111" customFormat="1" ht="24.95" customHeight="1" x14ac:dyDescent="0.25"/>
    <row r="112" customFormat="1" ht="24.95" customHeight="1" x14ac:dyDescent="0.25"/>
    <row r="113" customFormat="1" ht="24.95" customHeight="1" x14ac:dyDescent="0.25"/>
    <row r="114" customFormat="1" ht="24.95" customHeight="1" x14ac:dyDescent="0.25"/>
    <row r="115" customFormat="1" ht="24.95" customHeight="1" x14ac:dyDescent="0.25"/>
    <row r="116" customFormat="1" ht="24.95" customHeight="1" x14ac:dyDescent="0.25"/>
    <row r="117" customFormat="1" ht="24.95" customHeight="1" x14ac:dyDescent="0.25"/>
    <row r="118" customFormat="1" ht="24.95" customHeight="1" x14ac:dyDescent="0.25"/>
    <row r="119" customFormat="1" ht="24.95" customHeight="1" x14ac:dyDescent="0.25"/>
    <row r="120" customFormat="1" ht="24.95" customHeight="1" x14ac:dyDescent="0.25"/>
    <row r="121" customFormat="1" ht="24.95" customHeight="1" x14ac:dyDescent="0.25"/>
    <row r="122" customFormat="1" ht="24.95" customHeight="1" x14ac:dyDescent="0.25"/>
    <row r="123" customFormat="1" ht="24.95" customHeight="1" x14ac:dyDescent="0.25"/>
    <row r="124" customFormat="1" ht="24.95" customHeight="1" x14ac:dyDescent="0.25"/>
    <row r="125" customFormat="1" ht="24.95" customHeight="1" x14ac:dyDescent="0.25"/>
    <row r="126" customFormat="1" ht="24.95" customHeight="1" x14ac:dyDescent="0.25"/>
    <row r="127" customFormat="1" ht="24.95" customHeight="1" x14ac:dyDescent="0.25"/>
    <row r="128" customFormat="1" ht="24.95" customHeight="1" x14ac:dyDescent="0.25"/>
    <row r="129" customFormat="1" ht="24.95" customHeight="1" x14ac:dyDescent="0.25"/>
    <row r="130" customFormat="1" ht="24.95" customHeight="1" x14ac:dyDescent="0.25"/>
    <row r="131" customFormat="1" ht="24.95" customHeight="1" x14ac:dyDescent="0.25"/>
    <row r="132" customFormat="1" ht="24.95" customHeight="1" x14ac:dyDescent="0.25"/>
    <row r="133" customFormat="1" ht="24.95" customHeight="1" x14ac:dyDescent="0.25"/>
    <row r="134" customFormat="1" ht="24.95" customHeight="1" x14ac:dyDescent="0.25"/>
    <row r="135" customFormat="1" ht="24.95" customHeight="1" x14ac:dyDescent="0.25"/>
    <row r="136" customFormat="1" ht="24.95" customHeight="1" x14ac:dyDescent="0.25"/>
    <row r="137" customFormat="1" ht="24.95" customHeight="1" x14ac:dyDescent="0.25"/>
    <row r="138" customFormat="1" ht="24.95" customHeight="1" x14ac:dyDescent="0.25"/>
    <row r="139" customFormat="1" ht="24.95" customHeight="1" x14ac:dyDescent="0.25"/>
    <row r="140" customFormat="1" ht="24.95" customHeight="1" x14ac:dyDescent="0.25"/>
    <row r="141" customFormat="1" ht="24.95" customHeight="1" x14ac:dyDescent="0.25"/>
    <row r="142" customFormat="1" ht="24.95" customHeight="1" x14ac:dyDescent="0.25"/>
    <row r="143" customFormat="1" ht="24.95" customHeight="1" x14ac:dyDescent="0.25"/>
    <row r="144" customFormat="1" ht="24.95" customHeight="1" x14ac:dyDescent="0.25"/>
    <row r="145" customFormat="1" ht="24.95" customHeight="1" x14ac:dyDescent="0.25"/>
    <row r="146" customFormat="1" ht="24.95" customHeight="1" x14ac:dyDescent="0.25"/>
    <row r="147" customFormat="1" ht="24.95" customHeight="1" x14ac:dyDescent="0.25"/>
    <row r="148" customFormat="1" ht="24.95" customHeight="1" x14ac:dyDescent="0.25"/>
    <row r="149" customFormat="1" ht="24.95" customHeight="1" x14ac:dyDescent="0.25"/>
    <row r="150" customFormat="1" ht="24.95" customHeight="1" x14ac:dyDescent="0.25"/>
    <row r="151" customFormat="1" ht="24.95" customHeight="1" x14ac:dyDescent="0.25"/>
    <row r="152" customFormat="1" ht="24.95" customHeight="1" x14ac:dyDescent="0.25"/>
    <row r="153" customFormat="1" ht="24.95" customHeight="1" x14ac:dyDescent="0.25"/>
    <row r="154" customFormat="1" ht="24.95" customHeight="1" x14ac:dyDescent="0.25"/>
    <row r="155" customFormat="1" ht="24.95" customHeight="1" x14ac:dyDescent="0.25"/>
    <row r="156" customFormat="1" ht="24.95" customHeight="1" x14ac:dyDescent="0.25"/>
    <row r="157" customFormat="1" ht="24.95" customHeight="1" x14ac:dyDescent="0.25"/>
    <row r="158" customFormat="1" ht="24.95" customHeight="1" x14ac:dyDescent="0.25"/>
    <row r="159" customFormat="1" ht="24.95" customHeight="1" x14ac:dyDescent="0.25"/>
    <row r="160" customFormat="1" ht="24.95" customHeight="1" x14ac:dyDescent="0.25"/>
    <row r="161" customFormat="1" ht="24.95" customHeight="1" x14ac:dyDescent="0.25"/>
    <row r="162" customFormat="1" ht="24.95" customHeight="1" x14ac:dyDescent="0.25"/>
    <row r="163" customFormat="1" ht="24.95" customHeight="1" x14ac:dyDescent="0.25"/>
    <row r="164" customFormat="1" ht="24.95" customHeight="1" x14ac:dyDescent="0.25"/>
    <row r="165" customFormat="1" ht="24.95" customHeight="1" x14ac:dyDescent="0.25"/>
    <row r="166" customFormat="1" ht="24.95" customHeight="1" x14ac:dyDescent="0.25"/>
    <row r="167" customFormat="1" ht="24.95" customHeight="1" x14ac:dyDescent="0.25"/>
    <row r="168" customFormat="1" ht="24.95" customHeight="1" x14ac:dyDescent="0.25"/>
    <row r="169" customFormat="1" ht="24.95" customHeight="1" x14ac:dyDescent="0.25"/>
    <row r="170" customFormat="1" ht="24.95" customHeight="1" x14ac:dyDescent="0.25"/>
    <row r="171" customFormat="1" ht="24.95" customHeight="1" x14ac:dyDescent="0.25"/>
    <row r="172" customFormat="1" ht="24.95" customHeight="1" x14ac:dyDescent="0.25"/>
    <row r="173" customFormat="1" ht="24.95" customHeight="1" x14ac:dyDescent="0.25"/>
    <row r="174" customFormat="1" ht="24.95" customHeight="1" x14ac:dyDescent="0.25"/>
    <row r="175" customFormat="1" ht="24.95" customHeight="1" x14ac:dyDescent="0.25"/>
    <row r="176" customFormat="1" ht="24.95" customHeight="1" x14ac:dyDescent="0.25"/>
    <row r="177" customFormat="1" ht="24.95" customHeight="1" x14ac:dyDescent="0.25"/>
    <row r="178" customFormat="1" ht="24.95" customHeight="1" x14ac:dyDescent="0.25"/>
    <row r="179" customFormat="1" ht="24.95" customHeight="1" x14ac:dyDescent="0.25"/>
    <row r="180" customFormat="1" ht="24.95" customHeight="1" x14ac:dyDescent="0.25"/>
    <row r="181" customFormat="1" ht="24.95" customHeight="1" x14ac:dyDescent="0.25"/>
    <row r="182" customFormat="1" ht="24.95" customHeight="1" x14ac:dyDescent="0.25"/>
    <row r="183" customFormat="1" ht="24.95" customHeight="1" x14ac:dyDescent="0.25"/>
    <row r="184" customFormat="1" ht="24.95" customHeight="1" x14ac:dyDescent="0.25"/>
    <row r="185" customFormat="1" ht="24.95" customHeight="1" x14ac:dyDescent="0.25"/>
    <row r="186" customFormat="1" ht="24.95" customHeight="1" x14ac:dyDescent="0.25"/>
    <row r="187" customFormat="1" ht="24.95" customHeight="1" x14ac:dyDescent="0.25"/>
    <row r="188" customFormat="1" ht="24.95" customHeight="1" x14ac:dyDescent="0.25"/>
    <row r="189" customFormat="1" ht="24.95" customHeight="1" x14ac:dyDescent="0.25"/>
    <row r="190" customFormat="1" ht="24.95" customHeight="1" x14ac:dyDescent="0.25"/>
    <row r="191" customFormat="1" ht="24.95" customHeight="1" x14ac:dyDescent="0.25"/>
    <row r="192" customFormat="1" ht="24.95" customHeight="1" x14ac:dyDescent="0.25"/>
    <row r="193" customFormat="1" ht="24.95" customHeight="1" x14ac:dyDescent="0.25"/>
    <row r="194" customFormat="1" ht="24.95" customHeight="1" x14ac:dyDescent="0.25"/>
    <row r="195" customFormat="1" ht="24.95" customHeight="1" x14ac:dyDescent="0.25"/>
    <row r="196" customFormat="1" ht="24.95" customHeight="1" x14ac:dyDescent="0.25"/>
    <row r="197" customFormat="1" ht="24.95" customHeight="1" x14ac:dyDescent="0.25"/>
    <row r="198" customFormat="1" ht="24.95" customHeight="1" x14ac:dyDescent="0.25"/>
    <row r="199" customFormat="1" ht="24.95" customHeight="1" x14ac:dyDescent="0.25"/>
    <row r="200" customFormat="1" ht="24.95" customHeight="1" x14ac:dyDescent="0.25"/>
    <row r="201" customFormat="1" ht="24.95" customHeight="1" x14ac:dyDescent="0.25"/>
    <row r="202" customFormat="1" ht="24.95" customHeight="1" x14ac:dyDescent="0.25"/>
    <row r="203" customFormat="1" ht="24.95" customHeight="1" x14ac:dyDescent="0.25"/>
    <row r="204" customFormat="1" ht="24.95" customHeight="1" x14ac:dyDescent="0.25"/>
    <row r="205" customFormat="1" ht="24.95" customHeight="1" x14ac:dyDescent="0.25"/>
    <row r="206" customFormat="1" ht="24.95" customHeight="1" x14ac:dyDescent="0.25"/>
    <row r="207" customFormat="1" ht="24.95" customHeight="1" x14ac:dyDescent="0.25"/>
    <row r="208" customFormat="1" ht="24.95" customHeight="1" x14ac:dyDescent="0.25"/>
    <row r="209" customFormat="1" ht="24.95" customHeight="1" x14ac:dyDescent="0.25"/>
    <row r="210" customFormat="1" ht="24.95" customHeight="1" x14ac:dyDescent="0.25"/>
    <row r="211" customFormat="1" ht="24.95" customHeight="1" x14ac:dyDescent="0.25"/>
    <row r="212" customFormat="1" ht="24.95" customHeight="1" x14ac:dyDescent="0.25"/>
    <row r="213" customFormat="1" ht="24.95" customHeight="1" x14ac:dyDescent="0.25"/>
    <row r="214" customFormat="1" ht="24.95" customHeight="1" x14ac:dyDescent="0.25"/>
    <row r="215" customFormat="1" ht="24.95" customHeight="1" x14ac:dyDescent="0.25"/>
    <row r="216" customFormat="1" ht="24.95" customHeight="1" x14ac:dyDescent="0.25"/>
    <row r="217" customFormat="1" ht="24.95" customHeight="1" x14ac:dyDescent="0.25"/>
    <row r="218" customFormat="1" ht="24.95" customHeight="1" x14ac:dyDescent="0.25"/>
    <row r="219" customFormat="1" ht="24.95" customHeight="1" x14ac:dyDescent="0.25"/>
    <row r="220" customFormat="1" ht="24.95" customHeight="1" x14ac:dyDescent="0.25"/>
    <row r="221" customFormat="1" ht="24.95" customHeight="1" x14ac:dyDescent="0.25"/>
    <row r="222" customFormat="1" ht="24.95" customHeight="1" x14ac:dyDescent="0.25"/>
    <row r="223" customFormat="1" ht="24.95" customHeight="1" x14ac:dyDescent="0.25"/>
    <row r="224" customFormat="1" ht="24.95" customHeight="1" x14ac:dyDescent="0.25"/>
    <row r="225" customFormat="1" ht="24.95" customHeight="1" x14ac:dyDescent="0.25"/>
    <row r="226" customFormat="1" ht="24.95" customHeight="1" x14ac:dyDescent="0.25"/>
    <row r="227" customFormat="1" ht="24.95" customHeight="1" x14ac:dyDescent="0.25"/>
    <row r="228" customFormat="1" ht="24.95" customHeight="1" x14ac:dyDescent="0.25"/>
    <row r="229" customFormat="1" ht="24.95" customHeight="1" x14ac:dyDescent="0.25"/>
    <row r="230" customFormat="1" ht="24.95" customHeight="1" x14ac:dyDescent="0.25"/>
    <row r="231" customFormat="1" ht="24.95" customHeight="1" x14ac:dyDescent="0.25"/>
    <row r="232" customFormat="1" ht="24.95" customHeight="1" x14ac:dyDescent="0.25"/>
    <row r="233" customFormat="1" ht="24.95" customHeight="1" x14ac:dyDescent="0.25"/>
    <row r="234" customFormat="1" ht="24.95" customHeight="1" x14ac:dyDescent="0.25"/>
    <row r="235" customFormat="1" ht="24.95" customHeight="1" x14ac:dyDescent="0.25"/>
    <row r="236" customFormat="1" ht="24.95" customHeight="1" x14ac:dyDescent="0.25"/>
    <row r="237" customFormat="1" ht="24.95" customHeight="1" x14ac:dyDescent="0.25"/>
    <row r="238" customFormat="1" ht="24.95" customHeight="1" x14ac:dyDescent="0.25"/>
    <row r="239" customFormat="1" ht="24.95" customHeight="1" x14ac:dyDescent="0.25"/>
    <row r="240" customFormat="1" ht="24.95" customHeight="1" x14ac:dyDescent="0.25"/>
    <row r="241" customFormat="1" ht="24.95" customHeight="1" x14ac:dyDescent="0.25"/>
    <row r="242" customFormat="1" ht="24.95" customHeight="1" x14ac:dyDescent="0.25"/>
    <row r="243" customFormat="1" ht="24.95" customHeight="1" x14ac:dyDescent="0.25"/>
    <row r="244" customFormat="1" ht="24.95" customHeight="1" x14ac:dyDescent="0.25"/>
    <row r="245" customFormat="1" ht="24.95" customHeight="1" x14ac:dyDescent="0.25"/>
    <row r="246" customFormat="1" ht="24.95" customHeight="1" x14ac:dyDescent="0.25"/>
    <row r="247" customFormat="1" ht="24.95" customHeight="1" x14ac:dyDescent="0.25"/>
    <row r="248" customFormat="1" ht="24.95" customHeight="1" x14ac:dyDescent="0.25"/>
    <row r="249" customFormat="1" ht="24.95" customHeight="1" x14ac:dyDescent="0.25"/>
    <row r="250" customFormat="1" ht="24.95" customHeight="1" x14ac:dyDescent="0.25"/>
    <row r="251" customFormat="1" ht="24.95" customHeight="1" x14ac:dyDescent="0.25"/>
    <row r="252" customFormat="1" ht="24.95" customHeight="1" x14ac:dyDescent="0.25"/>
    <row r="253" customFormat="1" ht="24.95" customHeight="1" x14ac:dyDescent="0.25"/>
    <row r="254" customFormat="1" ht="24.95" customHeight="1" x14ac:dyDescent="0.25"/>
    <row r="255" customFormat="1" ht="24.95" customHeight="1" x14ac:dyDescent="0.25"/>
    <row r="256" customFormat="1" ht="24.95" customHeight="1" x14ac:dyDescent="0.25"/>
    <row r="257" customFormat="1" ht="24.95" customHeight="1" x14ac:dyDescent="0.25"/>
    <row r="258" customFormat="1" ht="24.95" customHeight="1" x14ac:dyDescent="0.25"/>
    <row r="259" customFormat="1" ht="24.95" customHeight="1" x14ac:dyDescent="0.25"/>
    <row r="260" customFormat="1" ht="24.95" customHeight="1" x14ac:dyDescent="0.25"/>
    <row r="261" customFormat="1" ht="24.95" customHeight="1" x14ac:dyDescent="0.25"/>
    <row r="262" customFormat="1" ht="24.95" customHeight="1" x14ac:dyDescent="0.25"/>
    <row r="263" customFormat="1" ht="24.95" customHeight="1" x14ac:dyDescent="0.25"/>
    <row r="264" customFormat="1" ht="24.95" customHeight="1" x14ac:dyDescent="0.25"/>
    <row r="265" customFormat="1" ht="24.95" customHeight="1" x14ac:dyDescent="0.25"/>
    <row r="266" customFormat="1" ht="24.95" customHeight="1" x14ac:dyDescent="0.25"/>
    <row r="267" customFormat="1" ht="24.95" customHeight="1" x14ac:dyDescent="0.25"/>
    <row r="268" customFormat="1" ht="24.95" customHeight="1" x14ac:dyDescent="0.25"/>
    <row r="269" customFormat="1" ht="24.95" customHeight="1" x14ac:dyDescent="0.25"/>
    <row r="270" customFormat="1" ht="24.95" customHeight="1" x14ac:dyDescent="0.25"/>
    <row r="271" customFormat="1" ht="24.95" customHeight="1" x14ac:dyDescent="0.25"/>
    <row r="272" customFormat="1" ht="24.95" customHeight="1" x14ac:dyDescent="0.25"/>
    <row r="273" customFormat="1" ht="24.95" customHeight="1" x14ac:dyDescent="0.25"/>
    <row r="274" customFormat="1" ht="24.95" customHeight="1" x14ac:dyDescent="0.25"/>
    <row r="275" customFormat="1" ht="24.95" customHeight="1" x14ac:dyDescent="0.25"/>
    <row r="276" customFormat="1" ht="24.95" customHeight="1" x14ac:dyDescent="0.25"/>
    <row r="277" customFormat="1" ht="24.95" customHeight="1" x14ac:dyDescent="0.25"/>
    <row r="278" customFormat="1" ht="24.95" customHeight="1" x14ac:dyDescent="0.25"/>
    <row r="279" customFormat="1" ht="24.95" customHeight="1" x14ac:dyDescent="0.25"/>
    <row r="280" customFormat="1" ht="24.95" customHeight="1" x14ac:dyDescent="0.25"/>
    <row r="281" customFormat="1" ht="24.95" customHeight="1" x14ac:dyDescent="0.25"/>
    <row r="282" customFormat="1" ht="24.95" customHeight="1" x14ac:dyDescent="0.25"/>
    <row r="283" customFormat="1" ht="24.95" customHeight="1" x14ac:dyDescent="0.25"/>
    <row r="284" customFormat="1" ht="24.95" customHeight="1" x14ac:dyDescent="0.25"/>
    <row r="285" customFormat="1" ht="24.95" customHeight="1" x14ac:dyDescent="0.25"/>
    <row r="286" customFormat="1" ht="24.95" customHeight="1" x14ac:dyDescent="0.25"/>
    <row r="287" customFormat="1" ht="24.95" customHeight="1" x14ac:dyDescent="0.25"/>
    <row r="288" customFormat="1" ht="24.95" customHeight="1" x14ac:dyDescent="0.25"/>
    <row r="289" customFormat="1" ht="24.95" customHeight="1" x14ac:dyDescent="0.25"/>
    <row r="290" customFormat="1" ht="24.95" customHeight="1" x14ac:dyDescent="0.25"/>
    <row r="291" customFormat="1" ht="24.95" customHeight="1" x14ac:dyDescent="0.25"/>
    <row r="292" customFormat="1" ht="24.95" customHeight="1" x14ac:dyDescent="0.25"/>
    <row r="293" customFormat="1" ht="24.95" customHeight="1" x14ac:dyDescent="0.25"/>
    <row r="294" customFormat="1" ht="24.95" customHeight="1" x14ac:dyDescent="0.25"/>
    <row r="295" customFormat="1" ht="24.95" customHeight="1" x14ac:dyDescent="0.25"/>
    <row r="296" customFormat="1" ht="24.95" customHeight="1" x14ac:dyDescent="0.25"/>
    <row r="297" customFormat="1" ht="24.95" customHeight="1" x14ac:dyDescent="0.25"/>
    <row r="298" customFormat="1" ht="24.95" customHeight="1" x14ac:dyDescent="0.25"/>
    <row r="299" customFormat="1" ht="24.95" customHeight="1" x14ac:dyDescent="0.25"/>
    <row r="300" customFormat="1" ht="24.95" customHeight="1" x14ac:dyDescent="0.25"/>
    <row r="301" customFormat="1" ht="24.95" customHeight="1" x14ac:dyDescent="0.25"/>
    <row r="302" customFormat="1" ht="24.95" customHeight="1" x14ac:dyDescent="0.25"/>
    <row r="303" customFormat="1" ht="24.95" customHeight="1" x14ac:dyDescent="0.25"/>
    <row r="304" customFormat="1" ht="24.95" customHeight="1" x14ac:dyDescent="0.25"/>
    <row r="305" customFormat="1" ht="24.95" customHeight="1" x14ac:dyDescent="0.25"/>
    <row r="306" customFormat="1" ht="24.95" customHeight="1" x14ac:dyDescent="0.25"/>
    <row r="307" customFormat="1" ht="24.95" customHeight="1" x14ac:dyDescent="0.25"/>
    <row r="308" customFormat="1" ht="24.95" customHeight="1" x14ac:dyDescent="0.25"/>
    <row r="309" customFormat="1" ht="24.95" customHeight="1" x14ac:dyDescent="0.25"/>
    <row r="310" customFormat="1" ht="24.95" customHeight="1" x14ac:dyDescent="0.25"/>
    <row r="311" customFormat="1" ht="24.95" customHeight="1" x14ac:dyDescent="0.25"/>
    <row r="312" customFormat="1" ht="24.95" customHeight="1" x14ac:dyDescent="0.25"/>
    <row r="313" customFormat="1" ht="24.95" customHeight="1" x14ac:dyDescent="0.25"/>
    <row r="314" customFormat="1" ht="24.95" customHeight="1" x14ac:dyDescent="0.25"/>
    <row r="315" customFormat="1" ht="24.95" customHeight="1" x14ac:dyDescent="0.25"/>
    <row r="316" customFormat="1" ht="24.95" customHeight="1" x14ac:dyDescent="0.25"/>
    <row r="317" customFormat="1" ht="24.95" customHeight="1" x14ac:dyDescent="0.25"/>
    <row r="318" customFormat="1" ht="24.95" customHeight="1" x14ac:dyDescent="0.25"/>
    <row r="319" customFormat="1" ht="24.95" customHeight="1" x14ac:dyDescent="0.25"/>
    <row r="320" customFormat="1" ht="24.95" customHeight="1" x14ac:dyDescent="0.25"/>
    <row r="321" customFormat="1" ht="24.95" customHeight="1" x14ac:dyDescent="0.25"/>
    <row r="322" customFormat="1" ht="24.95" customHeight="1" x14ac:dyDescent="0.25"/>
    <row r="323" customFormat="1" ht="24.95" customHeight="1" x14ac:dyDescent="0.25"/>
    <row r="324" customFormat="1" ht="24.95" customHeight="1" x14ac:dyDescent="0.25"/>
    <row r="325" customFormat="1" ht="24.95" customHeight="1" x14ac:dyDescent="0.25"/>
    <row r="326" customFormat="1" ht="24.95" customHeight="1" x14ac:dyDescent="0.25"/>
    <row r="327" customFormat="1" ht="24.95" customHeight="1" x14ac:dyDescent="0.25"/>
    <row r="328" customFormat="1" ht="24.95" customHeight="1" x14ac:dyDescent="0.25"/>
    <row r="329" customFormat="1" ht="24.95" customHeight="1" x14ac:dyDescent="0.25"/>
    <row r="330" customFormat="1" ht="24.95" customHeight="1" x14ac:dyDescent="0.25"/>
    <row r="331" customFormat="1" ht="24.95" customHeight="1" x14ac:dyDescent="0.25"/>
    <row r="332" customFormat="1" ht="24.95" customHeight="1" x14ac:dyDescent="0.25"/>
    <row r="333" customFormat="1" ht="24.95" customHeight="1" x14ac:dyDescent="0.25"/>
    <row r="334" customFormat="1" ht="24.95" customHeight="1" x14ac:dyDescent="0.25"/>
    <row r="335" customFormat="1" ht="24.95" customHeight="1" x14ac:dyDescent="0.25"/>
    <row r="336" customFormat="1" ht="24.95" customHeight="1" x14ac:dyDescent="0.25"/>
    <row r="337" customFormat="1" ht="24.95" customHeight="1" x14ac:dyDescent="0.25"/>
    <row r="338" customFormat="1" ht="24.95" customHeight="1" x14ac:dyDescent="0.25"/>
    <row r="339" customFormat="1" ht="24.95" customHeight="1" x14ac:dyDescent="0.25"/>
    <row r="340" customFormat="1" ht="24.95" customHeight="1" x14ac:dyDescent="0.25"/>
    <row r="341" customFormat="1" ht="24.95" customHeight="1" x14ac:dyDescent="0.25"/>
    <row r="342" customFormat="1" ht="24.95" customHeight="1" x14ac:dyDescent="0.25"/>
    <row r="343" customFormat="1" ht="24.95" customHeight="1" x14ac:dyDescent="0.25"/>
    <row r="344" customFormat="1" ht="24.95" customHeight="1" x14ac:dyDescent="0.25"/>
    <row r="345" customFormat="1" ht="24.95" customHeight="1" x14ac:dyDescent="0.25"/>
    <row r="346" customFormat="1" ht="24.95" customHeight="1" x14ac:dyDescent="0.25"/>
    <row r="347" customFormat="1" ht="24.95" customHeight="1" x14ac:dyDescent="0.25"/>
    <row r="348" customFormat="1" ht="24.95" customHeight="1" x14ac:dyDescent="0.25"/>
    <row r="349" customFormat="1" ht="24.95" customHeight="1" x14ac:dyDescent="0.25"/>
    <row r="350" customFormat="1" ht="24.95" customHeight="1" x14ac:dyDescent="0.25"/>
    <row r="351" customFormat="1" ht="24.95" customHeight="1" x14ac:dyDescent="0.25"/>
    <row r="352" customFormat="1" ht="24.95" customHeight="1" x14ac:dyDescent="0.25"/>
    <row r="353" customFormat="1" ht="24.95" customHeight="1" x14ac:dyDescent="0.25"/>
    <row r="354" customFormat="1" ht="24.95" customHeight="1" x14ac:dyDescent="0.25"/>
    <row r="355" customFormat="1" ht="24.95" customHeight="1" x14ac:dyDescent="0.25"/>
    <row r="356" customFormat="1" ht="24.95" customHeight="1" x14ac:dyDescent="0.25"/>
    <row r="357" customFormat="1" ht="24.95" customHeight="1" x14ac:dyDescent="0.25"/>
    <row r="358" customFormat="1" ht="24.95" customHeight="1" x14ac:dyDescent="0.25"/>
    <row r="359" customFormat="1" ht="24.95" customHeight="1" x14ac:dyDescent="0.25"/>
    <row r="360" customFormat="1" ht="24.95" customHeight="1" x14ac:dyDescent="0.25"/>
    <row r="361" customFormat="1" ht="24.95" customHeight="1" x14ac:dyDescent="0.25"/>
    <row r="362" customFormat="1" ht="24.95" customHeight="1" x14ac:dyDescent="0.25"/>
    <row r="363" customFormat="1" ht="24.95" customHeight="1" x14ac:dyDescent="0.25"/>
    <row r="364" customFormat="1" ht="24.95" customHeight="1" x14ac:dyDescent="0.25"/>
    <row r="365" customFormat="1" ht="24.95" customHeight="1" x14ac:dyDescent="0.25"/>
    <row r="366" customFormat="1" ht="24.95" customHeight="1" x14ac:dyDescent="0.25"/>
    <row r="367" customFormat="1" ht="24.95" customHeight="1" x14ac:dyDescent="0.25"/>
    <row r="368" customFormat="1" ht="24.95" customHeight="1" x14ac:dyDescent="0.25"/>
    <row r="369" customFormat="1" ht="24.95" customHeight="1" x14ac:dyDescent="0.25"/>
    <row r="370" customFormat="1" ht="24.95" customHeight="1" x14ac:dyDescent="0.25"/>
    <row r="371" customFormat="1" ht="24.95" customHeight="1" x14ac:dyDescent="0.25"/>
    <row r="372" customFormat="1" ht="24.95" customHeight="1" x14ac:dyDescent="0.25"/>
    <row r="373" customFormat="1" ht="24.95" customHeight="1" x14ac:dyDescent="0.25"/>
    <row r="374" customFormat="1" ht="24.95" customHeight="1" x14ac:dyDescent="0.25"/>
    <row r="375" customFormat="1" ht="24.95" customHeight="1" x14ac:dyDescent="0.25"/>
    <row r="376" customFormat="1" ht="24.95" customHeight="1" x14ac:dyDescent="0.25"/>
    <row r="377" customFormat="1" ht="24.95" customHeight="1" x14ac:dyDescent="0.25"/>
    <row r="378" customFormat="1" ht="24.95" customHeight="1" x14ac:dyDescent="0.25"/>
    <row r="379" customFormat="1" ht="24.95" customHeight="1" x14ac:dyDescent="0.25"/>
    <row r="380" customFormat="1" ht="24.95" customHeight="1" x14ac:dyDescent="0.25"/>
    <row r="381" customFormat="1" ht="24.95" customHeight="1" x14ac:dyDescent="0.25"/>
    <row r="382" customFormat="1" ht="24.95" customHeight="1" x14ac:dyDescent="0.25"/>
    <row r="383" customFormat="1" ht="24.95" customHeight="1" x14ac:dyDescent="0.25"/>
    <row r="384" customFormat="1" ht="24.95" customHeight="1" x14ac:dyDescent="0.25"/>
    <row r="385" customFormat="1" ht="24.95" customHeight="1" x14ac:dyDescent="0.25"/>
    <row r="386" customFormat="1" ht="24.95" customHeight="1" x14ac:dyDescent="0.25"/>
    <row r="387" customFormat="1" ht="24.95" customHeight="1" x14ac:dyDescent="0.25"/>
    <row r="388" customFormat="1" ht="24.95" customHeight="1" x14ac:dyDescent="0.25"/>
    <row r="389" customFormat="1" ht="24.95" customHeight="1" x14ac:dyDescent="0.25"/>
    <row r="390" customFormat="1" ht="24.95" customHeight="1" x14ac:dyDescent="0.25"/>
    <row r="391" customFormat="1" ht="24.95" customHeight="1" x14ac:dyDescent="0.25"/>
    <row r="392" customFormat="1" ht="24.95" customHeight="1" x14ac:dyDescent="0.25"/>
    <row r="393" customFormat="1" ht="24.95" customHeight="1" x14ac:dyDescent="0.25"/>
    <row r="394" customFormat="1" ht="24.95" customHeight="1" x14ac:dyDescent="0.25"/>
    <row r="395" customFormat="1" ht="24.95" customHeight="1" x14ac:dyDescent="0.25"/>
    <row r="396" customFormat="1" ht="24.95" customHeight="1" x14ac:dyDescent="0.25"/>
    <row r="397" customFormat="1" ht="24.95" customHeight="1" x14ac:dyDescent="0.25"/>
    <row r="398" customFormat="1" ht="24.95" customHeight="1" x14ac:dyDescent="0.25"/>
    <row r="399" customFormat="1" ht="24.95" customHeight="1" x14ac:dyDescent="0.25"/>
    <row r="400" customFormat="1" ht="24.95" customHeight="1" x14ac:dyDescent="0.25"/>
    <row r="401" customFormat="1" ht="24.95" customHeight="1" x14ac:dyDescent="0.25"/>
    <row r="402" customFormat="1" ht="24.95" customHeight="1" x14ac:dyDescent="0.25"/>
    <row r="403" customFormat="1" ht="24.95" customHeight="1" x14ac:dyDescent="0.25"/>
    <row r="404" customFormat="1" ht="24.95" customHeight="1" x14ac:dyDescent="0.25"/>
    <row r="405" customFormat="1" ht="24.95" customHeight="1" x14ac:dyDescent="0.25"/>
    <row r="406" customFormat="1" ht="24.95" customHeight="1" x14ac:dyDescent="0.25"/>
    <row r="407" customFormat="1" ht="24.95" customHeight="1" x14ac:dyDescent="0.25"/>
    <row r="408" customFormat="1" ht="24.95" customHeight="1" x14ac:dyDescent="0.25"/>
    <row r="409" customFormat="1" ht="24.95" customHeight="1" x14ac:dyDescent="0.25"/>
    <row r="410" customFormat="1" ht="24.95" customHeight="1" x14ac:dyDescent="0.25"/>
    <row r="411" customFormat="1" ht="24.95" customHeight="1" x14ac:dyDescent="0.25"/>
    <row r="412" customFormat="1" ht="24.95" customHeight="1" x14ac:dyDescent="0.25"/>
    <row r="413" customFormat="1" ht="24.95" customHeight="1" x14ac:dyDescent="0.25"/>
    <row r="414" customFormat="1" ht="24.95" customHeight="1" x14ac:dyDescent="0.25"/>
    <row r="415" customFormat="1" ht="24.95" customHeight="1" x14ac:dyDescent="0.25"/>
    <row r="416" customFormat="1" ht="24.95" customHeight="1" x14ac:dyDescent="0.25"/>
    <row r="417" customFormat="1" ht="24.95" customHeight="1" x14ac:dyDescent="0.25"/>
    <row r="418" customFormat="1" ht="24.95" customHeight="1" x14ac:dyDescent="0.25"/>
    <row r="419" customFormat="1" ht="24.95" customHeight="1" x14ac:dyDescent="0.25"/>
    <row r="420" customFormat="1" ht="24.95" customHeight="1" x14ac:dyDescent="0.25"/>
    <row r="421" customFormat="1" ht="24.95" customHeight="1" x14ac:dyDescent="0.25"/>
    <row r="422" customFormat="1" ht="24.95" customHeight="1" x14ac:dyDescent="0.25"/>
    <row r="423" customFormat="1" ht="24.95" customHeight="1" x14ac:dyDescent="0.25"/>
    <row r="424" customFormat="1" ht="24.95" customHeight="1" x14ac:dyDescent="0.25"/>
    <row r="425" customFormat="1" ht="24.95" customHeight="1" x14ac:dyDescent="0.25"/>
    <row r="426" customFormat="1" ht="24.95" customHeight="1" x14ac:dyDescent="0.25"/>
    <row r="427" customFormat="1" ht="24.95" customHeight="1" x14ac:dyDescent="0.25"/>
    <row r="428" customFormat="1" ht="24.95" customHeight="1" x14ac:dyDescent="0.25"/>
    <row r="429" customFormat="1" ht="24.95" customHeight="1" x14ac:dyDescent="0.25"/>
    <row r="430" customFormat="1" ht="24.95" customHeight="1" x14ac:dyDescent="0.25"/>
    <row r="431" customFormat="1" ht="24.95" customHeight="1" x14ac:dyDescent="0.25"/>
    <row r="432" customFormat="1" ht="24.95" customHeight="1" x14ac:dyDescent="0.25"/>
    <row r="433" customFormat="1" ht="24.95" customHeight="1" x14ac:dyDescent="0.25"/>
    <row r="434" customFormat="1" ht="24.95" customHeight="1" x14ac:dyDescent="0.25"/>
    <row r="435" customFormat="1" ht="24.95" customHeight="1" x14ac:dyDescent="0.25"/>
    <row r="436" customFormat="1" ht="24.95" customHeight="1" x14ac:dyDescent="0.25"/>
    <row r="437" customFormat="1" ht="24.95" customHeight="1" x14ac:dyDescent="0.25"/>
    <row r="438" customFormat="1" ht="24.95" customHeight="1" x14ac:dyDescent="0.25"/>
    <row r="439" customFormat="1" ht="24.95" customHeight="1" x14ac:dyDescent="0.25"/>
    <row r="440" customFormat="1" ht="24.95" customHeight="1" x14ac:dyDescent="0.25"/>
    <row r="441" customFormat="1" ht="24.95" customHeight="1" x14ac:dyDescent="0.25"/>
    <row r="442" customFormat="1" ht="24.95" customHeight="1" x14ac:dyDescent="0.25"/>
    <row r="443" customFormat="1" ht="24.95" customHeight="1" x14ac:dyDescent="0.25"/>
    <row r="444" customFormat="1" ht="24.95" customHeight="1" x14ac:dyDescent="0.25"/>
    <row r="445" customFormat="1" ht="24.95" customHeight="1" x14ac:dyDescent="0.25"/>
    <row r="446" customFormat="1" ht="24.95" customHeight="1" x14ac:dyDescent="0.25"/>
    <row r="447" customFormat="1" ht="24.95" customHeight="1" x14ac:dyDescent="0.25"/>
    <row r="448" customFormat="1" ht="24.95" customHeight="1" x14ac:dyDescent="0.25"/>
    <row r="449" customFormat="1" ht="24.95" customHeight="1" x14ac:dyDescent="0.25"/>
    <row r="450" customFormat="1" ht="24.95" customHeight="1" x14ac:dyDescent="0.25"/>
    <row r="451" customFormat="1" ht="24.95" customHeight="1" x14ac:dyDescent="0.25"/>
    <row r="452" customFormat="1" ht="24.95" customHeight="1" x14ac:dyDescent="0.25"/>
    <row r="453" customFormat="1" ht="24.95" customHeight="1" x14ac:dyDescent="0.25"/>
    <row r="454" customFormat="1" ht="24.95" customHeight="1" x14ac:dyDescent="0.25"/>
    <row r="455" customFormat="1" ht="24.95" customHeight="1" x14ac:dyDescent="0.25"/>
    <row r="456" customFormat="1" ht="24.95" customHeight="1" x14ac:dyDescent="0.25"/>
    <row r="457" customFormat="1" ht="24.95" customHeight="1" x14ac:dyDescent="0.25"/>
    <row r="458" customFormat="1" ht="24.95" customHeight="1" x14ac:dyDescent="0.25"/>
    <row r="459" customFormat="1" ht="24.95" customHeight="1" x14ac:dyDescent="0.25"/>
    <row r="460" customFormat="1" ht="24.95" customHeight="1" x14ac:dyDescent="0.25"/>
    <row r="461" customFormat="1" ht="24.95" customHeight="1" x14ac:dyDescent="0.25"/>
    <row r="462" customFormat="1" ht="24.95" customHeight="1" x14ac:dyDescent="0.25"/>
    <row r="463" customFormat="1" ht="24.95" customHeight="1" x14ac:dyDescent="0.25"/>
    <row r="464" customFormat="1" ht="24.95" customHeight="1" x14ac:dyDescent="0.25"/>
    <row r="465" customFormat="1" ht="24.95" customHeight="1" x14ac:dyDescent="0.25"/>
    <row r="466" customFormat="1" ht="24.95" customHeight="1" x14ac:dyDescent="0.25"/>
    <row r="467" customFormat="1" ht="24.95" customHeight="1" x14ac:dyDescent="0.25"/>
    <row r="468" customFormat="1" ht="24.95" customHeight="1" x14ac:dyDescent="0.25"/>
    <row r="469" customFormat="1" ht="24.95" customHeight="1" x14ac:dyDescent="0.25"/>
    <row r="470" customFormat="1" ht="24.95" customHeight="1" x14ac:dyDescent="0.25"/>
    <row r="471" customFormat="1" ht="24.95" customHeight="1" x14ac:dyDescent="0.25"/>
    <row r="472" customFormat="1" ht="24.95" customHeight="1" x14ac:dyDescent="0.25"/>
    <row r="473" customFormat="1" ht="24.95" customHeight="1" x14ac:dyDescent="0.25"/>
    <row r="474" customFormat="1" ht="24.95" customHeight="1" x14ac:dyDescent="0.25"/>
    <row r="475" customFormat="1" ht="24.95" customHeight="1" x14ac:dyDescent="0.25"/>
    <row r="476" customFormat="1" ht="24.95" customHeight="1" x14ac:dyDescent="0.25"/>
    <row r="477" customFormat="1" ht="24.95" customHeight="1" x14ac:dyDescent="0.25"/>
    <row r="478" customFormat="1" ht="24.95" customHeight="1" x14ac:dyDescent="0.25"/>
    <row r="479" customFormat="1" ht="24.95" customHeight="1" x14ac:dyDescent="0.25"/>
    <row r="480" customFormat="1" ht="24.95" customHeight="1" x14ac:dyDescent="0.25"/>
    <row r="481" customFormat="1" ht="24.95" customHeight="1" x14ac:dyDescent="0.25"/>
    <row r="482" customFormat="1" ht="24.95" customHeight="1" x14ac:dyDescent="0.25"/>
    <row r="483" customFormat="1" ht="24.95" customHeight="1" x14ac:dyDescent="0.25"/>
    <row r="484" customFormat="1" ht="24.95" customHeight="1" x14ac:dyDescent="0.25"/>
    <row r="485" customFormat="1" ht="24.95" customHeight="1" x14ac:dyDescent="0.25"/>
    <row r="486" customFormat="1" ht="24.95" customHeight="1" x14ac:dyDescent="0.25"/>
    <row r="487" customFormat="1" ht="24.95" customHeight="1" x14ac:dyDescent="0.25"/>
    <row r="488" customFormat="1" ht="24.95" customHeight="1" x14ac:dyDescent="0.25"/>
    <row r="489" customFormat="1" ht="24.95" customHeight="1" x14ac:dyDescent="0.25"/>
    <row r="490" customFormat="1" ht="24.95" customHeight="1" x14ac:dyDescent="0.25"/>
    <row r="491" customFormat="1" ht="24.95" customHeight="1" x14ac:dyDescent="0.25"/>
    <row r="492" customFormat="1" ht="24.95" customHeight="1" x14ac:dyDescent="0.25"/>
    <row r="493" customFormat="1" ht="24.95" customHeight="1" x14ac:dyDescent="0.25"/>
    <row r="494" customFormat="1" ht="24.95" customHeight="1" x14ac:dyDescent="0.25"/>
    <row r="495" customFormat="1" ht="24.95" customHeight="1" x14ac:dyDescent="0.25"/>
    <row r="496" customFormat="1" ht="24.95" customHeight="1" x14ac:dyDescent="0.25"/>
    <row r="497" customFormat="1" ht="24.95" customHeight="1" x14ac:dyDescent="0.25"/>
    <row r="498" customFormat="1" ht="24.95" customHeight="1" x14ac:dyDescent="0.25"/>
    <row r="499" customFormat="1" ht="24.95" customHeight="1" x14ac:dyDescent="0.25"/>
    <row r="500" customFormat="1" ht="24.95" customHeight="1" x14ac:dyDescent="0.25"/>
    <row r="501" customFormat="1" ht="24.95" customHeight="1" x14ac:dyDescent="0.25"/>
    <row r="502" customFormat="1" ht="24.95" customHeight="1" x14ac:dyDescent="0.25"/>
    <row r="503" customFormat="1" ht="24.95" customHeight="1" x14ac:dyDescent="0.25"/>
    <row r="504" customFormat="1" ht="24.95" customHeight="1" x14ac:dyDescent="0.25"/>
    <row r="505" customFormat="1" ht="24.95" customHeight="1" x14ac:dyDescent="0.25"/>
    <row r="506" customFormat="1" ht="24.95" customHeight="1" x14ac:dyDescent="0.25"/>
    <row r="507" customFormat="1" ht="24.95" customHeight="1" x14ac:dyDescent="0.25"/>
    <row r="508" customFormat="1" ht="24.95" customHeight="1" x14ac:dyDescent="0.25"/>
    <row r="509" customFormat="1" ht="24.95" customHeight="1" x14ac:dyDescent="0.25"/>
    <row r="510" customFormat="1" ht="24.95" customHeight="1" x14ac:dyDescent="0.25"/>
    <row r="511" customFormat="1" ht="24.95" customHeight="1" x14ac:dyDescent="0.25"/>
    <row r="512" customFormat="1" ht="24.95" customHeight="1" x14ac:dyDescent="0.25"/>
    <row r="513" customFormat="1" ht="24.95" customHeight="1" x14ac:dyDescent="0.25"/>
    <row r="514" customFormat="1" ht="24.95" customHeight="1" x14ac:dyDescent="0.25"/>
    <row r="515" customFormat="1" ht="24.95" customHeight="1" x14ac:dyDescent="0.25"/>
    <row r="516" customFormat="1" ht="24.95" customHeight="1" x14ac:dyDescent="0.25"/>
    <row r="517" customFormat="1" ht="24.95" customHeight="1" x14ac:dyDescent="0.25"/>
    <row r="518" customFormat="1" ht="24.95" customHeight="1" x14ac:dyDescent="0.25"/>
    <row r="519" customFormat="1" ht="24.95" customHeight="1" x14ac:dyDescent="0.25"/>
    <row r="520" customFormat="1" ht="24.95" customHeight="1" x14ac:dyDescent="0.25"/>
    <row r="521" customFormat="1" ht="24.95" customHeight="1" x14ac:dyDescent="0.25"/>
    <row r="522" customFormat="1" ht="24.95" customHeight="1" x14ac:dyDescent="0.25"/>
    <row r="523" customFormat="1" ht="24.95" customHeight="1" x14ac:dyDescent="0.25"/>
    <row r="524" customFormat="1" ht="24.95" customHeight="1" x14ac:dyDescent="0.25"/>
    <row r="525" customFormat="1" ht="24.95" customHeight="1" x14ac:dyDescent="0.25"/>
    <row r="526" customFormat="1" ht="24.95" customHeight="1" x14ac:dyDescent="0.25"/>
    <row r="527" customFormat="1" ht="24.95" customHeight="1" x14ac:dyDescent="0.25"/>
    <row r="528" customFormat="1" ht="24.95" customHeight="1" x14ac:dyDescent="0.25"/>
    <row r="529" customFormat="1" ht="24.95" customHeight="1" x14ac:dyDescent="0.25"/>
    <row r="530" customFormat="1" ht="24.95" customHeight="1" x14ac:dyDescent="0.25"/>
    <row r="531" customFormat="1" ht="24.95" customHeight="1" x14ac:dyDescent="0.25"/>
    <row r="532" customFormat="1" ht="24.95" customHeight="1" x14ac:dyDescent="0.25"/>
    <row r="533" customFormat="1" ht="24.95" customHeight="1" x14ac:dyDescent="0.25"/>
    <row r="534" customFormat="1" ht="24.95" customHeight="1" x14ac:dyDescent="0.25"/>
    <row r="535" customFormat="1" ht="24.95" customHeight="1" x14ac:dyDescent="0.25"/>
    <row r="536" customFormat="1" ht="24.95" customHeight="1" x14ac:dyDescent="0.25"/>
    <row r="537" customFormat="1" ht="24.95" customHeight="1" x14ac:dyDescent="0.25"/>
    <row r="538" customFormat="1" ht="24.95" customHeight="1" x14ac:dyDescent="0.25"/>
    <row r="539" customFormat="1" ht="24.95" customHeight="1" x14ac:dyDescent="0.25"/>
    <row r="540" customFormat="1" ht="24.95" customHeight="1" x14ac:dyDescent="0.25"/>
    <row r="541" customFormat="1" ht="24.95" customHeight="1" x14ac:dyDescent="0.25"/>
    <row r="542" customFormat="1" ht="24.95" customHeight="1" x14ac:dyDescent="0.25"/>
    <row r="543" customFormat="1" ht="24.95" customHeight="1" x14ac:dyDescent="0.25"/>
    <row r="544" customFormat="1" ht="24.95" customHeight="1" x14ac:dyDescent="0.25"/>
    <row r="545" customFormat="1" ht="24.95" customHeight="1" x14ac:dyDescent="0.25"/>
    <row r="546" customFormat="1" ht="24.95" customHeight="1" x14ac:dyDescent="0.25"/>
    <row r="547" customFormat="1" ht="24.95" customHeight="1" x14ac:dyDescent="0.25"/>
    <row r="548" customFormat="1" ht="24.95" customHeight="1" x14ac:dyDescent="0.25"/>
    <row r="549" customFormat="1" ht="24.95" customHeight="1" x14ac:dyDescent="0.25"/>
    <row r="550" customFormat="1" ht="24.95" customHeight="1" x14ac:dyDescent="0.25"/>
    <row r="551" customFormat="1" ht="24.95" customHeight="1" x14ac:dyDescent="0.25"/>
    <row r="552" customFormat="1" ht="24.95" customHeight="1" x14ac:dyDescent="0.25"/>
    <row r="553" customFormat="1" ht="24.95" customHeight="1" x14ac:dyDescent="0.25"/>
    <row r="554" customFormat="1" ht="24.95" customHeight="1" x14ac:dyDescent="0.25"/>
    <row r="555" customFormat="1" ht="24.95" customHeight="1" x14ac:dyDescent="0.25"/>
    <row r="556" customFormat="1" ht="24.95" customHeight="1" x14ac:dyDescent="0.25"/>
    <row r="557" customFormat="1" ht="24.95" customHeight="1" x14ac:dyDescent="0.25"/>
    <row r="558" customFormat="1" ht="24.95" customHeight="1" x14ac:dyDescent="0.25"/>
    <row r="559" customFormat="1" ht="24.95" customHeight="1" x14ac:dyDescent="0.25"/>
    <row r="560" customFormat="1" ht="24.95" customHeight="1" x14ac:dyDescent="0.25"/>
    <row r="561" customFormat="1" ht="24.95" customHeight="1" x14ac:dyDescent="0.25"/>
    <row r="562" customFormat="1" ht="24.95" customHeight="1" x14ac:dyDescent="0.25"/>
    <row r="563" customFormat="1" ht="24.95" customHeight="1" x14ac:dyDescent="0.25"/>
    <row r="564" customFormat="1" ht="24.95" customHeight="1" x14ac:dyDescent="0.25"/>
    <row r="565" customFormat="1" ht="24.95" customHeight="1" x14ac:dyDescent="0.25"/>
    <row r="566" customFormat="1" ht="24.95" customHeight="1" x14ac:dyDescent="0.25"/>
    <row r="567" customFormat="1" ht="24.95" customHeight="1" x14ac:dyDescent="0.25"/>
    <row r="568" customFormat="1" ht="24.95" customHeight="1" x14ac:dyDescent="0.25"/>
    <row r="569" customFormat="1" ht="24.95" customHeight="1" x14ac:dyDescent="0.25"/>
    <row r="570" customFormat="1" ht="24.95" customHeight="1" x14ac:dyDescent="0.25"/>
    <row r="571" customFormat="1" ht="24.95" customHeight="1" x14ac:dyDescent="0.25"/>
    <row r="572" customFormat="1" ht="24.95" customHeight="1" x14ac:dyDescent="0.25"/>
    <row r="573" customFormat="1" ht="24.95" customHeight="1" x14ac:dyDescent="0.25"/>
    <row r="574" customFormat="1" ht="24.95" customHeight="1" x14ac:dyDescent="0.25"/>
    <row r="575" customFormat="1" ht="24.95" customHeight="1" x14ac:dyDescent="0.25"/>
    <row r="576" customFormat="1" ht="24.95" customHeight="1" x14ac:dyDescent="0.25"/>
    <row r="577" customFormat="1" ht="24.95" customHeight="1" x14ac:dyDescent="0.25"/>
    <row r="578" customFormat="1" ht="24.95" customHeight="1" x14ac:dyDescent="0.25"/>
    <row r="579" customFormat="1" ht="24.95" customHeight="1" x14ac:dyDescent="0.25"/>
    <row r="580" customFormat="1" ht="24.95" customHeight="1" x14ac:dyDescent="0.25"/>
    <row r="581" customFormat="1" ht="24.95" customHeight="1" x14ac:dyDescent="0.25"/>
    <row r="582" customFormat="1" ht="24.95" customHeight="1" x14ac:dyDescent="0.25"/>
    <row r="583" customFormat="1" ht="24.95" customHeight="1" x14ac:dyDescent="0.25"/>
    <row r="584" customFormat="1" ht="24.95" customHeight="1" x14ac:dyDescent="0.25"/>
    <row r="585" customFormat="1" ht="24.95" customHeight="1" x14ac:dyDescent="0.25"/>
    <row r="586" customFormat="1" ht="24.95" customHeight="1" x14ac:dyDescent="0.25"/>
    <row r="587" customFormat="1" ht="24.95" customHeight="1" x14ac:dyDescent="0.25"/>
    <row r="588" customFormat="1" ht="24.95" customHeight="1" x14ac:dyDescent="0.25"/>
    <row r="589" customFormat="1" ht="24.95" customHeight="1" x14ac:dyDescent="0.25"/>
    <row r="590" customFormat="1" ht="24.95" customHeight="1" x14ac:dyDescent="0.25"/>
    <row r="591" customFormat="1" ht="24.95" customHeight="1" x14ac:dyDescent="0.25"/>
    <row r="592" customFormat="1" ht="24.95" customHeight="1" x14ac:dyDescent="0.25"/>
    <row r="593" customFormat="1" ht="24.95" customHeight="1" x14ac:dyDescent="0.25"/>
    <row r="594" customFormat="1" ht="24.95" customHeight="1" x14ac:dyDescent="0.25"/>
    <row r="595" customFormat="1" ht="24.95" customHeight="1" x14ac:dyDescent="0.25"/>
    <row r="596" customFormat="1" ht="24.95" customHeight="1" x14ac:dyDescent="0.25"/>
    <row r="597" customFormat="1" ht="24.95" customHeight="1" x14ac:dyDescent="0.25"/>
    <row r="598" customFormat="1" ht="24.95" customHeight="1" x14ac:dyDescent="0.25"/>
    <row r="599" customFormat="1" ht="24.95" customHeight="1" x14ac:dyDescent="0.25"/>
    <row r="600" customFormat="1" ht="24.95" customHeight="1" x14ac:dyDescent="0.25"/>
    <row r="601" customFormat="1" ht="24.95" customHeight="1" x14ac:dyDescent="0.25"/>
    <row r="602" customFormat="1" ht="24.95" customHeight="1" x14ac:dyDescent="0.25"/>
    <row r="603" customFormat="1" ht="24.95" customHeight="1" x14ac:dyDescent="0.25"/>
    <row r="604" customFormat="1" ht="24.95" customHeight="1" x14ac:dyDescent="0.25"/>
    <row r="605" customFormat="1" ht="24.95" customHeight="1" x14ac:dyDescent="0.25"/>
    <row r="606" customFormat="1" ht="24.95" customHeight="1" x14ac:dyDescent="0.25"/>
    <row r="607" customFormat="1" ht="24.95" customHeight="1" x14ac:dyDescent="0.25"/>
    <row r="608" customFormat="1" ht="24.95" customHeight="1" x14ac:dyDescent="0.25"/>
    <row r="609" customFormat="1" ht="24.95" customHeight="1" x14ac:dyDescent="0.25"/>
    <row r="610" customFormat="1" ht="24.95" customHeight="1" x14ac:dyDescent="0.25"/>
    <row r="611" customFormat="1" ht="24.95" customHeight="1" x14ac:dyDescent="0.25"/>
    <row r="612" customFormat="1" ht="24.95" customHeight="1" x14ac:dyDescent="0.25"/>
    <row r="613" customFormat="1" ht="24.95" customHeight="1" x14ac:dyDescent="0.25"/>
    <row r="614" customFormat="1" ht="24.95" customHeight="1" x14ac:dyDescent="0.25"/>
    <row r="615" customFormat="1" ht="24.95" customHeight="1" x14ac:dyDescent="0.25"/>
    <row r="616" customFormat="1" ht="24.95" customHeight="1" x14ac:dyDescent="0.25"/>
    <row r="617" customFormat="1" ht="24.95" customHeight="1" x14ac:dyDescent="0.25"/>
    <row r="618" customFormat="1" ht="24.95" customHeight="1" x14ac:dyDescent="0.25"/>
    <row r="619" customFormat="1" ht="24.95" customHeight="1" x14ac:dyDescent="0.25"/>
    <row r="620" customFormat="1" ht="24.95" customHeight="1" x14ac:dyDescent="0.25"/>
    <row r="621" customFormat="1" ht="24.95" customHeight="1" x14ac:dyDescent="0.25"/>
    <row r="622" customFormat="1" ht="24.95" customHeight="1" x14ac:dyDescent="0.25"/>
    <row r="623" customFormat="1" ht="24.95" customHeight="1" x14ac:dyDescent="0.25"/>
    <row r="624" customFormat="1" ht="24.95" customHeight="1" x14ac:dyDescent="0.25"/>
    <row r="625" customFormat="1" ht="24.95" customHeight="1" x14ac:dyDescent="0.25"/>
    <row r="626" customFormat="1" ht="24.95" customHeight="1" x14ac:dyDescent="0.25"/>
    <row r="627" customFormat="1" ht="24.95" customHeight="1" x14ac:dyDescent="0.25"/>
    <row r="628" customFormat="1" ht="24.95" customHeight="1" x14ac:dyDescent="0.25"/>
    <row r="629" customFormat="1" ht="24.95" customHeight="1" x14ac:dyDescent="0.25"/>
    <row r="630" customFormat="1" ht="24.95" customHeight="1" x14ac:dyDescent="0.25"/>
    <row r="631" customFormat="1" ht="24.95" customHeight="1" x14ac:dyDescent="0.25"/>
    <row r="632" customFormat="1" ht="24.95" customHeight="1" x14ac:dyDescent="0.25"/>
    <row r="633" customFormat="1" ht="24.95" customHeight="1" x14ac:dyDescent="0.25"/>
    <row r="634" customFormat="1" ht="24.95" customHeight="1" x14ac:dyDescent="0.25"/>
    <row r="635" customFormat="1" ht="24.95" customHeight="1" x14ac:dyDescent="0.25"/>
    <row r="636" customFormat="1" ht="24.95" customHeight="1" x14ac:dyDescent="0.25"/>
    <row r="637" customFormat="1" ht="24.95" customHeight="1" x14ac:dyDescent="0.25"/>
    <row r="638" customFormat="1" ht="24.95" customHeight="1" x14ac:dyDescent="0.25"/>
    <row r="639" customFormat="1" ht="24.95" customHeight="1" x14ac:dyDescent="0.25"/>
    <row r="640" customFormat="1" ht="24.95" customHeight="1" x14ac:dyDescent="0.25"/>
    <row r="641" customFormat="1" ht="24.95" customHeight="1" x14ac:dyDescent="0.25"/>
    <row r="642" customFormat="1" ht="24.95" customHeight="1" x14ac:dyDescent="0.25"/>
    <row r="643" customFormat="1" ht="24.95" customHeight="1" x14ac:dyDescent="0.25"/>
    <row r="644" customFormat="1" ht="24.95" customHeight="1" x14ac:dyDescent="0.25"/>
    <row r="645" customFormat="1" ht="24.95" customHeight="1" x14ac:dyDescent="0.25"/>
    <row r="646" customFormat="1" ht="24.95" customHeight="1" x14ac:dyDescent="0.25"/>
    <row r="647" customFormat="1" ht="24.95" customHeight="1" x14ac:dyDescent="0.25"/>
    <row r="648" customFormat="1" ht="24.95" customHeight="1" x14ac:dyDescent="0.25"/>
    <row r="649" customFormat="1" ht="24.95" customHeight="1" x14ac:dyDescent="0.25"/>
    <row r="650" customFormat="1" ht="24.95" customHeight="1" x14ac:dyDescent="0.25"/>
    <row r="651" customFormat="1" ht="24.95" customHeight="1" x14ac:dyDescent="0.25"/>
    <row r="652" customFormat="1" ht="24.95" customHeight="1" x14ac:dyDescent="0.25"/>
    <row r="653" customFormat="1" ht="24.95" customHeight="1" x14ac:dyDescent="0.25"/>
    <row r="654" customFormat="1" ht="24.95" customHeight="1" x14ac:dyDescent="0.25"/>
    <row r="655" customFormat="1" ht="24.95" customHeight="1" x14ac:dyDescent="0.25"/>
    <row r="656" customFormat="1" ht="24.95" customHeight="1" x14ac:dyDescent="0.25"/>
    <row r="657" customFormat="1" ht="24.95" customHeight="1" x14ac:dyDescent="0.25"/>
    <row r="658" customFormat="1" ht="24.95" customHeight="1" x14ac:dyDescent="0.25"/>
    <row r="659" customFormat="1" ht="24.95" customHeight="1" x14ac:dyDescent="0.25"/>
    <row r="660" customFormat="1" ht="24.95" customHeight="1" x14ac:dyDescent="0.25"/>
    <row r="661" customFormat="1" ht="24.95" customHeight="1" x14ac:dyDescent="0.25"/>
    <row r="662" customFormat="1" ht="24.95" customHeight="1" x14ac:dyDescent="0.25"/>
    <row r="663" customFormat="1" ht="24.95" customHeight="1" x14ac:dyDescent="0.25"/>
    <row r="664" customFormat="1" ht="24.95" customHeight="1" x14ac:dyDescent="0.25"/>
    <row r="665" customFormat="1" ht="24.95" customHeight="1" x14ac:dyDescent="0.25"/>
    <row r="666" customFormat="1" ht="24.95" customHeight="1" x14ac:dyDescent="0.25"/>
    <row r="667" customFormat="1" ht="24.95" customHeight="1" x14ac:dyDescent="0.25"/>
    <row r="668" customFormat="1" ht="24.95" customHeight="1" x14ac:dyDescent="0.25"/>
    <row r="669" customFormat="1" ht="24.95" customHeight="1" x14ac:dyDescent="0.25"/>
    <row r="670" customFormat="1" ht="24.95" customHeight="1" x14ac:dyDescent="0.25"/>
    <row r="671" customFormat="1" ht="24.95" customHeight="1" x14ac:dyDescent="0.25"/>
    <row r="672" customFormat="1" ht="24.95" customHeight="1" x14ac:dyDescent="0.25"/>
    <row r="673" customFormat="1" ht="24.95" customHeight="1" x14ac:dyDescent="0.25"/>
    <row r="674" customFormat="1" ht="24.95" customHeight="1" x14ac:dyDescent="0.25"/>
    <row r="675" customFormat="1" ht="24.95" customHeight="1" x14ac:dyDescent="0.25"/>
    <row r="676" customFormat="1" ht="24.95" customHeight="1" x14ac:dyDescent="0.25"/>
    <row r="677" customFormat="1" ht="24.95" customHeight="1" x14ac:dyDescent="0.25"/>
    <row r="678" customFormat="1" ht="24.95" customHeight="1" x14ac:dyDescent="0.25"/>
    <row r="679" customFormat="1" ht="24.95" customHeight="1" x14ac:dyDescent="0.25"/>
    <row r="680" customFormat="1" ht="24.95" customHeight="1" x14ac:dyDescent="0.25"/>
    <row r="681" customFormat="1" ht="24.95" customHeight="1" x14ac:dyDescent="0.25"/>
    <row r="682" customFormat="1" ht="24.95" customHeight="1" x14ac:dyDescent="0.25"/>
    <row r="683" customFormat="1" ht="24.95" customHeight="1" x14ac:dyDescent="0.25"/>
    <row r="684" customFormat="1" ht="24.95" customHeight="1" x14ac:dyDescent="0.25"/>
    <row r="685" customFormat="1" ht="24.95" customHeight="1" x14ac:dyDescent="0.25"/>
    <row r="686" customFormat="1" ht="24.95" customHeight="1" x14ac:dyDescent="0.25"/>
    <row r="687" customFormat="1" ht="24.95" customHeight="1" x14ac:dyDescent="0.25"/>
    <row r="688" customFormat="1" ht="24.95" customHeight="1" x14ac:dyDescent="0.25"/>
    <row r="689" customFormat="1" ht="24.95" customHeight="1" x14ac:dyDescent="0.25"/>
    <row r="690" customFormat="1" ht="24.95" customHeight="1" x14ac:dyDescent="0.25"/>
    <row r="691" customFormat="1" ht="24.95" customHeight="1" x14ac:dyDescent="0.25"/>
    <row r="692" customFormat="1" ht="24.95" customHeight="1" x14ac:dyDescent="0.25"/>
    <row r="693" customFormat="1" ht="24.95" customHeight="1" x14ac:dyDescent="0.25"/>
    <row r="694" customFormat="1" ht="24.95" customHeight="1" x14ac:dyDescent="0.25"/>
    <row r="695" customFormat="1" ht="24.95" customHeight="1" x14ac:dyDescent="0.25"/>
    <row r="696" customFormat="1" ht="24.95" customHeight="1" x14ac:dyDescent="0.25"/>
    <row r="697" customFormat="1" ht="24.95" customHeight="1" x14ac:dyDescent="0.25"/>
    <row r="698" customFormat="1" ht="24.95" customHeight="1" x14ac:dyDescent="0.25"/>
    <row r="699" customFormat="1" ht="24.95" customHeight="1" x14ac:dyDescent="0.25"/>
    <row r="700" customFormat="1" ht="24.95" customHeight="1" x14ac:dyDescent="0.25"/>
    <row r="701" customFormat="1" ht="24.95" customHeight="1" x14ac:dyDescent="0.25"/>
    <row r="702" customFormat="1" ht="24.95" customHeight="1" x14ac:dyDescent="0.25"/>
    <row r="703" customFormat="1" ht="24.95" customHeight="1" x14ac:dyDescent="0.25"/>
    <row r="704" customFormat="1" ht="24.95" customHeight="1" x14ac:dyDescent="0.25"/>
    <row r="705" customFormat="1" ht="24.95" customHeight="1" x14ac:dyDescent="0.25"/>
    <row r="706" customFormat="1" ht="24.95" customHeight="1" x14ac:dyDescent="0.25"/>
    <row r="707" customFormat="1" ht="24.95" customHeight="1" x14ac:dyDescent="0.25"/>
    <row r="708" customFormat="1" ht="24.95" customHeight="1" x14ac:dyDescent="0.25"/>
    <row r="709" customFormat="1" ht="24.95" customHeight="1" x14ac:dyDescent="0.25"/>
    <row r="710" customFormat="1" ht="24.95" customHeight="1" x14ac:dyDescent="0.25"/>
    <row r="711" customFormat="1" ht="24.95" customHeight="1" x14ac:dyDescent="0.25"/>
    <row r="712" customFormat="1" ht="24.95" customHeight="1" x14ac:dyDescent="0.25"/>
    <row r="713" customFormat="1" ht="24.95" customHeight="1" x14ac:dyDescent="0.25"/>
    <row r="714" customFormat="1" ht="24.95" customHeight="1" x14ac:dyDescent="0.25"/>
    <row r="715" customFormat="1" ht="24.95" customHeight="1" x14ac:dyDescent="0.25"/>
    <row r="716" customFormat="1" ht="24.95" customHeight="1" x14ac:dyDescent="0.25"/>
    <row r="717" customFormat="1" ht="24.95" customHeight="1" x14ac:dyDescent="0.25"/>
    <row r="718" customFormat="1" ht="24.95" customHeight="1" x14ac:dyDescent="0.25"/>
    <row r="719" customFormat="1" ht="24.95" customHeight="1" x14ac:dyDescent="0.25"/>
    <row r="720" customFormat="1" ht="24.95" customHeight="1" x14ac:dyDescent="0.25"/>
    <row r="721" customFormat="1" ht="24.95" customHeight="1" x14ac:dyDescent="0.25"/>
    <row r="722" customFormat="1" ht="24.95" customHeight="1" x14ac:dyDescent="0.25"/>
    <row r="723" customFormat="1" ht="24.95" customHeight="1" x14ac:dyDescent="0.25"/>
    <row r="724" customFormat="1" ht="24.95" customHeight="1" x14ac:dyDescent="0.25"/>
    <row r="725" customFormat="1" ht="24.95" customHeight="1" x14ac:dyDescent="0.25"/>
    <row r="726" customFormat="1" ht="24.95" customHeight="1" x14ac:dyDescent="0.25"/>
    <row r="727" customFormat="1" ht="24.95" customHeight="1" x14ac:dyDescent="0.25"/>
    <row r="728" customFormat="1" ht="24.95" customHeight="1" x14ac:dyDescent="0.25"/>
    <row r="729" customFormat="1" ht="24.95" customHeight="1" x14ac:dyDescent="0.25"/>
    <row r="730" customFormat="1" ht="24.95" customHeight="1" x14ac:dyDescent="0.25"/>
    <row r="731" customFormat="1" ht="24.95" customHeight="1" x14ac:dyDescent="0.25"/>
    <row r="732" customFormat="1" ht="24.95" customHeight="1" x14ac:dyDescent="0.25"/>
    <row r="733" customFormat="1" ht="24.95" customHeight="1" x14ac:dyDescent="0.25"/>
    <row r="734" customFormat="1" ht="24.95" customHeight="1" x14ac:dyDescent="0.25"/>
    <row r="735" customFormat="1" ht="24.95" customHeight="1" x14ac:dyDescent="0.25"/>
    <row r="736" customFormat="1" ht="24.95" customHeight="1" x14ac:dyDescent="0.25"/>
    <row r="737" customFormat="1" ht="24.95" customHeight="1" x14ac:dyDescent="0.25"/>
    <row r="738" customFormat="1" ht="24.95" customHeight="1" x14ac:dyDescent="0.25"/>
    <row r="739" customFormat="1" ht="24.95" customHeight="1" x14ac:dyDescent="0.25"/>
    <row r="740" customFormat="1" ht="24.95" customHeight="1" x14ac:dyDescent="0.25"/>
    <row r="741" customFormat="1" ht="24.95" customHeight="1" x14ac:dyDescent="0.25"/>
    <row r="742" customFormat="1" ht="24.95" customHeight="1" x14ac:dyDescent="0.25"/>
    <row r="743" customFormat="1" ht="24.95" customHeight="1" x14ac:dyDescent="0.25"/>
    <row r="744" customFormat="1" ht="24.95" customHeight="1" x14ac:dyDescent="0.25"/>
    <row r="745" customFormat="1" ht="24.95" customHeight="1" x14ac:dyDescent="0.25"/>
    <row r="746" customFormat="1" ht="24.95" customHeight="1" x14ac:dyDescent="0.25"/>
    <row r="747" customFormat="1" ht="24.95" customHeight="1" x14ac:dyDescent="0.25"/>
    <row r="748" customFormat="1" ht="24.95" customHeight="1" x14ac:dyDescent="0.25"/>
    <row r="749" customFormat="1" ht="24.95" customHeight="1" x14ac:dyDescent="0.25"/>
    <row r="750" customFormat="1" ht="24.95" customHeight="1" x14ac:dyDescent="0.25"/>
    <row r="751" customFormat="1" ht="24.95" customHeight="1" x14ac:dyDescent="0.25"/>
    <row r="752" customFormat="1" ht="24.95" customHeight="1" x14ac:dyDescent="0.25"/>
    <row r="753" customFormat="1" ht="24.95" customHeight="1" x14ac:dyDescent="0.25"/>
    <row r="754" customFormat="1" ht="24.95" customHeight="1" x14ac:dyDescent="0.25"/>
    <row r="755" customFormat="1" ht="24.95" customHeight="1" x14ac:dyDescent="0.25"/>
    <row r="756" customFormat="1" ht="24.95" customHeight="1" x14ac:dyDescent="0.25"/>
    <row r="757" customFormat="1" ht="24.95" customHeight="1" x14ac:dyDescent="0.25"/>
    <row r="758" customFormat="1" ht="24.95" customHeight="1" x14ac:dyDescent="0.25"/>
    <row r="759" customFormat="1" ht="24.95" customHeight="1" x14ac:dyDescent="0.25"/>
    <row r="760" customFormat="1" ht="24.95" customHeight="1" x14ac:dyDescent="0.25"/>
    <row r="761" customFormat="1" ht="24.95" customHeight="1" x14ac:dyDescent="0.25"/>
    <row r="762" customFormat="1" ht="24.95" customHeight="1" x14ac:dyDescent="0.25"/>
    <row r="763" customFormat="1" ht="24.95" customHeight="1" x14ac:dyDescent="0.25"/>
    <row r="764" customFormat="1" ht="24.95" customHeight="1" x14ac:dyDescent="0.25"/>
    <row r="765" customFormat="1" ht="24.95" customHeight="1" x14ac:dyDescent="0.25"/>
    <row r="766" customFormat="1" ht="24.95" customHeight="1" x14ac:dyDescent="0.25"/>
    <row r="767" customFormat="1" ht="24.95" customHeight="1" x14ac:dyDescent="0.25"/>
    <row r="768" customFormat="1" ht="24.95" customHeight="1" x14ac:dyDescent="0.25"/>
    <row r="769" customFormat="1" ht="24.95" customHeight="1" x14ac:dyDescent="0.25"/>
    <row r="770" customFormat="1" ht="24.95" customHeight="1" x14ac:dyDescent="0.25"/>
    <row r="771" customFormat="1" ht="24.95" customHeight="1" x14ac:dyDescent="0.25"/>
    <row r="772" customFormat="1" ht="24.95" customHeight="1" x14ac:dyDescent="0.25"/>
    <row r="773" customFormat="1" ht="24.95" customHeight="1" x14ac:dyDescent="0.25"/>
    <row r="774" customFormat="1" ht="24.95" customHeight="1" x14ac:dyDescent="0.25"/>
    <row r="775" customFormat="1" ht="24.95" customHeight="1" x14ac:dyDescent="0.25"/>
    <row r="776" customFormat="1" ht="24.95" customHeight="1" x14ac:dyDescent="0.25"/>
    <row r="777" customFormat="1" ht="24.95" customHeight="1" x14ac:dyDescent="0.25"/>
    <row r="778" customFormat="1" ht="24.95" customHeight="1" x14ac:dyDescent="0.25"/>
    <row r="779" customFormat="1" ht="24.95" customHeight="1" x14ac:dyDescent="0.25"/>
    <row r="780" customFormat="1" ht="24.95" customHeight="1" x14ac:dyDescent="0.25"/>
    <row r="781" customFormat="1" ht="24.95" customHeight="1" x14ac:dyDescent="0.25"/>
    <row r="782" customFormat="1" ht="24.95" customHeight="1" x14ac:dyDescent="0.25"/>
    <row r="783" customFormat="1" ht="24.95" customHeight="1" x14ac:dyDescent="0.25"/>
    <row r="784" customFormat="1" ht="24.95" customHeight="1" x14ac:dyDescent="0.25"/>
    <row r="785" customFormat="1" ht="24.95" customHeight="1" x14ac:dyDescent="0.25"/>
    <row r="786" customFormat="1" ht="24.95" customHeight="1" x14ac:dyDescent="0.25"/>
    <row r="787" customFormat="1" ht="24.95" customHeight="1" x14ac:dyDescent="0.25"/>
    <row r="788" customFormat="1" ht="24.95" customHeight="1" x14ac:dyDescent="0.25"/>
    <row r="789" customFormat="1" ht="24.95" customHeight="1" x14ac:dyDescent="0.25"/>
    <row r="790" customFormat="1" ht="24.95" customHeight="1" x14ac:dyDescent="0.25"/>
    <row r="791" customFormat="1" ht="24.95" customHeight="1" x14ac:dyDescent="0.25"/>
    <row r="792" customFormat="1" ht="24.95" customHeight="1" x14ac:dyDescent="0.25"/>
    <row r="793" customFormat="1" ht="24.95" customHeight="1" x14ac:dyDescent="0.25"/>
    <row r="794" customFormat="1" ht="24.95" customHeight="1" x14ac:dyDescent="0.25"/>
    <row r="795" customFormat="1" ht="24.95" customHeight="1" x14ac:dyDescent="0.25"/>
    <row r="796" customFormat="1" ht="24.95" customHeight="1" x14ac:dyDescent="0.25"/>
    <row r="797" customFormat="1" ht="24.95" customHeight="1" x14ac:dyDescent="0.25"/>
    <row r="798" customFormat="1" ht="24.95" customHeight="1" x14ac:dyDescent="0.25"/>
    <row r="799" customFormat="1" ht="24.95" customHeight="1" x14ac:dyDescent="0.25"/>
    <row r="800" customFormat="1" ht="24.95" customHeight="1" x14ac:dyDescent="0.25"/>
    <row r="801" customFormat="1" ht="24.95" customHeight="1" x14ac:dyDescent="0.25"/>
    <row r="802" customFormat="1" ht="24.95" customHeight="1" x14ac:dyDescent="0.25"/>
    <row r="803" customFormat="1" ht="24.95" customHeight="1" x14ac:dyDescent="0.25"/>
    <row r="804" customFormat="1" ht="24.95" customHeight="1" x14ac:dyDescent="0.25"/>
    <row r="805" customFormat="1" ht="24.95" customHeight="1" x14ac:dyDescent="0.25"/>
    <row r="806" customFormat="1" ht="24.95" customHeight="1" x14ac:dyDescent="0.25"/>
    <row r="807" customFormat="1" ht="24.95" customHeight="1" x14ac:dyDescent="0.25"/>
    <row r="808" customFormat="1" ht="24.95" customHeight="1" x14ac:dyDescent="0.25"/>
    <row r="809" customFormat="1" ht="24.95" customHeight="1" x14ac:dyDescent="0.25"/>
    <row r="810" customFormat="1" ht="24.95" customHeight="1" x14ac:dyDescent="0.25"/>
    <row r="811" customFormat="1" ht="24.95" customHeight="1" x14ac:dyDescent="0.25"/>
    <row r="812" customFormat="1" ht="24.95" customHeight="1" x14ac:dyDescent="0.25"/>
    <row r="813" customFormat="1" ht="24.95" customHeight="1" x14ac:dyDescent="0.25"/>
    <row r="814" customFormat="1" ht="24.95" customHeight="1" x14ac:dyDescent="0.25"/>
    <row r="815" customFormat="1" ht="24.95" customHeight="1" x14ac:dyDescent="0.25"/>
    <row r="816" customFormat="1" ht="24.95" customHeight="1" x14ac:dyDescent="0.25"/>
    <row r="817" customFormat="1" ht="24.95" customHeight="1" x14ac:dyDescent="0.25"/>
    <row r="818" customFormat="1" ht="24.95" customHeight="1" x14ac:dyDescent="0.25"/>
    <row r="819" customFormat="1" ht="24.95" customHeight="1" x14ac:dyDescent="0.25"/>
    <row r="820" customFormat="1" ht="24.95" customHeight="1" x14ac:dyDescent="0.25"/>
    <row r="821" customFormat="1" ht="24.95" customHeight="1" x14ac:dyDescent="0.25"/>
    <row r="822" customFormat="1" ht="24.95" customHeight="1" x14ac:dyDescent="0.25"/>
    <row r="823" customFormat="1" ht="24.95" customHeight="1" x14ac:dyDescent="0.25"/>
    <row r="824" customFormat="1" ht="24.95" customHeight="1" x14ac:dyDescent="0.25"/>
    <row r="825" customFormat="1" ht="24.95" customHeight="1" x14ac:dyDescent="0.25"/>
    <row r="826" customFormat="1" ht="24.95" customHeight="1" x14ac:dyDescent="0.25"/>
    <row r="827" customFormat="1" ht="24.95" customHeight="1" x14ac:dyDescent="0.25"/>
    <row r="828" customFormat="1" ht="24.95" customHeight="1" x14ac:dyDescent="0.25"/>
    <row r="829" customFormat="1" ht="24.95" customHeight="1" x14ac:dyDescent="0.25"/>
    <row r="830" customFormat="1" ht="24.95" customHeight="1" x14ac:dyDescent="0.25"/>
    <row r="831" customFormat="1" ht="24.95" customHeight="1" x14ac:dyDescent="0.25"/>
    <row r="832" customFormat="1" ht="24.95" customHeight="1" x14ac:dyDescent="0.25"/>
    <row r="833" customFormat="1" ht="24.95" customHeight="1" x14ac:dyDescent="0.25"/>
    <row r="834" customFormat="1" ht="24.95" customHeight="1" x14ac:dyDescent="0.25"/>
    <row r="835" customFormat="1" ht="24.95" customHeight="1" x14ac:dyDescent="0.25"/>
    <row r="836" customFormat="1" ht="24.95" customHeight="1" x14ac:dyDescent="0.25"/>
    <row r="837" customFormat="1" ht="24.95" customHeight="1" x14ac:dyDescent="0.25"/>
    <row r="838" customFormat="1" ht="24.95" customHeight="1" x14ac:dyDescent="0.25"/>
    <row r="839" customFormat="1" ht="24.95" customHeight="1" x14ac:dyDescent="0.25"/>
    <row r="840" customFormat="1" ht="24.95" customHeight="1" x14ac:dyDescent="0.25"/>
    <row r="841" customFormat="1" ht="24.95" customHeight="1" x14ac:dyDescent="0.25"/>
    <row r="842" customFormat="1" ht="24.95" customHeight="1" x14ac:dyDescent="0.25"/>
    <row r="843" customFormat="1" ht="24.95" customHeight="1" x14ac:dyDescent="0.25"/>
    <row r="844" customFormat="1" ht="24.95" customHeight="1" x14ac:dyDescent="0.25"/>
    <row r="845" customFormat="1" ht="24.95" customHeight="1" x14ac:dyDescent="0.25"/>
    <row r="846" customFormat="1" ht="24.95" customHeight="1" x14ac:dyDescent="0.25"/>
    <row r="847" customFormat="1" ht="24.95" customHeight="1" x14ac:dyDescent="0.25"/>
    <row r="848" customFormat="1" ht="24.95" customHeight="1" x14ac:dyDescent="0.25"/>
    <row r="849" customFormat="1" ht="24.95" customHeight="1" x14ac:dyDescent="0.25"/>
    <row r="850" customFormat="1" ht="24.95" customHeight="1" x14ac:dyDescent="0.25"/>
    <row r="851" customFormat="1" ht="24.95" customHeight="1" x14ac:dyDescent="0.25"/>
    <row r="852" customFormat="1" ht="24.95" customHeight="1" x14ac:dyDescent="0.25"/>
    <row r="853" customFormat="1" ht="24.95" customHeight="1" x14ac:dyDescent="0.25"/>
    <row r="854" customFormat="1" ht="24.95" customHeight="1" x14ac:dyDescent="0.25"/>
    <row r="855" customFormat="1" ht="24.95" customHeight="1" x14ac:dyDescent="0.25"/>
    <row r="856" customFormat="1" ht="24.95" customHeight="1" x14ac:dyDescent="0.25"/>
    <row r="857" customFormat="1" ht="24.95" customHeight="1" x14ac:dyDescent="0.25"/>
    <row r="858" customFormat="1" ht="24.95" customHeight="1" x14ac:dyDescent="0.25"/>
    <row r="859" customFormat="1" ht="24.95" customHeight="1" x14ac:dyDescent="0.25"/>
    <row r="860" customFormat="1" ht="24.95" customHeight="1" x14ac:dyDescent="0.25"/>
    <row r="861" customFormat="1" ht="24.95" customHeight="1" x14ac:dyDescent="0.25"/>
    <row r="862" customFormat="1" ht="24.95" customHeight="1" x14ac:dyDescent="0.25"/>
    <row r="863" customFormat="1" ht="24.95" customHeight="1" x14ac:dyDescent="0.25"/>
    <row r="864" customFormat="1" ht="24.95" customHeight="1" x14ac:dyDescent="0.25"/>
    <row r="865" spans="25:45" ht="24.95" customHeight="1" x14ac:dyDescent="0.25"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</row>
    <row r="866" spans="25:45" ht="24.95" customHeight="1" x14ac:dyDescent="0.25"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</row>
    <row r="867" spans="25:45" ht="24.95" customHeight="1" x14ac:dyDescent="0.25"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</row>
    <row r="868" spans="25:45" ht="24.95" customHeight="1" x14ac:dyDescent="0.25"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</row>
    <row r="869" spans="25:45" ht="24.95" customHeight="1" x14ac:dyDescent="0.25"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</row>
    <row r="870" spans="25:45" ht="24.95" customHeight="1" x14ac:dyDescent="0.25"/>
    <row r="871" spans="25:45" ht="24.95" customHeight="1" x14ac:dyDescent="0.25"/>
    <row r="872" spans="25:45" ht="24.95" customHeight="1" x14ac:dyDescent="0.25"/>
    <row r="873" spans="25:45" ht="24.95" customHeight="1" x14ac:dyDescent="0.25"/>
    <row r="874" spans="25:45" ht="24.95" customHeight="1" x14ac:dyDescent="0.25"/>
    <row r="875" spans="25:45" ht="24.95" customHeight="1" x14ac:dyDescent="0.25"/>
    <row r="876" spans="25:45" ht="24.95" customHeight="1" x14ac:dyDescent="0.25"/>
    <row r="877" spans="25:45" ht="24.95" customHeight="1" x14ac:dyDescent="0.25"/>
    <row r="878" spans="25:45" ht="24.95" customHeight="1" x14ac:dyDescent="0.25"/>
    <row r="879" spans="25:45" ht="24.95" customHeight="1" x14ac:dyDescent="0.25"/>
    <row r="880" spans="25:45" ht="24.95" customHeight="1" x14ac:dyDescent="0.25"/>
    <row r="881" ht="24.95" customHeight="1" x14ac:dyDescent="0.25"/>
    <row r="882" ht="24.95" customHeight="1" x14ac:dyDescent="0.25"/>
    <row r="883" ht="24.95" customHeight="1" x14ac:dyDescent="0.25"/>
    <row r="884" ht="24.95" customHeight="1" x14ac:dyDescent="0.25"/>
    <row r="885" ht="24.95" customHeight="1" x14ac:dyDescent="0.25"/>
    <row r="886" ht="24.95" customHeight="1" x14ac:dyDescent="0.25"/>
    <row r="887" ht="24.95" customHeight="1" x14ac:dyDescent="0.25"/>
    <row r="888" ht="24.95" customHeight="1" x14ac:dyDescent="0.25"/>
    <row r="889" ht="24.95" customHeight="1" x14ac:dyDescent="0.25"/>
    <row r="890" ht="24.95" customHeight="1" x14ac:dyDescent="0.25"/>
    <row r="891" ht="24.95" customHeight="1" x14ac:dyDescent="0.25"/>
    <row r="892" ht="24.95" customHeight="1" x14ac:dyDescent="0.25"/>
    <row r="893" ht="24.95" customHeight="1" x14ac:dyDescent="0.25"/>
    <row r="894" ht="24.95" customHeight="1" x14ac:dyDescent="0.25"/>
    <row r="895" ht="24.95" customHeight="1" x14ac:dyDescent="0.25"/>
    <row r="896" ht="24.95" customHeight="1" x14ac:dyDescent="0.25"/>
    <row r="897" ht="24.95" customHeight="1" x14ac:dyDescent="0.25"/>
    <row r="898" ht="24.95" customHeight="1" x14ac:dyDescent="0.25"/>
    <row r="899" ht="24.95" customHeight="1" x14ac:dyDescent="0.25"/>
    <row r="900" ht="24.95" customHeight="1" x14ac:dyDescent="0.25"/>
    <row r="901" ht="24.95" customHeight="1" x14ac:dyDescent="0.25"/>
    <row r="902" ht="24.95" customHeight="1" x14ac:dyDescent="0.25"/>
    <row r="903" ht="24.95" customHeight="1" x14ac:dyDescent="0.25"/>
    <row r="904" ht="24.95" customHeight="1" x14ac:dyDescent="0.25"/>
    <row r="905" ht="24.95" customHeight="1" x14ac:dyDescent="0.25"/>
    <row r="906" ht="24.95" customHeight="1" x14ac:dyDescent="0.25"/>
    <row r="907" ht="24.95" customHeight="1" x14ac:dyDescent="0.25"/>
    <row r="908" ht="24.95" customHeight="1" x14ac:dyDescent="0.25"/>
    <row r="909" ht="24.95" customHeight="1" x14ac:dyDescent="0.25"/>
    <row r="910" ht="24.95" customHeight="1" x14ac:dyDescent="0.25"/>
    <row r="911" ht="24.95" customHeight="1" x14ac:dyDescent="0.25"/>
    <row r="912" ht="24.95" customHeight="1" x14ac:dyDescent="0.25"/>
    <row r="913" ht="24.95" customHeight="1" x14ac:dyDescent="0.25"/>
    <row r="914" ht="24.95" customHeight="1" x14ac:dyDescent="0.25"/>
    <row r="915" ht="24.95" customHeight="1" x14ac:dyDescent="0.25"/>
    <row r="916" ht="24.95" customHeight="1" x14ac:dyDescent="0.25"/>
    <row r="917" ht="24.95" customHeight="1" x14ac:dyDescent="0.25"/>
    <row r="918" ht="24.95" customHeight="1" x14ac:dyDescent="0.25"/>
    <row r="919" ht="24.95" customHeight="1" x14ac:dyDescent="0.25"/>
    <row r="920" ht="24.95" customHeight="1" x14ac:dyDescent="0.25"/>
    <row r="921" ht="24.95" customHeight="1" x14ac:dyDescent="0.25"/>
    <row r="922" ht="24.95" customHeight="1" x14ac:dyDescent="0.25"/>
    <row r="923" ht="24.95" customHeight="1" x14ac:dyDescent="0.25"/>
    <row r="924" ht="24.95" customHeight="1" x14ac:dyDescent="0.25"/>
    <row r="925" ht="24.95" customHeight="1" x14ac:dyDescent="0.25"/>
    <row r="926" ht="24.95" customHeight="1" x14ac:dyDescent="0.25"/>
    <row r="927" ht="24.95" customHeight="1" x14ac:dyDescent="0.25"/>
    <row r="928" ht="24.95" customHeight="1" x14ac:dyDescent="0.25"/>
    <row r="929" ht="24.95" customHeight="1" x14ac:dyDescent="0.25"/>
    <row r="930" ht="24.95" customHeight="1" x14ac:dyDescent="0.25"/>
    <row r="931" ht="24.95" customHeight="1" x14ac:dyDescent="0.25"/>
    <row r="932" ht="24.95" customHeight="1" x14ac:dyDescent="0.25"/>
    <row r="933" ht="24.95" customHeight="1" x14ac:dyDescent="0.25"/>
    <row r="934" ht="24.95" customHeight="1" x14ac:dyDescent="0.25"/>
    <row r="935" ht="24.95" customHeight="1" x14ac:dyDescent="0.25"/>
    <row r="936" ht="24.95" customHeight="1" x14ac:dyDescent="0.25"/>
    <row r="937" ht="24.95" customHeight="1" x14ac:dyDescent="0.25"/>
    <row r="938" ht="24.95" customHeight="1" x14ac:dyDescent="0.25"/>
    <row r="939" ht="24.95" customHeight="1" x14ac:dyDescent="0.25"/>
    <row r="940" ht="24.95" customHeight="1" x14ac:dyDescent="0.25"/>
    <row r="941" ht="24.95" customHeight="1" x14ac:dyDescent="0.25"/>
    <row r="942" ht="24.95" customHeight="1" x14ac:dyDescent="0.25"/>
    <row r="943" ht="24.95" customHeight="1" x14ac:dyDescent="0.25"/>
    <row r="944" ht="24.95" customHeight="1" x14ac:dyDescent="0.25"/>
    <row r="945" ht="24.95" customHeight="1" x14ac:dyDescent="0.25"/>
    <row r="946" ht="24.95" customHeight="1" x14ac:dyDescent="0.25"/>
    <row r="947" ht="24.95" customHeight="1" x14ac:dyDescent="0.25"/>
    <row r="948" ht="24.95" customHeight="1" x14ac:dyDescent="0.25"/>
    <row r="949" ht="24.95" customHeight="1" x14ac:dyDescent="0.25"/>
    <row r="950" ht="24.95" customHeight="1" x14ac:dyDescent="0.25"/>
    <row r="951" ht="24.95" customHeight="1" x14ac:dyDescent="0.25"/>
    <row r="952" ht="24.95" customHeight="1" x14ac:dyDescent="0.25"/>
    <row r="953" ht="24.95" customHeight="1" x14ac:dyDescent="0.25"/>
    <row r="954" ht="24.95" customHeight="1" x14ac:dyDescent="0.25"/>
    <row r="955" ht="24.95" customHeight="1" x14ac:dyDescent="0.25"/>
    <row r="956" ht="24.95" customHeight="1" x14ac:dyDescent="0.25"/>
    <row r="957" ht="24.95" customHeight="1" x14ac:dyDescent="0.25"/>
    <row r="958" ht="24.95" customHeight="1" x14ac:dyDescent="0.25"/>
    <row r="959" ht="24.95" customHeight="1" x14ac:dyDescent="0.25"/>
    <row r="960" ht="24.95" customHeight="1" x14ac:dyDescent="0.25"/>
    <row r="961" ht="24.95" customHeight="1" x14ac:dyDescent="0.25"/>
    <row r="962" ht="24.95" customHeight="1" x14ac:dyDescent="0.25"/>
    <row r="963" ht="24.95" customHeight="1" x14ac:dyDescent="0.25"/>
    <row r="964" ht="24.95" customHeight="1" x14ac:dyDescent="0.25"/>
    <row r="965" ht="24.95" customHeight="1" x14ac:dyDescent="0.25"/>
    <row r="966" ht="24.95" customHeight="1" x14ac:dyDescent="0.25"/>
    <row r="967" ht="24.95" customHeight="1" x14ac:dyDescent="0.25"/>
    <row r="968" ht="24.95" customHeight="1" x14ac:dyDescent="0.25"/>
    <row r="969" ht="24.95" customHeight="1" x14ac:dyDescent="0.25"/>
    <row r="970" ht="24.95" customHeight="1" x14ac:dyDescent="0.25"/>
    <row r="971" ht="24.95" customHeight="1" x14ac:dyDescent="0.25"/>
    <row r="972" ht="24.95" customHeight="1" x14ac:dyDescent="0.25"/>
    <row r="973" ht="24.95" customHeight="1" x14ac:dyDescent="0.25"/>
    <row r="974" ht="24.95" customHeight="1" x14ac:dyDescent="0.25"/>
    <row r="975" ht="24.95" customHeight="1" x14ac:dyDescent="0.25"/>
    <row r="976" ht="24.95" customHeight="1" x14ac:dyDescent="0.25"/>
    <row r="977" ht="24.95" customHeight="1" x14ac:dyDescent="0.25"/>
    <row r="978" ht="24.95" customHeight="1" x14ac:dyDescent="0.25"/>
    <row r="979" ht="24.95" customHeight="1" x14ac:dyDescent="0.25"/>
    <row r="980" ht="24.95" customHeight="1" x14ac:dyDescent="0.25"/>
    <row r="981" ht="24.95" customHeight="1" x14ac:dyDescent="0.25"/>
    <row r="982" ht="24.95" customHeight="1" x14ac:dyDescent="0.25"/>
    <row r="983" ht="24.95" customHeight="1" x14ac:dyDescent="0.25"/>
    <row r="984" ht="24.95" customHeight="1" x14ac:dyDescent="0.25"/>
    <row r="985" ht="24.95" customHeight="1" x14ac:dyDescent="0.25"/>
    <row r="986" ht="24.95" customHeight="1" x14ac:dyDescent="0.25"/>
    <row r="987" ht="24.95" customHeight="1" x14ac:dyDescent="0.25"/>
    <row r="988" ht="24.95" customHeight="1" x14ac:dyDescent="0.25"/>
    <row r="989" ht="24.95" customHeight="1" x14ac:dyDescent="0.25"/>
    <row r="990" ht="24.95" customHeight="1" x14ac:dyDescent="0.25"/>
    <row r="991" ht="24.95" customHeight="1" x14ac:dyDescent="0.25"/>
    <row r="992" ht="24.95" customHeight="1" x14ac:dyDescent="0.25"/>
    <row r="993" ht="24.95" customHeight="1" x14ac:dyDescent="0.25"/>
    <row r="994" ht="24.95" customHeight="1" x14ac:dyDescent="0.25"/>
    <row r="995" ht="24.95" customHeight="1" x14ac:dyDescent="0.25"/>
    <row r="996" ht="24.95" customHeight="1" x14ac:dyDescent="0.25"/>
    <row r="997" ht="24.95" customHeight="1" x14ac:dyDescent="0.25"/>
    <row r="998" ht="24.95" customHeight="1" x14ac:dyDescent="0.25"/>
    <row r="999" ht="24.95" customHeight="1" x14ac:dyDescent="0.25"/>
    <row r="1000" ht="24.95" customHeight="1" x14ac:dyDescent="0.25"/>
    <row r="1001" ht="24.95" customHeight="1" x14ac:dyDescent="0.25"/>
  </sheetData>
  <autoFilter ref="C1:AS1" xr:uid="{4CFD1A53-F998-497D-B743-E396AC211728}">
    <sortState xmlns:xlrd2="http://schemas.microsoft.com/office/spreadsheetml/2017/richdata2" ref="C2:AS11">
      <sortCondition ref="C1"/>
    </sortState>
  </autoFilter>
  <phoneticPr fontId="53" type="noConversion"/>
  <conditionalFormatting sqref="F1:F11">
    <cfRule type="colorScale" priority="79">
      <colorScale>
        <cfvo type="num" val="15"/>
        <cfvo type="num" val="25"/>
        <cfvo type="num" val="32"/>
        <color rgb="FF63BE7B"/>
        <color rgb="FFFFEB84"/>
        <color rgb="FFF8696B"/>
      </colorScale>
    </cfRule>
  </conditionalFormatting>
  <conditionalFormatting sqref="H1:H1048576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67">
      <colorScale>
        <cfvo type="min"/>
        <cfvo type="percentile" val="50"/>
        <cfvo type="max"/>
        <color rgb="FFF8696B"/>
        <color theme="6" tint="0.79998168889431442"/>
        <color rgb="FF00B0F0"/>
      </colorScale>
    </cfRule>
  </conditionalFormatting>
  <conditionalFormatting sqref="J1:J1048576">
    <cfRule type="colorScale" priority="66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K1:K1048576">
    <cfRule type="iconSet" priority="6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{D15E8FDA-D0B8-46CA-B999-66B48B73CCF2}</x14:id>
        </ext>
      </extLst>
    </cfRule>
  </conditionalFormatting>
  <conditionalFormatting sqref="P1:P1048576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{C0F4401D-09EC-49FA-9D9F-1AC315512980}</x14:id>
        </ext>
      </extLst>
    </cfRule>
    <cfRule type="iconSet" priority="4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iconSet" priority="4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{A92B0633-041B-4D9B-9386-45D85FFCC56A}</x14:id>
        </ext>
      </extLst>
    </cfRule>
  </conditionalFormatting>
  <conditionalFormatting sqref="M1:M1048576">
    <cfRule type="iconSet" priority="3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{E52F7FF7-E876-4B0B-A8FD-464358BABF1D}</x14:id>
        </ext>
      </extLst>
    </cfRule>
  </conditionalFormatting>
  <conditionalFormatting sqref="N1:N1048576">
    <cfRule type="iconSet" priority="3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{7ACF3AC7-8957-4A74-8587-39FE5FBD4900}</x14:id>
        </ext>
      </extLst>
    </cfRule>
  </conditionalFormatting>
  <conditionalFormatting sqref="O1:O1048576">
    <cfRule type="iconSet" priority="3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{37ACA1D4-4FF3-4351-805D-ECCB82064D64}</x14:id>
        </ext>
      </extLst>
    </cfRule>
  </conditionalFormatting>
  <conditionalFormatting sqref="U1:U1048576">
    <cfRule type="iconSet" priority="13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dataBar" priority="23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{8BC5F3CC-3DA9-49AF-AE48-0E177661C5E4}</x14:id>
        </ext>
      </extLst>
    </cfRule>
  </conditionalFormatting>
  <conditionalFormatting sqref="Q1:Q1048576">
    <cfRule type="iconSet" priority="2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iconSet" priority="1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:S1048576">
    <cfRule type="iconSet" priority="1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:T1048576">
    <cfRule type="iconSet" priority="1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1048576">
    <cfRule type="iconSet" priority="2371599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dataBar" priority="2371600">
      <dataBar>
        <cfvo type="min"/>
        <cfvo type="max"/>
        <color rgb="FF920003"/>
      </dataBar>
      <extLst>
        <ext xmlns:x14="http://schemas.microsoft.com/office/spreadsheetml/2009/9/main" uri="{B025F937-C7B1-47D3-B67F-A62EFF666E3E}">
          <x14:id>{B2261D2F-2D6F-47AD-8594-ADA1B2EF375F}</x14:id>
        </ext>
      </extLst>
    </cfRule>
  </conditionalFormatting>
  <conditionalFormatting sqref="X1:X1048576">
    <cfRule type="iconSet" priority="2">
      <iconSet iconSet="3Arrows">
        <cfvo type="percent" val="0"/>
        <cfvo type="num" val="6.7"/>
        <cfvo type="num" val="7"/>
      </iconSet>
    </cfRule>
    <cfRule type="colorScale" priority="4">
      <colorScale>
        <cfvo type="num" val="6.6"/>
        <cfvo type="num" val="6.7"/>
        <cfvo type="num" val="7"/>
        <color rgb="FFF8696B"/>
        <color rgb="FFFFEB84"/>
        <color rgb="FF63BE7B"/>
      </colorScale>
    </cfRule>
  </conditionalFormatting>
  <conditionalFormatting sqref="W2:W11">
    <cfRule type="colorScale" priority="24409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5E8FDA-D0B8-46CA-B999-66B48B73CC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K1:K1048576</xm:sqref>
        </x14:conditionalFormatting>
        <x14:conditionalFormatting xmlns:xm="http://schemas.microsoft.com/office/excel/2006/main">
          <x14:cfRule type="dataBar" id="{C0F4401D-09EC-49FA-9D9F-1AC3155129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A92B0633-041B-4D9B-9386-45D85FFCC5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L1:L1048576</xm:sqref>
        </x14:conditionalFormatting>
        <x14:conditionalFormatting xmlns:xm="http://schemas.microsoft.com/office/excel/2006/main">
          <x14:cfRule type="dataBar" id="{E52F7FF7-E876-4B0B-A8FD-464358BABF1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  <x14:conditionalFormatting xmlns:xm="http://schemas.microsoft.com/office/excel/2006/main">
          <x14:cfRule type="dataBar" id="{7ACF3AC7-8957-4A74-8587-39FE5FBD49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37ACA1D4-4FF3-4351-805D-ECCB82064D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8BC5F3CC-3DA9-49AF-AE48-0E177661C5E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U1:U1048576</xm:sqref>
        </x14:conditionalFormatting>
        <x14:conditionalFormatting xmlns:xm="http://schemas.microsoft.com/office/excel/2006/main">
          <x14:cfRule type="dataBar" id="{B2261D2F-2D6F-47AD-8594-ADA1B2EF375F}">
            <x14:dataBar minLength="0" maxLength="100" border="1" gradient="0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V1:V1048576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0">
    <tabColor rgb="FF19C3FF"/>
  </sheetPr>
  <dimension ref="A1:GH1001"/>
  <sheetViews>
    <sheetView zoomScale="90" zoomScaleNormal="90"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2" max="2" width="30.7109375" customWidth="1"/>
    <col min="3" max="3" width="12.5703125" customWidth="1"/>
    <col min="4" max="4" width="25.85546875" bestFit="1" customWidth="1"/>
    <col min="5" max="5" width="15.7109375" customWidth="1"/>
    <col min="6" max="6" width="18.28515625" customWidth="1"/>
    <col min="7" max="7" width="11.140625" customWidth="1"/>
    <col min="8" max="11" width="15.7109375" customWidth="1"/>
    <col min="12" max="14" width="15.7109375" style="13" customWidth="1"/>
    <col min="15" max="41" width="18.7109375" customWidth="1"/>
    <col min="42" max="43" width="20.7109375" customWidth="1"/>
    <col min="44" max="47" width="20.7109375" style="13" customWidth="1"/>
    <col min="48" max="124" width="20.7109375" customWidth="1"/>
    <col min="125" max="125" width="20.7109375" style="190" customWidth="1"/>
    <col min="126" max="127" width="20.7109375" customWidth="1"/>
    <col min="128" max="130" width="20.7109375" style="13" customWidth="1"/>
    <col min="131" max="131" width="20.7109375" customWidth="1"/>
    <col min="132" max="133" width="20.7109375" style="13" customWidth="1"/>
    <col min="134" max="134" width="8.7109375" style="1" customWidth="1"/>
    <col min="135" max="141" width="11.7109375" style="1" customWidth="1"/>
    <col min="142" max="142" width="11.7109375" style="152" customWidth="1"/>
    <col min="143" max="143" width="11.5703125" style="1" bestFit="1" customWidth="1"/>
    <col min="144" max="190" width="11.7109375" style="1" customWidth="1"/>
    <col min="197" max="197" width="14.5703125" bestFit="1" customWidth="1"/>
  </cols>
  <sheetData>
    <row r="1" spans="1:190" ht="50.1" customHeight="1" thickBot="1" x14ac:dyDescent="0.3">
      <c r="A1" s="271"/>
      <c r="B1" s="4" t="s">
        <v>20</v>
      </c>
      <c r="C1" s="4" t="s">
        <v>214</v>
      </c>
      <c r="D1" s="4" t="s">
        <v>28</v>
      </c>
      <c r="E1" s="4" t="s">
        <v>1</v>
      </c>
      <c r="F1" s="85" t="s">
        <v>3</v>
      </c>
      <c r="G1" s="4" t="s">
        <v>231</v>
      </c>
      <c r="H1" s="30" t="s">
        <v>121</v>
      </c>
      <c r="I1" s="30" t="s">
        <v>420</v>
      </c>
      <c r="J1" s="30" t="s">
        <v>421</v>
      </c>
      <c r="K1" s="30" t="s">
        <v>424</v>
      </c>
      <c r="L1" s="98" t="s">
        <v>38</v>
      </c>
      <c r="M1" s="98" t="s">
        <v>417</v>
      </c>
      <c r="N1" s="98" t="s">
        <v>416</v>
      </c>
      <c r="O1" s="224" t="s">
        <v>22</v>
      </c>
      <c r="P1" s="224" t="s">
        <v>65</v>
      </c>
      <c r="Q1" s="224" t="s">
        <v>215</v>
      </c>
      <c r="R1" s="224" t="s">
        <v>150</v>
      </c>
      <c r="S1" s="224" t="s">
        <v>192</v>
      </c>
      <c r="T1" s="224" t="s">
        <v>191</v>
      </c>
      <c r="U1" s="46" t="s">
        <v>7</v>
      </c>
      <c r="V1" s="46" t="s">
        <v>473</v>
      </c>
      <c r="W1" s="46" t="s">
        <v>474</v>
      </c>
      <c r="X1" s="46" t="s">
        <v>169</v>
      </c>
      <c r="Y1" s="46" t="s">
        <v>337</v>
      </c>
      <c r="Z1" s="46" t="s">
        <v>345</v>
      </c>
      <c r="AA1" s="46" t="s">
        <v>346</v>
      </c>
      <c r="AB1" s="41" t="s">
        <v>251</v>
      </c>
      <c r="AC1" s="41" t="s">
        <v>330</v>
      </c>
      <c r="AD1" s="41" t="s">
        <v>250</v>
      </c>
      <c r="AE1" s="41" t="s">
        <v>597</v>
      </c>
      <c r="AF1" s="89" t="s">
        <v>561</v>
      </c>
      <c r="AG1" s="19" t="s">
        <v>230</v>
      </c>
      <c r="AH1" s="19" t="s">
        <v>596</v>
      </c>
      <c r="AI1" s="89" t="s">
        <v>405</v>
      </c>
      <c r="AJ1" s="52" t="s">
        <v>371</v>
      </c>
      <c r="AK1" s="52" t="s">
        <v>372</v>
      </c>
      <c r="AL1" s="52" t="s">
        <v>484</v>
      </c>
      <c r="AM1" s="52" t="s">
        <v>483</v>
      </c>
      <c r="AN1" s="153" t="s">
        <v>62</v>
      </c>
      <c r="AO1" s="153" t="s">
        <v>477</v>
      </c>
      <c r="AP1" s="37" t="s">
        <v>176</v>
      </c>
      <c r="AQ1" s="37" t="s">
        <v>216</v>
      </c>
      <c r="AR1" s="26" t="s">
        <v>340</v>
      </c>
      <c r="AS1" s="26" t="s">
        <v>341</v>
      </c>
      <c r="AT1" s="26" t="s">
        <v>297</v>
      </c>
      <c r="AU1" s="26" t="s">
        <v>380</v>
      </c>
      <c r="AV1" s="26" t="s">
        <v>105</v>
      </c>
      <c r="AW1" s="93" t="s">
        <v>182</v>
      </c>
      <c r="AX1" s="93" t="s">
        <v>111</v>
      </c>
      <c r="AY1" s="159" t="s">
        <v>247</v>
      </c>
      <c r="AZ1" s="93" t="s">
        <v>381</v>
      </c>
      <c r="BA1" s="159" t="s">
        <v>382</v>
      </c>
      <c r="BB1" s="93" t="s">
        <v>212</v>
      </c>
      <c r="BC1" s="158" t="s">
        <v>69</v>
      </c>
      <c r="BD1" s="158" t="s">
        <v>494</v>
      </c>
      <c r="BE1" s="274" t="s">
        <v>360</v>
      </c>
      <c r="BF1" s="274" t="s">
        <v>562</v>
      </c>
      <c r="BG1" s="275" t="s">
        <v>563</v>
      </c>
      <c r="BH1" s="275" t="s">
        <v>564</v>
      </c>
      <c r="BI1" s="275" t="s">
        <v>566</v>
      </c>
      <c r="BJ1" s="276" t="s">
        <v>565</v>
      </c>
      <c r="BK1" s="26" t="s">
        <v>209</v>
      </c>
      <c r="BL1" s="4" t="s">
        <v>383</v>
      </c>
      <c r="BM1" s="4" t="s">
        <v>384</v>
      </c>
      <c r="BN1" s="4" t="s">
        <v>210</v>
      </c>
      <c r="BO1" s="4" t="s">
        <v>99</v>
      </c>
      <c r="BP1" s="4" t="s">
        <v>385</v>
      </c>
      <c r="BQ1" s="4" t="s">
        <v>211</v>
      </c>
      <c r="BR1" s="4" t="s">
        <v>386</v>
      </c>
      <c r="BS1" s="4" t="s">
        <v>100</v>
      </c>
      <c r="BT1" s="18" t="s">
        <v>387</v>
      </c>
      <c r="BU1" s="18" t="s">
        <v>388</v>
      </c>
      <c r="BV1" s="18" t="s">
        <v>309</v>
      </c>
      <c r="BW1" s="18" t="s">
        <v>141</v>
      </c>
      <c r="BX1" s="100" t="s">
        <v>822</v>
      </c>
      <c r="BY1" s="100" t="s">
        <v>825</v>
      </c>
      <c r="BZ1" s="100" t="s">
        <v>446</v>
      </c>
      <c r="CA1" s="100" t="s">
        <v>826</v>
      </c>
      <c r="CB1" s="100" t="s">
        <v>823</v>
      </c>
      <c r="CC1" s="104" t="s">
        <v>241</v>
      </c>
      <c r="CD1" s="104" t="s">
        <v>238</v>
      </c>
      <c r="CE1" s="105" t="s">
        <v>239</v>
      </c>
      <c r="CF1" s="104" t="s">
        <v>240</v>
      </c>
      <c r="CG1" s="77" t="s">
        <v>193</v>
      </c>
      <c r="CH1" s="77" t="s">
        <v>194</v>
      </c>
      <c r="CI1" s="78" t="s">
        <v>195</v>
      </c>
      <c r="CJ1" s="78" t="s">
        <v>196</v>
      </c>
      <c r="CK1" s="78" t="s">
        <v>197</v>
      </c>
      <c r="CL1" s="80" t="s">
        <v>198</v>
      </c>
      <c r="CM1" s="80" t="s">
        <v>199</v>
      </c>
      <c r="CN1" s="81" t="s">
        <v>200</v>
      </c>
      <c r="CO1" s="81" t="s">
        <v>201</v>
      </c>
      <c r="CP1" s="82" t="s">
        <v>202</v>
      </c>
      <c r="CQ1" s="26" t="s">
        <v>203</v>
      </c>
      <c r="CR1" s="26" t="s">
        <v>204</v>
      </c>
      <c r="CS1" s="26" t="s">
        <v>205</v>
      </c>
      <c r="CT1" s="151" t="s">
        <v>92</v>
      </c>
      <c r="CU1" s="151" t="s">
        <v>171</v>
      </c>
      <c r="CV1" s="19" t="s">
        <v>422</v>
      </c>
      <c r="CW1" s="19" t="s">
        <v>206</v>
      </c>
      <c r="CX1" s="19" t="s">
        <v>207</v>
      </c>
      <c r="CY1" s="19" t="s">
        <v>423</v>
      </c>
      <c r="CZ1" s="88" t="s">
        <v>398</v>
      </c>
      <c r="DA1" s="88" t="s">
        <v>243</v>
      </c>
      <c r="DB1" s="19" t="s">
        <v>244</v>
      </c>
      <c r="DC1" s="19" t="s">
        <v>425</v>
      </c>
      <c r="DD1" s="19" t="s">
        <v>481</v>
      </c>
      <c r="DE1" s="22" t="s">
        <v>248</v>
      </c>
      <c r="DF1" s="22" t="s">
        <v>249</v>
      </c>
      <c r="DG1" s="40" t="s">
        <v>433</v>
      </c>
      <c r="DH1" s="40" t="s">
        <v>107</v>
      </c>
      <c r="DI1" s="40" t="s">
        <v>444</v>
      </c>
      <c r="DJ1" s="174" t="s">
        <v>445</v>
      </c>
      <c r="DK1" s="17" t="s">
        <v>443</v>
      </c>
      <c r="DL1" s="19" t="s">
        <v>450</v>
      </c>
      <c r="DM1" s="200" t="s">
        <v>428</v>
      </c>
      <c r="DN1" s="200" t="s">
        <v>429</v>
      </c>
      <c r="DO1" s="161" t="s">
        <v>350</v>
      </c>
      <c r="DP1" s="161" t="s">
        <v>351</v>
      </c>
      <c r="DQ1" s="91" t="s">
        <v>170</v>
      </c>
      <c r="DR1" s="91" t="s">
        <v>222</v>
      </c>
      <c r="DS1" s="91" t="s">
        <v>223</v>
      </c>
      <c r="DT1" s="85" t="s">
        <v>348</v>
      </c>
      <c r="DU1" s="85" t="s">
        <v>213</v>
      </c>
      <c r="DV1" s="336" t="s">
        <v>430</v>
      </c>
      <c r="DW1" s="40" t="s">
        <v>431</v>
      </c>
      <c r="DX1" s="40" t="s">
        <v>167</v>
      </c>
      <c r="DY1" s="43" t="s">
        <v>414</v>
      </c>
      <c r="DZ1" s="43" t="s">
        <v>415</v>
      </c>
      <c r="EA1" s="37" t="s">
        <v>218</v>
      </c>
      <c r="EB1" s="110" t="s">
        <v>418</v>
      </c>
      <c r="EC1" s="110" t="s">
        <v>25</v>
      </c>
      <c r="ED1" s="292" t="s">
        <v>14</v>
      </c>
      <c r="EE1" s="293" t="s">
        <v>620</v>
      </c>
      <c r="EF1" s="293" t="s">
        <v>20</v>
      </c>
      <c r="EG1" s="293" t="s">
        <v>1</v>
      </c>
      <c r="EH1" s="293" t="s">
        <v>0</v>
      </c>
      <c r="EI1" s="293" t="s">
        <v>29</v>
      </c>
      <c r="EJ1" s="293" t="s">
        <v>40</v>
      </c>
      <c r="EK1" s="293" t="s">
        <v>2</v>
      </c>
      <c r="EL1" s="293" t="s">
        <v>3</v>
      </c>
      <c r="EM1" s="293" t="s">
        <v>89</v>
      </c>
      <c r="EN1" s="293" t="s">
        <v>621</v>
      </c>
      <c r="EO1" s="293" t="s">
        <v>682</v>
      </c>
      <c r="EP1" s="293" t="s">
        <v>30</v>
      </c>
      <c r="EQ1" s="293" t="s">
        <v>683</v>
      </c>
      <c r="ER1" s="293" t="s">
        <v>684</v>
      </c>
      <c r="ES1" s="293" t="s">
        <v>6</v>
      </c>
      <c r="ET1" s="293" t="s">
        <v>4</v>
      </c>
      <c r="EU1" s="293" t="s">
        <v>165</v>
      </c>
      <c r="EV1" s="293" t="s">
        <v>179</v>
      </c>
      <c r="EW1" s="293" t="s">
        <v>7</v>
      </c>
      <c r="EX1" s="293" t="s">
        <v>166</v>
      </c>
      <c r="EY1" s="293" t="s">
        <v>645</v>
      </c>
      <c r="EZ1" s="293" t="s">
        <v>646</v>
      </c>
      <c r="FA1" s="293" t="s">
        <v>15</v>
      </c>
      <c r="FB1" s="293" t="s">
        <v>16</v>
      </c>
      <c r="FC1" s="293" t="s">
        <v>648</v>
      </c>
      <c r="FD1" s="293" t="s">
        <v>647</v>
      </c>
      <c r="FE1" s="293" t="s">
        <v>10</v>
      </c>
      <c r="FF1" s="293" t="s">
        <v>8</v>
      </c>
      <c r="FG1" s="293" t="s">
        <v>9</v>
      </c>
      <c r="FH1" s="293" t="s">
        <v>11</v>
      </c>
      <c r="FI1" s="293" t="s">
        <v>17</v>
      </c>
      <c r="FJ1" s="293" t="s">
        <v>189</v>
      </c>
      <c r="FK1" s="293" t="s">
        <v>190</v>
      </c>
      <c r="FL1" s="293" t="s">
        <v>104</v>
      </c>
      <c r="FM1" s="293" t="s">
        <v>635</v>
      </c>
      <c r="FN1" s="293" t="s">
        <v>41</v>
      </c>
      <c r="FO1" s="293" t="s">
        <v>568</v>
      </c>
      <c r="FP1" s="293" t="s">
        <v>569</v>
      </c>
      <c r="FQ1" s="293" t="s">
        <v>93</v>
      </c>
      <c r="FR1" s="293" t="s">
        <v>94</v>
      </c>
      <c r="FS1" s="293" t="s">
        <v>810</v>
      </c>
      <c r="FT1" s="293" t="s">
        <v>786</v>
      </c>
      <c r="FU1" s="293" t="s">
        <v>685</v>
      </c>
      <c r="FV1" s="293" t="s">
        <v>12</v>
      </c>
      <c r="FW1" s="293" t="s">
        <v>253</v>
      </c>
      <c r="FX1" s="293" t="s">
        <v>236</v>
      </c>
      <c r="FY1" s="293" t="s">
        <v>49</v>
      </c>
      <c r="FZ1" s="293" t="s">
        <v>48</v>
      </c>
      <c r="GA1" s="293" t="s">
        <v>63</v>
      </c>
      <c r="GB1" s="293" t="s">
        <v>264</v>
      </c>
      <c r="GC1" s="293" t="s">
        <v>623</v>
      </c>
      <c r="GD1" s="293" t="s">
        <v>167</v>
      </c>
      <c r="GE1" s="293" t="s">
        <v>5</v>
      </c>
      <c r="GF1" s="293" t="s">
        <v>103</v>
      </c>
      <c r="GG1" s="293" t="s">
        <v>18</v>
      </c>
      <c r="GH1" s="294" t="s">
        <v>642</v>
      </c>
    </row>
    <row r="2" spans="1:190" ht="24.95" customHeight="1" thickBot="1" x14ac:dyDescent="0.3">
      <c r="A2" s="29" t="str">
        <f t="shared" ref="A2:A4" si="0">ROW()-1 &amp; "º"</f>
        <v>1º</v>
      </c>
      <c r="B2" s="69" t="str">
        <f t="shared" ref="B2:B16" si="1">EF2</f>
        <v>Gustavo Henrique</v>
      </c>
      <c r="C2" s="86" t="str">
        <f t="shared" ref="C2:C16" si="2">EE2</f>
        <v>BRA</v>
      </c>
      <c r="D2" s="36" t="str">
        <f t="shared" ref="D2:D16" si="3">EH2</f>
        <v>Corinthians</v>
      </c>
      <c r="E2" s="36">
        <f t="shared" ref="E2:E16" si="4">EG2</f>
        <v>33</v>
      </c>
      <c r="F2" s="344" t="str">
        <f t="shared" ref="F2:F16" si="5">EL2</f>
        <v>159m € p/m</v>
      </c>
      <c r="G2" s="96">
        <f t="shared" ref="G2:G16" si="6">AVERAGE(H:H)</f>
        <v>41.534074074074077</v>
      </c>
      <c r="H2" s="197">
        <f t="shared" ref="H2:H16" si="7">IFERROR(EN2/90,0)</f>
        <v>40.266666666666666</v>
      </c>
      <c r="I2" s="197">
        <f t="shared" ref="I2:I16" si="8">IFERROR(IF(ISERROR(FIND("(",EO2)), VALUE(EO2), VALUE(LEFT(EO2,FIND("(",EO2)-2)) + VALUE(MID(EO2,FIND("(",EO2)+1,FIND(")",EO2)-FIND("(",EO2)-1))),0)</f>
        <v>45</v>
      </c>
      <c r="J2" s="197">
        <f t="shared" ref="J2:J16" si="9">IFERROR(EN2/I2,0)</f>
        <v>80.533333333333331</v>
      </c>
      <c r="K2" s="198">
        <f t="shared" ref="K2:K16" si="10">IFERROR(IF(ISERROR(FIND("(",EO2)), "100%", TEXT(VALUE(LEFT(EO2,FIND("(",EO2)-2)) / (VALUE(LEFT(EO2,FIND("(",EO2)-2)) + VALUE(MID(EO2,FIND("(",EO2)+1,FIND(")",EO2)-FIND("(",EO2)-1))),"0%")),0)*1</f>
        <v>0.93</v>
      </c>
      <c r="L2" s="6">
        <f t="shared" ref="L2:L16" si="11">EP2</f>
        <v>2</v>
      </c>
      <c r="M2" s="24">
        <f t="shared" ref="M2:M16" si="12">IFERROR((EN2/EP2),5400)</f>
        <v>1812</v>
      </c>
      <c r="N2" s="21">
        <f t="shared" ref="N2:N16" si="13">IFERROR((L2*1)/H2,0)</f>
        <v>4.9668874172185434E-2</v>
      </c>
      <c r="O2" s="58">
        <f t="shared" ref="O2:O16" si="14">EQ2</f>
        <v>0</v>
      </c>
      <c r="P2" s="58">
        <f t="shared" ref="P2:P16" si="15">ER2</f>
        <v>1</v>
      </c>
      <c r="Q2" s="58">
        <f t="shared" ref="Q2:Q16" si="16">O2+P2</f>
        <v>1</v>
      </c>
      <c r="R2" s="76">
        <f t="shared" ref="R2:R16" si="17">IFERROR(O2/H2,0)</f>
        <v>0</v>
      </c>
      <c r="S2" s="76">
        <f t="shared" ref="S2:S16" si="18">IFERROR(P2/H2,0)</f>
        <v>2.4834437086092717E-2</v>
      </c>
      <c r="T2" s="76">
        <f t="shared" ref="T2:T16" si="19">IFERROR((O2+P2)/H2,0)</f>
        <v>2.4834437086092717E-2</v>
      </c>
      <c r="U2" s="76">
        <f t="shared" ref="U2:U16" si="20">SUBSTITUTE(EW2,".","," )*1</f>
        <v>1.4</v>
      </c>
      <c r="V2" s="76">
        <f t="shared" ref="V2:V16" si="21">IFERROR(U2-(GE2*0.79),0)</f>
        <v>1.4</v>
      </c>
      <c r="W2" s="76">
        <f t="shared" ref="W2:W16" si="22">IFERROR(V2/H2,0)</f>
        <v>3.4768211920529798E-2</v>
      </c>
      <c r="X2" s="76">
        <f t="shared" ref="X2:X16" si="23">SUBSTITUTE(EX2,".","," )*1</f>
        <v>0.14000000000000001</v>
      </c>
      <c r="Y2" s="76">
        <f t="shared" ref="Y2:Y16" si="24">IFERROR(X2/H2,0)</f>
        <v>3.4768211920529805E-3</v>
      </c>
      <c r="Z2" s="76">
        <f t="shared" ref="Z2:Z16" si="25">IFERROR(V2+X2,0)</f>
        <v>1.54</v>
      </c>
      <c r="AA2" s="76">
        <f t="shared" ref="AA2:AA16" si="26">W2+Y2</f>
        <v>3.8245033112582781E-2</v>
      </c>
      <c r="AB2" s="6">
        <f t="shared" ref="AB2:AB16" si="27">FF2</f>
        <v>20</v>
      </c>
      <c r="AC2" s="5">
        <f t="shared" ref="AC2:AC16" si="28">IFERROR(FF2/H2,0)</f>
        <v>0.49668874172185434</v>
      </c>
      <c r="AD2" s="6">
        <f t="shared" ref="AD2:AD16" si="29">FG2</f>
        <v>6</v>
      </c>
      <c r="AE2" s="5">
        <f t="shared" ref="AE2:AE16" si="30">IFERROR(FG2/H2,0)</f>
        <v>0.1490066225165563</v>
      </c>
      <c r="AF2" s="21">
        <f t="shared" ref="AF2:AF16" si="31">IFERROR(AD2/AB2,0)</f>
        <v>0.3</v>
      </c>
      <c r="AG2" s="76">
        <f t="shared" ref="AG2:AG16" si="32">IFERROR((FF2-GE2)/(EQ2-GF2),50)</f>
        <v>50</v>
      </c>
      <c r="AH2" s="76">
        <f t="shared" ref="AH2:AH16" si="33">IFERROR((FG2-GE2)/(EQ2-GF2),50)</f>
        <v>50</v>
      </c>
      <c r="AI2" s="20">
        <f t="shared" ref="AI2:AI16" si="34">IFERROR((EQ2-GF2)/(FF2-GE2),0)</f>
        <v>0</v>
      </c>
      <c r="AJ2" s="76">
        <f t="shared" ref="AJ2:AJ16" si="35">IFERROR(EN2/FF2,700)</f>
        <v>181.2</v>
      </c>
      <c r="AK2" s="76">
        <f t="shared" ref="AK2:AK16" si="36">IFERROR(EN2/FG2,700)</f>
        <v>604</v>
      </c>
      <c r="AL2" s="76">
        <f t="shared" ref="AL2:AL16" si="37">IFERROR(EN2/EQ2,EN2)</f>
        <v>3624</v>
      </c>
      <c r="AM2" s="76">
        <f t="shared" ref="AM2:AM16" si="38">IFERROR(EN2/Q2,EN2)</f>
        <v>3624</v>
      </c>
      <c r="AN2" s="5">
        <f t="shared" ref="AN2:AN16" si="39">IFERROR(EQ2-U2,0)</f>
        <v>-1.4</v>
      </c>
      <c r="AO2" s="5">
        <f t="shared" ref="AO2:AO16" si="40">IFERROR((EQ2 -GF2)-V2,0)</f>
        <v>-1.4</v>
      </c>
      <c r="AP2" s="75">
        <f t="shared" ref="AP2:AP16" si="41">FV2</f>
        <v>0</v>
      </c>
      <c r="AQ2" s="76">
        <f t="shared" ref="AQ2:AQ16" si="42">IFERROR(AP2/H2,0)</f>
        <v>0</v>
      </c>
      <c r="AR2" s="75">
        <f t="shared" ref="AR2:AR16" si="43">FH2</f>
        <v>233</v>
      </c>
      <c r="AS2" s="75">
        <f t="shared" ref="AS2:AS16" si="44">FI2</f>
        <v>181</v>
      </c>
      <c r="AT2" s="75">
        <f t="shared" ref="AT2:AT16" si="45">AR2-AS2</f>
        <v>52</v>
      </c>
      <c r="AU2" s="76">
        <f t="shared" ref="AU2:AU16" si="46">IFERROR(AS2/H2,0)</f>
        <v>4.4950331125827816</v>
      </c>
      <c r="AV2" s="79">
        <f t="shared" ref="AV2:AV16" si="47">IFERROR((AS2*1)/AR2,0)</f>
        <v>0.77682403433476399</v>
      </c>
      <c r="AW2" s="75">
        <f t="shared" ref="AW2:AW16" si="48">FL2+EY2</f>
        <v>31</v>
      </c>
      <c r="AX2" s="75">
        <f t="shared" ref="AX2:AX16" si="49">FM2</f>
        <v>18</v>
      </c>
      <c r="AY2" s="75">
        <f t="shared" ref="AY2:AY16" si="50">FL2-FM2</f>
        <v>1</v>
      </c>
      <c r="AZ2" s="76">
        <f t="shared" ref="AZ2:AZ16" si="51">IFERROR(FM2/H2,0)</f>
        <v>0.44701986754966888</v>
      </c>
      <c r="BA2" s="76">
        <f t="shared" ref="BA2:BA16" si="52">IFERROR(AY2/H2,0)</f>
        <v>2.4834437086092717E-2</v>
      </c>
      <c r="BB2" s="79">
        <f t="shared" ref="BB2:BB16" si="53">IFERROR(AX2/AW2,0)</f>
        <v>0.58064516129032262</v>
      </c>
      <c r="BC2" s="273">
        <f t="shared" ref="BC2:BC16" si="54">EY2</f>
        <v>12</v>
      </c>
      <c r="BD2" s="272">
        <f t="shared" ref="BD2:BD16" si="55">IFERROR(BC2/H2,0)</f>
        <v>0.29801324503311261</v>
      </c>
      <c r="BE2" s="273">
        <f t="shared" ref="BE2:BE16" si="56">GA2</f>
        <v>1</v>
      </c>
      <c r="BF2" s="272">
        <f t="shared" ref="BF2:BF16" si="57">IFERROR(BE2/H2,0)</f>
        <v>2.4834437086092717E-2</v>
      </c>
      <c r="BG2" s="273">
        <f t="shared" ref="BG2:BG16" si="58">GB2</f>
        <v>1</v>
      </c>
      <c r="BH2" s="272">
        <f t="shared" ref="BH2:BH16" si="59">IFERROR(BG2/H2,0)</f>
        <v>2.4834437086092717E-2</v>
      </c>
      <c r="BI2" s="273">
        <f t="shared" ref="BI2:BI16" si="60">BE2+BG2</f>
        <v>2</v>
      </c>
      <c r="BJ2" s="79">
        <f t="shared" ref="BJ2:BJ16" si="61">IFERROR(BI2/EY2,0)</f>
        <v>0.16666666666666666</v>
      </c>
      <c r="BK2" s="76">
        <f t="shared" ref="BK2:BK16" si="62">IFERROR(EU2-EV2,0)</f>
        <v>6.2000000000000011</v>
      </c>
      <c r="BL2" s="75">
        <f t="shared" ref="BL2:BL16" si="63">FJ2</f>
        <v>84</v>
      </c>
      <c r="BM2" s="75">
        <f t="shared" ref="BM2:BM16" si="64">FK2</f>
        <v>21</v>
      </c>
      <c r="BN2" s="160">
        <f t="shared" ref="BN2:BN16" si="65">IFERROR((BM2*1)/BL2,0)</f>
        <v>0.25</v>
      </c>
      <c r="BO2" s="75">
        <f t="shared" ref="BO2:BO16" si="66">FH2+FL2+FZ2+EY2+FJ2</f>
        <v>351</v>
      </c>
      <c r="BP2" s="76">
        <f t="shared" ref="BP2:BP16" si="67">IFERROR(BO2/H2,0)</f>
        <v>8.716887417218544</v>
      </c>
      <c r="BQ2" s="75">
        <f t="shared" ref="BQ2:BQ16" si="68">FI2+FM2+FZ2+FK2</f>
        <v>223</v>
      </c>
      <c r="BR2" s="76">
        <f t="shared" ref="BR2:BR16" si="69">IFERROR(BQ2/H2,0)</f>
        <v>5.5380794701986753</v>
      </c>
      <c r="BS2" s="160">
        <f t="shared" ref="BS2:BS16" si="70">IFERROR((BQ2*1)/BO2,0)</f>
        <v>0.63532763532763536</v>
      </c>
      <c r="BT2" s="75">
        <f t="shared" ref="BT2:BT16" si="71">(FW2+FX2+FN2+FZ2+FY2)</f>
        <v>243</v>
      </c>
      <c r="BU2" s="76">
        <f t="shared" ref="BU2:BU16" si="72">IFERROR(BT2/H2,0)</f>
        <v>6.0347682119205297</v>
      </c>
      <c r="BV2" s="75">
        <f t="shared" ref="BV2:BV16" si="73">IFERROR((FK2+FM2)+(FZ2*1.5),0)</f>
        <v>43.5</v>
      </c>
      <c r="BW2" s="76">
        <f t="shared" ref="BW2:BW16" si="74">IFERROR(BV2/H2,0)</f>
        <v>1.0802980132450331</v>
      </c>
      <c r="BX2" s="317">
        <f t="shared" ref="BX2:BX16" si="75">FQ2-FO2</f>
        <v>0</v>
      </c>
      <c r="BY2" s="318">
        <f t="shared" ref="BY2:BY16" si="76">BX2/H2</f>
        <v>0</v>
      </c>
      <c r="BZ2" s="317">
        <f t="shared" ref="BZ2:BZ16" si="77">FR2-FP2</f>
        <v>0</v>
      </c>
      <c r="CA2" s="318">
        <f t="shared" ref="CA2:CA16" si="78">BZ2/H2</f>
        <v>0</v>
      </c>
      <c r="CB2" s="364">
        <f t="shared" ref="CB2:CB16" si="79">IFERROR(BZ2/BX2,0)</f>
        <v>0</v>
      </c>
      <c r="CC2" s="317">
        <f t="shared" ref="CC2:CC16" si="80">GE2</f>
        <v>0</v>
      </c>
      <c r="CD2" s="317">
        <f t="shared" ref="CD2:CD16" si="81">GF2</f>
        <v>0</v>
      </c>
      <c r="CE2" s="365">
        <f t="shared" ref="CE2:CE16" si="82">CC2-CD2</f>
        <v>0</v>
      </c>
      <c r="CF2" s="363">
        <f t="shared" ref="CF2:CF16" si="83">IFERROR((CD2*1)/CC2,0.00000001)</f>
        <v>1E-8</v>
      </c>
      <c r="CG2" s="75">
        <f t="shared" ref="CG2:CG16" si="84">FQ2+FE2+FV2+FF2+ET2+FC2+(FT2*H2)</f>
        <v>31</v>
      </c>
      <c r="CH2" s="76">
        <f t="shared" ref="CH2:CH16" si="85">IFERROR(CG2/H2,0)</f>
        <v>0.76986754966887416</v>
      </c>
      <c r="CI2" s="75">
        <f t="shared" ref="CI2:CI16" si="86">FR2+FE2+FV2+FG2+ET2+FC2</f>
        <v>17</v>
      </c>
      <c r="CJ2" s="76">
        <f t="shared" ref="CJ2:CJ16" si="87">IFERROR(CI2/H2,0)</f>
        <v>0.42218543046357615</v>
      </c>
      <c r="CK2" s="79">
        <f t="shared" ref="CK2:CK16" si="88">IFERROR((CI2*1)/CG2,0)</f>
        <v>0.54838709677419351</v>
      </c>
      <c r="CL2" s="75">
        <f t="shared" ref="CL2:CL16" si="89">IFERROR((GC2*3)+FH2+FL2+FN2+FY2+FW2+FX2+EY2,0)</f>
        <v>504</v>
      </c>
      <c r="CM2" s="76">
        <f t="shared" ref="CM2:CM16" si="90">IFERROR(CL2/H2,0)</f>
        <v>12.516556291390728</v>
      </c>
      <c r="CN2" s="75">
        <f t="shared" ref="CN2:CN16" si="91">IFERROR(FI2+FM2+FN2+FY2+FW2+FX2+FZ2,0)</f>
        <v>442</v>
      </c>
      <c r="CO2" s="76">
        <f t="shared" ref="CO2:CO16" si="92">IFERROR(CN2/H2,0)</f>
        <v>10.976821192052981</v>
      </c>
      <c r="CP2" s="79">
        <f t="shared" ref="CP2:CP16" si="93">IFERROR(CN2/CL2,0)</f>
        <v>0.87698412698412698</v>
      </c>
      <c r="CQ2" s="83">
        <f t="shared" ref="CQ2:CQ16" si="94">(CL2+CG2)+FA2</f>
        <v>2444</v>
      </c>
      <c r="CR2" s="83">
        <f t="shared" ref="CR2:CR16" si="95">IFERROR((CN2+CI2)+FB2,0)</f>
        <v>2225</v>
      </c>
      <c r="CS2" s="84">
        <f t="shared" ref="CS2:CS16" si="96">IFERROR(CR2/CQ2,0)</f>
        <v>0.91039279869067102</v>
      </c>
      <c r="CT2" s="75">
        <f t="shared" ref="CT2:CT16" si="97">FE2</f>
        <v>2</v>
      </c>
      <c r="CU2" s="76">
        <f t="shared" ref="CU2:CU16" si="98">IFERROR(CT2/H2,0)</f>
        <v>4.9668874172185434E-2</v>
      </c>
      <c r="CV2" s="75">
        <f t="shared" ref="CV2:CV16" si="99">IFERROR(FC2+ET2+FR2,0)</f>
        <v>9</v>
      </c>
      <c r="CW2" s="76">
        <f t="shared" ref="CW2:CW16" si="100">IFERROR(CV2/H2,0)</f>
        <v>0.22350993377483444</v>
      </c>
      <c r="CX2" s="75">
        <f t="shared" ref="CX2:CX16" si="101">IFERROR(FF2+ET2+FC2,0)</f>
        <v>29</v>
      </c>
      <c r="CY2" s="76">
        <f t="shared" ref="CY2:CY16" si="102">IFERROR(CX2/H2,0)</f>
        <v>0.72019867549668881</v>
      </c>
      <c r="CZ2" s="75">
        <f t="shared" ref="CZ2:CZ16" si="103">IFERROR(DA2*H2,0)</f>
        <v>0</v>
      </c>
      <c r="DA2" s="76">
        <f t="shared" ref="DA2:DA16" si="104">IFERROR(FT2,0)</f>
        <v>0</v>
      </c>
      <c r="DB2" s="75">
        <f t="shared" ref="DB2:DB16" si="105">IFERROR((FQ2+FM2+FZ2+FN2+FK2+FH2+FE2+FF2+GE2+FU2+FA2),0)</f>
        <v>2340</v>
      </c>
      <c r="DC2" s="76">
        <f t="shared" ref="DC2:DC16" si="106">IFERROR(DB2/H2,0)</f>
        <v>58.112582781456958</v>
      </c>
      <c r="DD2" s="75">
        <f t="shared" ref="DD2:DD16" si="107">IFERROR((((EQ2*1.5)+(ER2*1.5)+FE2+ET2+FC2+FG2)),0)</f>
        <v>18.5</v>
      </c>
      <c r="DE2" s="6">
        <f t="shared" ref="DE2:DE16" si="108">IFERROR(FG2+EX2+ET2+FC2+(FT2*H2)+(EQ2*0.5)+(ER2*0.5),0)</f>
        <v>0</v>
      </c>
      <c r="DF2" s="5">
        <f t="shared" ref="DF2:DF16" si="109">IFERROR(DE2/H2,0)</f>
        <v>0</v>
      </c>
      <c r="DG2" s="6">
        <f t="shared" ref="DG2:DG16" si="110">FC2</f>
        <v>8</v>
      </c>
      <c r="DH2" s="5">
        <f t="shared" ref="DH2:DH16" si="111">IFERROR(DG2/H2,0)</f>
        <v>0.19867549668874174</v>
      </c>
      <c r="DI2" s="5">
        <f t="shared" ref="DI2:DI16" si="112">IFERROR(FC2/ER2,70)</f>
        <v>8</v>
      </c>
      <c r="DJ2" s="21">
        <f t="shared" ref="DJ2:DJ16" si="113">IFERROR((ER2*1)/FC2,0)</f>
        <v>0.125</v>
      </c>
      <c r="DK2" s="5">
        <f t="shared" ref="DK2:DK16" si="114">(X2-ER2)</f>
        <v>-0.86</v>
      </c>
      <c r="DL2" s="5">
        <f t="shared" ref="DL2:DL16" si="115">IFERROR(X2/FC2,0)</f>
        <v>1.7500000000000002E-2</v>
      </c>
      <c r="DM2" s="222">
        <f t="shared" ref="DM2:DM16" si="116">IFERROR((FQ2+FF2+FE2+FC2),0)</f>
        <v>30</v>
      </c>
      <c r="DN2" s="223">
        <f t="shared" ref="DN2:DN16" si="117">IFERROR(DM2/H2,0)</f>
        <v>0.74503311258278149</v>
      </c>
      <c r="DO2" s="76">
        <f t="shared" ref="DO2:DO16" si="118">IFERROR(EN2/FC2,700)</f>
        <v>453</v>
      </c>
      <c r="DP2" s="76">
        <f>IFERROR(EN2/(FG2+ET2+#REF!),700)</f>
        <v>700</v>
      </c>
      <c r="DQ2" s="76">
        <f t="shared" ref="DQ2:DQ16" si="119">IFERROR(FA2/H2,0)</f>
        <v>47.408940397350996</v>
      </c>
      <c r="DR2" s="76">
        <f t="shared" ref="DR2:DR16" si="120">IFERROR(FB2/H2,0)</f>
        <v>43.857615894039739</v>
      </c>
      <c r="DS2" s="92">
        <f t="shared" ref="DS2:DS16" si="121">IFERROR(FB2/FA2,0)</f>
        <v>0.92509167103195389</v>
      </c>
      <c r="DT2" s="188">
        <f t="shared" ref="DT2:DT16" si="122">IFERROR(VALUE(SUBSTITUTE(GG2, " km", "")),0)</f>
        <v>392.7</v>
      </c>
      <c r="DU2" s="207">
        <f t="shared" ref="DU2:DU16" si="123">IFERROR(DT2/H2,0)</f>
        <v>9.7524834437086092</v>
      </c>
      <c r="DV2" s="209">
        <f t="shared" ref="DV2:DV16" si="124">IFERROR((((DT2*1000)/(EN2*60))*3600)/1000,0)</f>
        <v>6.5016556291390737</v>
      </c>
      <c r="DW2" s="208">
        <f t="shared" ref="DW2:DW16" si="125">IFERROR((DX2*H2),0)</f>
        <v>221.46666666666667</v>
      </c>
      <c r="DX2" s="76">
        <f t="shared" ref="DX2:DX16" si="126">IFERROR(GD2,0)</f>
        <v>5.5</v>
      </c>
      <c r="DY2" s="56">
        <f t="shared" ref="DY2:DY16" si="127">(FQ2-FR2)+(FH2-FI2)+(FF2-FG2)+(FA2-FB2)</f>
        <v>209</v>
      </c>
      <c r="DZ2" s="57">
        <f t="shared" ref="DZ2:DZ16" si="128">IFERROR(DY2/H2,0)</f>
        <v>5.1903973509933774</v>
      </c>
      <c r="EA2" s="76">
        <f t="shared" ref="EA2:EA16" si="129">EV2</f>
        <v>4.0999999999999996</v>
      </c>
      <c r="EB2" s="57">
        <f t="shared" ref="EB2:EB16" si="130">EC2*H2</f>
        <v>275.82666666666665</v>
      </c>
      <c r="EC2" s="62">
        <f t="shared" ref="EC2:EC16" si="131">IFERROR(VALUE(SUBSTITUTE(GH2, ".", ",")),5)</f>
        <v>6.85</v>
      </c>
      <c r="ED2" s="301"/>
      <c r="EE2" s="297" t="s">
        <v>13</v>
      </c>
      <c r="EF2" s="297" t="s">
        <v>590</v>
      </c>
      <c r="EG2" s="297">
        <v>33</v>
      </c>
      <c r="EH2" s="297" t="s">
        <v>1045</v>
      </c>
      <c r="EI2" s="297" t="s">
        <v>832</v>
      </c>
      <c r="EJ2" s="297" t="s">
        <v>643</v>
      </c>
      <c r="EK2" s="297" t="s">
        <v>1069</v>
      </c>
      <c r="EL2" s="297" t="s">
        <v>1013</v>
      </c>
      <c r="EM2" s="298">
        <v>46752</v>
      </c>
      <c r="EN2" s="297">
        <v>3624</v>
      </c>
      <c r="EO2" s="297" t="s">
        <v>698</v>
      </c>
      <c r="EP2" s="297">
        <v>2</v>
      </c>
      <c r="EQ2" s="297">
        <v>0</v>
      </c>
      <c r="ER2" s="297">
        <v>1</v>
      </c>
      <c r="ES2" s="297">
        <v>16</v>
      </c>
      <c r="ET2" s="297">
        <v>1</v>
      </c>
      <c r="EU2" s="297">
        <v>10.3</v>
      </c>
      <c r="EV2" s="297">
        <v>4.0999999999999996</v>
      </c>
      <c r="EW2" s="297" t="s">
        <v>805</v>
      </c>
      <c r="EX2" s="297" t="s">
        <v>836</v>
      </c>
      <c r="EY2" s="297">
        <v>12</v>
      </c>
      <c r="EZ2" s="297">
        <v>3</v>
      </c>
      <c r="FA2" s="297">
        <v>1909</v>
      </c>
      <c r="FB2" s="297">
        <v>1766</v>
      </c>
      <c r="FC2" s="297">
        <v>8</v>
      </c>
      <c r="FD2" s="297">
        <v>158</v>
      </c>
      <c r="FE2" s="297">
        <v>2</v>
      </c>
      <c r="FF2" s="297">
        <v>20</v>
      </c>
      <c r="FG2" s="297">
        <v>6</v>
      </c>
      <c r="FH2" s="297">
        <v>233</v>
      </c>
      <c r="FI2" s="297">
        <v>181</v>
      </c>
      <c r="FJ2" s="297">
        <v>84</v>
      </c>
      <c r="FK2" s="297">
        <v>21</v>
      </c>
      <c r="FL2" s="297">
        <v>19</v>
      </c>
      <c r="FM2" s="297">
        <v>18</v>
      </c>
      <c r="FN2" s="297">
        <v>134</v>
      </c>
      <c r="FO2" s="297">
        <v>0</v>
      </c>
      <c r="FP2" s="297">
        <v>0</v>
      </c>
      <c r="FQ2" s="297">
        <v>0</v>
      </c>
      <c r="FR2" s="297">
        <v>0</v>
      </c>
      <c r="FS2" s="297">
        <v>0</v>
      </c>
      <c r="FT2" s="297">
        <v>0</v>
      </c>
      <c r="FU2" s="297">
        <v>0</v>
      </c>
      <c r="FV2" s="297">
        <v>0</v>
      </c>
      <c r="FW2" s="297">
        <v>27</v>
      </c>
      <c r="FX2" s="297">
        <v>24</v>
      </c>
      <c r="FY2" s="297">
        <v>55</v>
      </c>
      <c r="FZ2" s="297">
        <v>3</v>
      </c>
      <c r="GA2" s="297">
        <v>1</v>
      </c>
      <c r="GB2" s="297">
        <v>1</v>
      </c>
      <c r="GC2" s="297">
        <v>0</v>
      </c>
      <c r="GD2" s="297">
        <v>5.5</v>
      </c>
      <c r="GE2" s="297">
        <v>0</v>
      </c>
      <c r="GF2" s="297">
        <v>0</v>
      </c>
      <c r="GG2" s="297" t="s">
        <v>1070</v>
      </c>
      <c r="GH2" s="302">
        <v>6.85</v>
      </c>
    </row>
    <row r="3" spans="1:190" ht="24.95" customHeight="1" thickBot="1" x14ac:dyDescent="0.3">
      <c r="A3" s="29" t="str">
        <f t="shared" si="0"/>
        <v>2º</v>
      </c>
      <c r="B3" s="69" t="str">
        <f t="shared" si="1"/>
        <v>Gustavo Martins</v>
      </c>
      <c r="C3" s="86" t="str">
        <f t="shared" si="2"/>
        <v>BRA</v>
      </c>
      <c r="D3" s="36" t="str">
        <f t="shared" si="3"/>
        <v>Grêmio</v>
      </c>
      <c r="E3" s="36">
        <f t="shared" si="4"/>
        <v>24</v>
      </c>
      <c r="F3" s="344" t="str">
        <f t="shared" si="5"/>
        <v>16,5m € p/m</v>
      </c>
      <c r="G3" s="96">
        <f t="shared" si="6"/>
        <v>41.534074074074077</v>
      </c>
      <c r="H3" s="197">
        <f t="shared" si="7"/>
        <v>40.888888888888886</v>
      </c>
      <c r="I3" s="197">
        <f t="shared" si="8"/>
        <v>43</v>
      </c>
      <c r="J3" s="197">
        <f t="shared" si="9"/>
        <v>85.581395348837205</v>
      </c>
      <c r="K3" s="198">
        <f t="shared" si="10"/>
        <v>0.93</v>
      </c>
      <c r="L3" s="6">
        <f t="shared" si="11"/>
        <v>0</v>
      </c>
      <c r="M3" s="24">
        <f t="shared" si="12"/>
        <v>5400</v>
      </c>
      <c r="N3" s="21">
        <f t="shared" si="13"/>
        <v>0</v>
      </c>
      <c r="O3" s="58">
        <f t="shared" si="14"/>
        <v>0</v>
      </c>
      <c r="P3" s="58">
        <f t="shared" si="15"/>
        <v>0</v>
      </c>
      <c r="Q3" s="58">
        <f t="shared" si="16"/>
        <v>0</v>
      </c>
      <c r="R3" s="76">
        <f t="shared" si="17"/>
        <v>0</v>
      </c>
      <c r="S3" s="76">
        <f t="shared" si="18"/>
        <v>0</v>
      </c>
      <c r="T3" s="76">
        <f t="shared" si="19"/>
        <v>0</v>
      </c>
      <c r="U3" s="76">
        <f t="shared" si="20"/>
        <v>2.72</v>
      </c>
      <c r="V3" s="76">
        <f t="shared" si="21"/>
        <v>2.72</v>
      </c>
      <c r="W3" s="76">
        <f t="shared" si="22"/>
        <v>6.6521739130434798E-2</v>
      </c>
      <c r="X3" s="76">
        <f t="shared" si="23"/>
        <v>1.91</v>
      </c>
      <c r="Y3" s="76">
        <f t="shared" si="24"/>
        <v>4.671195652173913E-2</v>
      </c>
      <c r="Z3" s="76">
        <f t="shared" si="25"/>
        <v>4.63</v>
      </c>
      <c r="AA3" s="76">
        <f t="shared" si="26"/>
        <v>0.11323369565217392</v>
      </c>
      <c r="AB3" s="6">
        <f t="shared" si="27"/>
        <v>30</v>
      </c>
      <c r="AC3" s="5">
        <f t="shared" si="28"/>
        <v>0.73369565217391308</v>
      </c>
      <c r="AD3" s="6">
        <f t="shared" si="29"/>
        <v>7</v>
      </c>
      <c r="AE3" s="5">
        <f t="shared" si="30"/>
        <v>0.17119565217391305</v>
      </c>
      <c r="AF3" s="21">
        <f t="shared" si="31"/>
        <v>0.23333333333333334</v>
      </c>
      <c r="AG3" s="76">
        <f t="shared" si="32"/>
        <v>50</v>
      </c>
      <c r="AH3" s="76">
        <f t="shared" si="33"/>
        <v>50</v>
      </c>
      <c r="AI3" s="20">
        <f t="shared" si="34"/>
        <v>0</v>
      </c>
      <c r="AJ3" s="76">
        <f t="shared" si="35"/>
        <v>122.66666666666667</v>
      </c>
      <c r="AK3" s="76">
        <f t="shared" si="36"/>
        <v>525.71428571428567</v>
      </c>
      <c r="AL3" s="76">
        <f t="shared" si="37"/>
        <v>3680</v>
      </c>
      <c r="AM3" s="76">
        <f t="shared" si="38"/>
        <v>3680</v>
      </c>
      <c r="AN3" s="5">
        <f t="shared" si="39"/>
        <v>-2.72</v>
      </c>
      <c r="AO3" s="5">
        <f t="shared" si="40"/>
        <v>-2.72</v>
      </c>
      <c r="AP3" s="75">
        <f t="shared" si="41"/>
        <v>0</v>
      </c>
      <c r="AQ3" s="76">
        <f t="shared" si="42"/>
        <v>0</v>
      </c>
      <c r="AR3" s="75">
        <f t="shared" si="43"/>
        <v>268</v>
      </c>
      <c r="AS3" s="75">
        <f t="shared" si="44"/>
        <v>207</v>
      </c>
      <c r="AT3" s="75">
        <f t="shared" si="45"/>
        <v>61</v>
      </c>
      <c r="AU3" s="76">
        <f t="shared" si="46"/>
        <v>5.0625</v>
      </c>
      <c r="AV3" s="79">
        <f t="shared" si="47"/>
        <v>0.77238805970149249</v>
      </c>
      <c r="AW3" s="75">
        <f t="shared" si="48"/>
        <v>55</v>
      </c>
      <c r="AX3" s="75">
        <f t="shared" si="49"/>
        <v>31</v>
      </c>
      <c r="AY3" s="75">
        <f t="shared" si="50"/>
        <v>6</v>
      </c>
      <c r="AZ3" s="76">
        <f t="shared" si="51"/>
        <v>0.75815217391304357</v>
      </c>
      <c r="BA3" s="76">
        <f t="shared" si="52"/>
        <v>0.14673913043478262</v>
      </c>
      <c r="BB3" s="79">
        <f t="shared" si="53"/>
        <v>0.5636363636363636</v>
      </c>
      <c r="BC3" s="273">
        <f t="shared" si="54"/>
        <v>18</v>
      </c>
      <c r="BD3" s="272">
        <f t="shared" si="55"/>
        <v>0.44021739130434784</v>
      </c>
      <c r="BE3" s="273">
        <f t="shared" si="56"/>
        <v>5</v>
      </c>
      <c r="BF3" s="272">
        <f t="shared" si="57"/>
        <v>0.12228260869565219</v>
      </c>
      <c r="BG3" s="273">
        <f t="shared" si="58"/>
        <v>0</v>
      </c>
      <c r="BH3" s="272">
        <f t="shared" si="59"/>
        <v>0</v>
      </c>
      <c r="BI3" s="273">
        <f t="shared" si="60"/>
        <v>5</v>
      </c>
      <c r="BJ3" s="79">
        <f t="shared" si="61"/>
        <v>0.27777777777777779</v>
      </c>
      <c r="BK3" s="76">
        <f t="shared" si="62"/>
        <v>7.1999999999999993</v>
      </c>
      <c r="BL3" s="75">
        <f t="shared" si="63"/>
        <v>83</v>
      </c>
      <c r="BM3" s="75">
        <f t="shared" si="64"/>
        <v>26</v>
      </c>
      <c r="BN3" s="160">
        <f t="shared" si="65"/>
        <v>0.31325301204819278</v>
      </c>
      <c r="BO3" s="75">
        <f t="shared" si="66"/>
        <v>414</v>
      </c>
      <c r="BP3" s="76">
        <f t="shared" si="67"/>
        <v>10.125</v>
      </c>
      <c r="BQ3" s="75">
        <f t="shared" si="68"/>
        <v>272</v>
      </c>
      <c r="BR3" s="76">
        <f t="shared" si="69"/>
        <v>6.6521739130434785</v>
      </c>
      <c r="BS3" s="160">
        <f t="shared" si="70"/>
        <v>0.65700483091787443</v>
      </c>
      <c r="BT3" s="75">
        <f t="shared" si="71"/>
        <v>265</v>
      </c>
      <c r="BU3" s="76">
        <f t="shared" si="72"/>
        <v>6.4809782608695654</v>
      </c>
      <c r="BV3" s="75">
        <f t="shared" si="73"/>
        <v>69</v>
      </c>
      <c r="BW3" s="76">
        <f t="shared" si="74"/>
        <v>1.6875000000000002</v>
      </c>
      <c r="BX3" s="317">
        <f t="shared" si="75"/>
        <v>0</v>
      </c>
      <c r="BY3" s="318">
        <f t="shared" si="76"/>
        <v>0</v>
      </c>
      <c r="BZ3" s="317">
        <f t="shared" si="77"/>
        <v>0</v>
      </c>
      <c r="CA3" s="318">
        <f t="shared" si="78"/>
        <v>0</v>
      </c>
      <c r="CB3" s="364">
        <f t="shared" si="79"/>
        <v>0</v>
      </c>
      <c r="CC3" s="317">
        <f t="shared" si="80"/>
        <v>0</v>
      </c>
      <c r="CD3" s="317">
        <f t="shared" si="81"/>
        <v>0</v>
      </c>
      <c r="CE3" s="365">
        <f t="shared" si="82"/>
        <v>0</v>
      </c>
      <c r="CF3" s="363">
        <f t="shared" si="83"/>
        <v>1E-8</v>
      </c>
      <c r="CG3" s="75">
        <f t="shared" si="84"/>
        <v>54.088888888888889</v>
      </c>
      <c r="CH3" s="76">
        <f t="shared" si="85"/>
        <v>1.3228260869565218</v>
      </c>
      <c r="CI3" s="75">
        <f t="shared" si="86"/>
        <v>22</v>
      </c>
      <c r="CJ3" s="76">
        <f t="shared" si="87"/>
        <v>0.53804347826086962</v>
      </c>
      <c r="CK3" s="79">
        <f t="shared" si="88"/>
        <v>0.4067378800328677</v>
      </c>
      <c r="CL3" s="75">
        <f t="shared" si="89"/>
        <v>583</v>
      </c>
      <c r="CM3" s="76">
        <f t="shared" si="90"/>
        <v>14.258152173913045</v>
      </c>
      <c r="CN3" s="75">
        <f t="shared" si="91"/>
        <v>503</v>
      </c>
      <c r="CO3" s="76">
        <f t="shared" si="92"/>
        <v>12.301630434782609</v>
      </c>
      <c r="CP3" s="79">
        <f t="shared" si="93"/>
        <v>0.86277873070325906</v>
      </c>
      <c r="CQ3" s="83">
        <f t="shared" si="94"/>
        <v>2775.088888888889</v>
      </c>
      <c r="CR3" s="83">
        <f t="shared" si="95"/>
        <v>2521</v>
      </c>
      <c r="CS3" s="84">
        <f t="shared" si="96"/>
        <v>0.90843936930949154</v>
      </c>
      <c r="CT3" s="75">
        <f t="shared" si="97"/>
        <v>1</v>
      </c>
      <c r="CU3" s="76">
        <f t="shared" si="98"/>
        <v>2.4456521739130436E-2</v>
      </c>
      <c r="CV3" s="75">
        <f t="shared" si="99"/>
        <v>14</v>
      </c>
      <c r="CW3" s="76">
        <f t="shared" si="100"/>
        <v>0.34239130434782611</v>
      </c>
      <c r="CX3" s="75">
        <f t="shared" si="101"/>
        <v>44</v>
      </c>
      <c r="CY3" s="76">
        <f t="shared" si="102"/>
        <v>1.0760869565217392</v>
      </c>
      <c r="CZ3" s="75">
        <f t="shared" si="103"/>
        <v>4.0888888888888886</v>
      </c>
      <c r="DA3" s="76">
        <f t="shared" si="104"/>
        <v>0.1</v>
      </c>
      <c r="DB3" s="75">
        <f t="shared" si="105"/>
        <v>2651</v>
      </c>
      <c r="DC3" s="76">
        <f t="shared" si="106"/>
        <v>64.834239130434781</v>
      </c>
      <c r="DD3" s="75">
        <f t="shared" si="107"/>
        <v>22</v>
      </c>
      <c r="DE3" s="6">
        <f t="shared" si="108"/>
        <v>0</v>
      </c>
      <c r="DF3" s="5">
        <f t="shared" si="109"/>
        <v>0</v>
      </c>
      <c r="DG3" s="6">
        <f t="shared" si="110"/>
        <v>12</v>
      </c>
      <c r="DH3" s="5">
        <f t="shared" si="111"/>
        <v>0.29347826086956524</v>
      </c>
      <c r="DI3" s="5">
        <f t="shared" si="112"/>
        <v>70</v>
      </c>
      <c r="DJ3" s="21">
        <f t="shared" si="113"/>
        <v>0</v>
      </c>
      <c r="DK3" s="5">
        <f t="shared" si="114"/>
        <v>1.91</v>
      </c>
      <c r="DL3" s="5">
        <f t="shared" si="115"/>
        <v>0.15916666666666665</v>
      </c>
      <c r="DM3" s="222">
        <f t="shared" si="116"/>
        <v>48</v>
      </c>
      <c r="DN3" s="223">
        <f t="shared" si="117"/>
        <v>1.173913043478261</v>
      </c>
      <c r="DO3" s="76">
        <f t="shared" si="118"/>
        <v>306.66666666666669</v>
      </c>
      <c r="DP3" s="76">
        <f>IFERROR(EN3/(FG3+ET3+#REF!),700)</f>
        <v>700</v>
      </c>
      <c r="DQ3" s="76">
        <f t="shared" si="119"/>
        <v>52.288043478260875</v>
      </c>
      <c r="DR3" s="76">
        <f t="shared" si="120"/>
        <v>48.815217391304351</v>
      </c>
      <c r="DS3" s="92">
        <f t="shared" si="121"/>
        <v>0.93358278765201119</v>
      </c>
      <c r="DT3" s="188">
        <f t="shared" si="122"/>
        <v>406.7</v>
      </c>
      <c r="DU3" s="207">
        <f t="shared" si="123"/>
        <v>9.9464673913043491</v>
      </c>
      <c r="DV3" s="209">
        <f t="shared" si="124"/>
        <v>6.6309782608695658</v>
      </c>
      <c r="DW3" s="208">
        <f t="shared" si="125"/>
        <v>228.97777777777773</v>
      </c>
      <c r="DX3" s="76">
        <f t="shared" si="126"/>
        <v>5.6</v>
      </c>
      <c r="DY3" s="56">
        <f t="shared" si="127"/>
        <v>231</v>
      </c>
      <c r="DZ3" s="57">
        <f t="shared" si="128"/>
        <v>5.6494565217391308</v>
      </c>
      <c r="EA3" s="76">
        <f t="shared" si="129"/>
        <v>4</v>
      </c>
      <c r="EB3" s="57">
        <f t="shared" si="130"/>
        <v>283.35999999999996</v>
      </c>
      <c r="EC3" s="62">
        <f t="shared" si="131"/>
        <v>6.93</v>
      </c>
      <c r="ED3" s="299"/>
      <c r="EE3" s="295" t="s">
        <v>13</v>
      </c>
      <c r="EF3" s="295" t="s">
        <v>689</v>
      </c>
      <c r="EG3" s="295">
        <v>24</v>
      </c>
      <c r="EH3" s="295" t="s">
        <v>554</v>
      </c>
      <c r="EI3" s="295" t="s">
        <v>595</v>
      </c>
      <c r="EJ3" s="295" t="s">
        <v>643</v>
      </c>
      <c r="EK3" s="295" t="s">
        <v>690</v>
      </c>
      <c r="EL3" s="295" t="s">
        <v>691</v>
      </c>
      <c r="EM3" s="296">
        <v>47483</v>
      </c>
      <c r="EN3" s="295">
        <v>3680</v>
      </c>
      <c r="EO3" s="295" t="s">
        <v>971</v>
      </c>
      <c r="EP3" s="295">
        <v>0</v>
      </c>
      <c r="EQ3" s="295">
        <v>0</v>
      </c>
      <c r="ER3" s="295">
        <v>0</v>
      </c>
      <c r="ES3" s="295">
        <v>3</v>
      </c>
      <c r="ET3" s="295">
        <v>2</v>
      </c>
      <c r="EU3" s="295">
        <v>11.2</v>
      </c>
      <c r="EV3" s="295">
        <v>4</v>
      </c>
      <c r="EW3" s="295" t="s">
        <v>960</v>
      </c>
      <c r="EX3" s="295" t="s">
        <v>939</v>
      </c>
      <c r="EY3" s="295">
        <v>18</v>
      </c>
      <c r="EZ3" s="295">
        <v>3</v>
      </c>
      <c r="FA3" s="295">
        <v>2138</v>
      </c>
      <c r="FB3" s="295">
        <v>1996</v>
      </c>
      <c r="FC3" s="295">
        <v>12</v>
      </c>
      <c r="FD3" s="295">
        <v>166</v>
      </c>
      <c r="FE3" s="295">
        <v>1</v>
      </c>
      <c r="FF3" s="295">
        <v>30</v>
      </c>
      <c r="FG3" s="295">
        <v>7</v>
      </c>
      <c r="FH3" s="295">
        <v>268</v>
      </c>
      <c r="FI3" s="295">
        <v>207</v>
      </c>
      <c r="FJ3" s="295">
        <v>83</v>
      </c>
      <c r="FK3" s="295">
        <v>26</v>
      </c>
      <c r="FL3" s="295">
        <v>37</v>
      </c>
      <c r="FM3" s="295">
        <v>31</v>
      </c>
      <c r="FN3" s="295">
        <v>144</v>
      </c>
      <c r="FO3" s="295">
        <v>5</v>
      </c>
      <c r="FP3" s="295">
        <v>0</v>
      </c>
      <c r="FQ3" s="295">
        <v>5</v>
      </c>
      <c r="FR3" s="295">
        <v>0</v>
      </c>
      <c r="FS3" s="295">
        <v>0</v>
      </c>
      <c r="FT3" s="295">
        <v>0.1</v>
      </c>
      <c r="FU3" s="295">
        <v>0</v>
      </c>
      <c r="FV3" s="295">
        <v>0</v>
      </c>
      <c r="FW3" s="295">
        <v>37</v>
      </c>
      <c r="FX3" s="295">
        <v>36</v>
      </c>
      <c r="FY3" s="295">
        <v>40</v>
      </c>
      <c r="FZ3" s="295">
        <v>8</v>
      </c>
      <c r="GA3" s="295">
        <v>5</v>
      </c>
      <c r="GB3" s="295">
        <v>0</v>
      </c>
      <c r="GC3" s="295">
        <v>1</v>
      </c>
      <c r="GD3" s="295">
        <v>5.6</v>
      </c>
      <c r="GE3" s="295">
        <v>0</v>
      </c>
      <c r="GF3" s="295">
        <v>0</v>
      </c>
      <c r="GG3" s="295" t="s">
        <v>1065</v>
      </c>
      <c r="GH3" s="300">
        <v>6.93</v>
      </c>
    </row>
    <row r="4" spans="1:190" ht="24.95" customHeight="1" thickBot="1" x14ac:dyDescent="0.3">
      <c r="A4" s="29" t="str">
        <f t="shared" si="0"/>
        <v>3º</v>
      </c>
      <c r="B4" s="69" t="str">
        <f t="shared" si="1"/>
        <v>Ignacio</v>
      </c>
      <c r="C4" s="86" t="str">
        <f t="shared" si="2"/>
        <v>BRA</v>
      </c>
      <c r="D4" s="36" t="str">
        <f t="shared" si="3"/>
        <v>Fluminense</v>
      </c>
      <c r="E4" s="36">
        <f t="shared" si="4"/>
        <v>29</v>
      </c>
      <c r="F4" s="344" t="str">
        <f t="shared" si="5"/>
        <v>6,5m € p/m</v>
      </c>
      <c r="G4" s="96">
        <f t="shared" si="6"/>
        <v>41.534074074074077</v>
      </c>
      <c r="H4" s="197">
        <f t="shared" si="7"/>
        <v>40.733333333333334</v>
      </c>
      <c r="I4" s="197">
        <f t="shared" si="8"/>
        <v>40</v>
      </c>
      <c r="J4" s="197">
        <f t="shared" si="9"/>
        <v>91.65</v>
      </c>
      <c r="K4" s="198">
        <f t="shared" si="10"/>
        <v>0.93</v>
      </c>
      <c r="L4" s="6">
        <f t="shared" si="11"/>
        <v>0</v>
      </c>
      <c r="M4" s="24">
        <f t="shared" si="12"/>
        <v>5400</v>
      </c>
      <c r="N4" s="21">
        <f t="shared" si="13"/>
        <v>0</v>
      </c>
      <c r="O4" s="58">
        <f t="shared" si="14"/>
        <v>1</v>
      </c>
      <c r="P4" s="58">
        <f t="shared" si="15"/>
        <v>1</v>
      </c>
      <c r="Q4" s="58">
        <f t="shared" si="16"/>
        <v>2</v>
      </c>
      <c r="R4" s="76">
        <f t="shared" si="17"/>
        <v>2.4549918166939442E-2</v>
      </c>
      <c r="S4" s="76">
        <f t="shared" si="18"/>
        <v>2.4549918166939442E-2</v>
      </c>
      <c r="T4" s="76">
        <f t="shared" si="19"/>
        <v>4.9099836333878884E-2</v>
      </c>
      <c r="U4" s="76">
        <f t="shared" si="20"/>
        <v>2.59</v>
      </c>
      <c r="V4" s="76">
        <f t="shared" si="21"/>
        <v>2.59</v>
      </c>
      <c r="W4" s="76">
        <f t="shared" si="22"/>
        <v>6.358428805237315E-2</v>
      </c>
      <c r="X4" s="76">
        <f t="shared" si="23"/>
        <v>0.56000000000000005</v>
      </c>
      <c r="Y4" s="76">
        <f t="shared" si="24"/>
        <v>1.374795417348609E-2</v>
      </c>
      <c r="Z4" s="76">
        <f t="shared" si="25"/>
        <v>3.15</v>
      </c>
      <c r="AA4" s="76">
        <f t="shared" si="26"/>
        <v>7.7332242225859243E-2</v>
      </c>
      <c r="AB4" s="6">
        <f t="shared" si="27"/>
        <v>25</v>
      </c>
      <c r="AC4" s="5">
        <f t="shared" si="28"/>
        <v>0.61374795417348604</v>
      </c>
      <c r="AD4" s="6">
        <f t="shared" si="29"/>
        <v>10</v>
      </c>
      <c r="AE4" s="5">
        <f t="shared" si="30"/>
        <v>0.24549918166939444</v>
      </c>
      <c r="AF4" s="21">
        <f t="shared" si="31"/>
        <v>0.4</v>
      </c>
      <c r="AG4" s="76">
        <f t="shared" si="32"/>
        <v>25</v>
      </c>
      <c r="AH4" s="76">
        <f t="shared" si="33"/>
        <v>10</v>
      </c>
      <c r="AI4" s="20">
        <f t="shared" si="34"/>
        <v>0.04</v>
      </c>
      <c r="AJ4" s="76">
        <f t="shared" si="35"/>
        <v>146.63999999999999</v>
      </c>
      <c r="AK4" s="76">
        <f t="shared" si="36"/>
        <v>366.6</v>
      </c>
      <c r="AL4" s="76">
        <f t="shared" si="37"/>
        <v>3666</v>
      </c>
      <c r="AM4" s="76">
        <f t="shared" si="38"/>
        <v>1833</v>
      </c>
      <c r="AN4" s="5">
        <f t="shared" si="39"/>
        <v>-1.5899999999999999</v>
      </c>
      <c r="AO4" s="5">
        <f t="shared" si="40"/>
        <v>-1.5899999999999999</v>
      </c>
      <c r="AP4" s="75">
        <f t="shared" si="41"/>
        <v>0</v>
      </c>
      <c r="AQ4" s="76">
        <f t="shared" si="42"/>
        <v>0</v>
      </c>
      <c r="AR4" s="75">
        <f t="shared" si="43"/>
        <v>272</v>
      </c>
      <c r="AS4" s="75">
        <f t="shared" si="44"/>
        <v>204</v>
      </c>
      <c r="AT4" s="75">
        <f t="shared" si="45"/>
        <v>68</v>
      </c>
      <c r="AU4" s="76">
        <f t="shared" si="46"/>
        <v>5.0081833060556464</v>
      </c>
      <c r="AV4" s="79">
        <f t="shared" si="47"/>
        <v>0.75</v>
      </c>
      <c r="AW4" s="75">
        <f t="shared" si="48"/>
        <v>52</v>
      </c>
      <c r="AX4" s="75">
        <f t="shared" si="49"/>
        <v>30</v>
      </c>
      <c r="AY4" s="75">
        <f t="shared" si="50"/>
        <v>8</v>
      </c>
      <c r="AZ4" s="76">
        <f t="shared" si="51"/>
        <v>0.73649754500818332</v>
      </c>
      <c r="BA4" s="76">
        <f t="shared" si="52"/>
        <v>0.19639934533551553</v>
      </c>
      <c r="BB4" s="79">
        <f t="shared" si="53"/>
        <v>0.57692307692307687</v>
      </c>
      <c r="BC4" s="273">
        <f t="shared" si="54"/>
        <v>14</v>
      </c>
      <c r="BD4" s="272">
        <f t="shared" si="55"/>
        <v>0.34369885433715219</v>
      </c>
      <c r="BE4" s="273">
        <f t="shared" si="56"/>
        <v>2</v>
      </c>
      <c r="BF4" s="272">
        <f t="shared" si="57"/>
        <v>4.9099836333878884E-2</v>
      </c>
      <c r="BG4" s="273">
        <f t="shared" si="58"/>
        <v>0</v>
      </c>
      <c r="BH4" s="272">
        <f t="shared" si="59"/>
        <v>0</v>
      </c>
      <c r="BI4" s="273">
        <f t="shared" si="60"/>
        <v>2</v>
      </c>
      <c r="BJ4" s="79">
        <f t="shared" si="61"/>
        <v>0.14285714285714285</v>
      </c>
      <c r="BK4" s="76">
        <f t="shared" si="62"/>
        <v>8</v>
      </c>
      <c r="BL4" s="75">
        <f t="shared" si="63"/>
        <v>120</v>
      </c>
      <c r="BM4" s="75">
        <f t="shared" si="64"/>
        <v>35</v>
      </c>
      <c r="BN4" s="160">
        <f t="shared" si="65"/>
        <v>0.29166666666666669</v>
      </c>
      <c r="BO4" s="75">
        <f t="shared" si="66"/>
        <v>450</v>
      </c>
      <c r="BP4" s="76">
        <f t="shared" si="67"/>
        <v>11.047463175122749</v>
      </c>
      <c r="BQ4" s="75">
        <f t="shared" si="68"/>
        <v>275</v>
      </c>
      <c r="BR4" s="76">
        <f t="shared" si="69"/>
        <v>6.7512274959083465</v>
      </c>
      <c r="BS4" s="160">
        <f t="shared" si="70"/>
        <v>0.61111111111111116</v>
      </c>
      <c r="BT4" s="75">
        <f t="shared" si="71"/>
        <v>243</v>
      </c>
      <c r="BU4" s="76">
        <f t="shared" si="72"/>
        <v>5.9656301145662844</v>
      </c>
      <c r="BV4" s="75">
        <f t="shared" si="73"/>
        <v>74</v>
      </c>
      <c r="BW4" s="76">
        <f t="shared" si="74"/>
        <v>1.8166939443535188</v>
      </c>
      <c r="BX4" s="317">
        <f t="shared" si="75"/>
        <v>0</v>
      </c>
      <c r="BY4" s="318">
        <f t="shared" si="76"/>
        <v>0</v>
      </c>
      <c r="BZ4" s="317">
        <f t="shared" si="77"/>
        <v>0</v>
      </c>
      <c r="CA4" s="318">
        <f t="shared" si="78"/>
        <v>0</v>
      </c>
      <c r="CB4" s="364">
        <f t="shared" si="79"/>
        <v>0</v>
      </c>
      <c r="CC4" s="317">
        <f t="shared" si="80"/>
        <v>0</v>
      </c>
      <c r="CD4" s="317">
        <f t="shared" si="81"/>
        <v>0</v>
      </c>
      <c r="CE4" s="365">
        <f t="shared" si="82"/>
        <v>0</v>
      </c>
      <c r="CF4" s="363">
        <f t="shared" si="83"/>
        <v>1E-8</v>
      </c>
      <c r="CG4" s="75">
        <f t="shared" si="84"/>
        <v>41</v>
      </c>
      <c r="CH4" s="76">
        <f t="shared" si="85"/>
        <v>1.0065466448445171</v>
      </c>
      <c r="CI4" s="75">
        <f t="shared" si="86"/>
        <v>24</v>
      </c>
      <c r="CJ4" s="76">
        <f t="shared" si="87"/>
        <v>0.58919803600654663</v>
      </c>
      <c r="CK4" s="79">
        <f t="shared" si="88"/>
        <v>0.58536585365853655</v>
      </c>
      <c r="CL4" s="75">
        <f t="shared" si="89"/>
        <v>567</v>
      </c>
      <c r="CM4" s="76">
        <f t="shared" si="90"/>
        <v>13.919803600654664</v>
      </c>
      <c r="CN4" s="75">
        <f t="shared" si="91"/>
        <v>477</v>
      </c>
      <c r="CO4" s="76">
        <f t="shared" si="92"/>
        <v>11.710310965630114</v>
      </c>
      <c r="CP4" s="79">
        <f t="shared" si="93"/>
        <v>0.84126984126984128</v>
      </c>
      <c r="CQ4" s="83">
        <f t="shared" si="94"/>
        <v>2372</v>
      </c>
      <c r="CR4" s="83">
        <f t="shared" si="95"/>
        <v>2082</v>
      </c>
      <c r="CS4" s="84">
        <f t="shared" si="96"/>
        <v>0.87774030354131538</v>
      </c>
      <c r="CT4" s="75">
        <f t="shared" si="97"/>
        <v>0</v>
      </c>
      <c r="CU4" s="76">
        <f t="shared" si="98"/>
        <v>0</v>
      </c>
      <c r="CV4" s="75">
        <f t="shared" si="99"/>
        <v>14</v>
      </c>
      <c r="CW4" s="76">
        <f t="shared" si="100"/>
        <v>0.34369885433715219</v>
      </c>
      <c r="CX4" s="75">
        <f t="shared" si="101"/>
        <v>39</v>
      </c>
      <c r="CY4" s="76">
        <f t="shared" si="102"/>
        <v>0.95744680851063824</v>
      </c>
      <c r="CZ4" s="75">
        <f t="shared" si="103"/>
        <v>0</v>
      </c>
      <c r="DA4" s="76">
        <f t="shared" si="104"/>
        <v>0</v>
      </c>
      <c r="DB4" s="75">
        <f t="shared" si="105"/>
        <v>2265</v>
      </c>
      <c r="DC4" s="76">
        <f t="shared" si="106"/>
        <v>55.605564648117841</v>
      </c>
      <c r="DD4" s="75">
        <f t="shared" si="107"/>
        <v>27</v>
      </c>
      <c r="DE4" s="6">
        <f t="shared" si="108"/>
        <v>0</v>
      </c>
      <c r="DF4" s="5">
        <f t="shared" si="109"/>
        <v>0</v>
      </c>
      <c r="DG4" s="6">
        <f t="shared" si="110"/>
        <v>13</v>
      </c>
      <c r="DH4" s="5">
        <f t="shared" si="111"/>
        <v>0.31914893617021278</v>
      </c>
      <c r="DI4" s="5">
        <f t="shared" si="112"/>
        <v>13</v>
      </c>
      <c r="DJ4" s="21">
        <f t="shared" si="113"/>
        <v>7.6923076923076927E-2</v>
      </c>
      <c r="DK4" s="5">
        <f t="shared" si="114"/>
        <v>-0.43999999999999995</v>
      </c>
      <c r="DL4" s="5">
        <f t="shared" si="115"/>
        <v>4.3076923076923082E-2</v>
      </c>
      <c r="DM4" s="222">
        <f t="shared" si="116"/>
        <v>40</v>
      </c>
      <c r="DN4" s="223">
        <f t="shared" si="117"/>
        <v>0.98199672667757776</v>
      </c>
      <c r="DO4" s="76">
        <f t="shared" si="118"/>
        <v>282</v>
      </c>
      <c r="DP4" s="76">
        <f>IFERROR(EN4/(FG4+ET4+#REF!),700)</f>
        <v>700</v>
      </c>
      <c r="DQ4" s="76">
        <f t="shared" si="119"/>
        <v>43.306055646481177</v>
      </c>
      <c r="DR4" s="76">
        <f t="shared" si="120"/>
        <v>38.813420621931257</v>
      </c>
      <c r="DS4" s="92">
        <f t="shared" si="121"/>
        <v>0.8962585034013606</v>
      </c>
      <c r="DT4" s="188">
        <f t="shared" si="122"/>
        <v>414.1</v>
      </c>
      <c r="DU4" s="207">
        <f t="shared" si="123"/>
        <v>10.166121112929623</v>
      </c>
      <c r="DV4" s="209">
        <f t="shared" si="124"/>
        <v>6.7774140752864156</v>
      </c>
      <c r="DW4" s="208">
        <f t="shared" si="125"/>
        <v>228.10666666666665</v>
      </c>
      <c r="DX4" s="76">
        <f t="shared" si="126"/>
        <v>5.6</v>
      </c>
      <c r="DY4" s="56">
        <f t="shared" si="127"/>
        <v>268</v>
      </c>
      <c r="DZ4" s="57">
        <f t="shared" si="128"/>
        <v>6.5793780687397705</v>
      </c>
      <c r="EA4" s="76">
        <f t="shared" si="129"/>
        <v>4.3</v>
      </c>
      <c r="EB4" s="57">
        <f t="shared" si="130"/>
        <v>283.50400000000002</v>
      </c>
      <c r="EC4" s="62">
        <f t="shared" si="131"/>
        <v>6.96</v>
      </c>
      <c r="ED4" s="299"/>
      <c r="EE4" s="295" t="s">
        <v>13</v>
      </c>
      <c r="EF4" s="295" t="s">
        <v>987</v>
      </c>
      <c r="EG4" s="295">
        <v>29</v>
      </c>
      <c r="EH4" s="295" t="s">
        <v>582</v>
      </c>
      <c r="EI4" s="295" t="s">
        <v>681</v>
      </c>
      <c r="EJ4" s="295" t="s">
        <v>643</v>
      </c>
      <c r="EK4" s="295" t="s">
        <v>687</v>
      </c>
      <c r="EL4" s="295" t="s">
        <v>842</v>
      </c>
      <c r="EM4" s="296">
        <v>46934</v>
      </c>
      <c r="EN4" s="295">
        <v>3666</v>
      </c>
      <c r="EO4" s="295" t="s">
        <v>1063</v>
      </c>
      <c r="EP4" s="295">
        <v>0</v>
      </c>
      <c r="EQ4" s="295">
        <v>1</v>
      </c>
      <c r="ER4" s="295">
        <v>1</v>
      </c>
      <c r="ES4" s="295">
        <v>14</v>
      </c>
      <c r="ET4" s="295">
        <v>1</v>
      </c>
      <c r="EU4" s="295">
        <v>12.3</v>
      </c>
      <c r="EV4" s="295">
        <v>4.3</v>
      </c>
      <c r="EW4" s="295" t="s">
        <v>959</v>
      </c>
      <c r="EX4" s="295" t="s">
        <v>995</v>
      </c>
      <c r="EY4" s="295">
        <v>14</v>
      </c>
      <c r="EZ4" s="295">
        <v>2</v>
      </c>
      <c r="FA4" s="295">
        <v>1764</v>
      </c>
      <c r="FB4" s="295">
        <v>1581</v>
      </c>
      <c r="FC4" s="295">
        <v>13</v>
      </c>
      <c r="FD4" s="295">
        <v>113</v>
      </c>
      <c r="FE4" s="295">
        <v>0</v>
      </c>
      <c r="FF4" s="295">
        <v>25</v>
      </c>
      <c r="FG4" s="295">
        <v>10</v>
      </c>
      <c r="FH4" s="295">
        <v>272</v>
      </c>
      <c r="FI4" s="295">
        <v>204</v>
      </c>
      <c r="FJ4" s="295">
        <v>120</v>
      </c>
      <c r="FK4" s="295">
        <v>35</v>
      </c>
      <c r="FL4" s="295">
        <v>38</v>
      </c>
      <c r="FM4" s="295">
        <v>30</v>
      </c>
      <c r="FN4" s="295">
        <v>131</v>
      </c>
      <c r="FO4" s="295">
        <v>2</v>
      </c>
      <c r="FP4" s="295">
        <v>0</v>
      </c>
      <c r="FQ4" s="295">
        <v>2</v>
      </c>
      <c r="FR4" s="295">
        <v>0</v>
      </c>
      <c r="FS4" s="295">
        <v>0</v>
      </c>
      <c r="FT4" s="295">
        <v>0</v>
      </c>
      <c r="FU4" s="295">
        <v>0</v>
      </c>
      <c r="FV4" s="295">
        <v>0</v>
      </c>
      <c r="FW4" s="295">
        <v>37</v>
      </c>
      <c r="FX4" s="295">
        <v>28</v>
      </c>
      <c r="FY4" s="295">
        <v>41</v>
      </c>
      <c r="FZ4" s="295">
        <v>6</v>
      </c>
      <c r="GA4" s="295">
        <v>2</v>
      </c>
      <c r="GB4" s="295">
        <v>0</v>
      </c>
      <c r="GC4" s="295">
        <v>2</v>
      </c>
      <c r="GD4" s="295">
        <v>5.6</v>
      </c>
      <c r="GE4" s="295">
        <v>0</v>
      </c>
      <c r="GF4" s="295">
        <v>0</v>
      </c>
      <c r="GG4" s="295" t="s">
        <v>1064</v>
      </c>
      <c r="GH4" s="300">
        <v>6.96</v>
      </c>
    </row>
    <row r="5" spans="1:190" ht="24.95" customHeight="1" thickBot="1" x14ac:dyDescent="0.3">
      <c r="A5" s="29" t="str">
        <f t="shared" ref="A5:A16" si="132">ROW()-1 &amp; "º"</f>
        <v>4º</v>
      </c>
      <c r="B5" s="69" t="str">
        <f t="shared" si="1"/>
        <v>Jean Lucas</v>
      </c>
      <c r="C5" s="86" t="str">
        <f t="shared" si="2"/>
        <v>BRA</v>
      </c>
      <c r="D5" s="36" t="str">
        <f t="shared" si="3"/>
        <v>Bahia</v>
      </c>
      <c r="E5" s="36">
        <f t="shared" si="4"/>
        <v>28</v>
      </c>
      <c r="F5" s="344" t="str">
        <f t="shared" si="5"/>
        <v>141m € p/m</v>
      </c>
      <c r="G5" s="96">
        <f t="shared" si="6"/>
        <v>41.534074074074077</v>
      </c>
      <c r="H5" s="197">
        <f t="shared" si="7"/>
        <v>38.611111111111114</v>
      </c>
      <c r="I5" s="197">
        <f t="shared" si="8"/>
        <v>48</v>
      </c>
      <c r="J5" s="197">
        <f t="shared" si="9"/>
        <v>72.395833333333329</v>
      </c>
      <c r="K5" s="198">
        <f t="shared" si="10"/>
        <v>0.92</v>
      </c>
      <c r="L5" s="6">
        <f t="shared" si="11"/>
        <v>2</v>
      </c>
      <c r="M5" s="24">
        <f t="shared" si="12"/>
        <v>1737.5</v>
      </c>
      <c r="N5" s="21">
        <f t="shared" si="13"/>
        <v>5.1798561151079135E-2</v>
      </c>
      <c r="O5" s="58">
        <f t="shared" si="14"/>
        <v>6</v>
      </c>
      <c r="P5" s="58">
        <f t="shared" si="15"/>
        <v>4</v>
      </c>
      <c r="Q5" s="58">
        <f t="shared" si="16"/>
        <v>10</v>
      </c>
      <c r="R5" s="76">
        <f t="shared" si="17"/>
        <v>0.1553956834532374</v>
      </c>
      <c r="S5" s="76">
        <f t="shared" si="18"/>
        <v>0.10359712230215827</v>
      </c>
      <c r="T5" s="76">
        <f t="shared" si="19"/>
        <v>0.25899280575539568</v>
      </c>
      <c r="U5" s="76">
        <f t="shared" si="20"/>
        <v>4.4000000000000004</v>
      </c>
      <c r="V5" s="76">
        <f t="shared" si="21"/>
        <v>4.4000000000000004</v>
      </c>
      <c r="W5" s="76">
        <f t="shared" si="22"/>
        <v>0.1139568345323741</v>
      </c>
      <c r="X5" s="76">
        <f t="shared" si="23"/>
        <v>4.53</v>
      </c>
      <c r="Y5" s="76">
        <f t="shared" si="24"/>
        <v>0.11732374100719424</v>
      </c>
      <c r="Z5" s="76">
        <f t="shared" si="25"/>
        <v>8.93</v>
      </c>
      <c r="AA5" s="76">
        <f t="shared" si="26"/>
        <v>0.23128057553956832</v>
      </c>
      <c r="AB5" s="6">
        <f t="shared" si="27"/>
        <v>66</v>
      </c>
      <c r="AC5" s="5">
        <f t="shared" si="28"/>
        <v>1.7093525179856113</v>
      </c>
      <c r="AD5" s="6">
        <f t="shared" si="29"/>
        <v>18</v>
      </c>
      <c r="AE5" s="5">
        <f t="shared" si="30"/>
        <v>0.4661870503597122</v>
      </c>
      <c r="AF5" s="21">
        <f t="shared" si="31"/>
        <v>0.27272727272727271</v>
      </c>
      <c r="AG5" s="76">
        <f t="shared" si="32"/>
        <v>11</v>
      </c>
      <c r="AH5" s="76">
        <f t="shared" si="33"/>
        <v>3</v>
      </c>
      <c r="AI5" s="20">
        <f t="shared" si="34"/>
        <v>9.0909090909090912E-2</v>
      </c>
      <c r="AJ5" s="76">
        <f t="shared" si="35"/>
        <v>52.651515151515149</v>
      </c>
      <c r="AK5" s="76">
        <f t="shared" si="36"/>
        <v>193.05555555555554</v>
      </c>
      <c r="AL5" s="76">
        <f t="shared" si="37"/>
        <v>579.16666666666663</v>
      </c>
      <c r="AM5" s="76">
        <f t="shared" si="38"/>
        <v>347.5</v>
      </c>
      <c r="AN5" s="5">
        <f t="shared" si="39"/>
        <v>1.5999999999999996</v>
      </c>
      <c r="AO5" s="5">
        <f t="shared" si="40"/>
        <v>1.5999999999999996</v>
      </c>
      <c r="AP5" s="75">
        <f t="shared" si="41"/>
        <v>2</v>
      </c>
      <c r="AQ5" s="76">
        <f t="shared" si="42"/>
        <v>5.1798561151079135E-2</v>
      </c>
      <c r="AR5" s="75">
        <f t="shared" si="43"/>
        <v>69</v>
      </c>
      <c r="AS5" s="75">
        <f t="shared" si="44"/>
        <v>31</v>
      </c>
      <c r="AT5" s="75">
        <f t="shared" si="45"/>
        <v>38</v>
      </c>
      <c r="AU5" s="76">
        <f t="shared" si="46"/>
        <v>0.80287769784172658</v>
      </c>
      <c r="AV5" s="79">
        <f t="shared" si="47"/>
        <v>0.44927536231884058</v>
      </c>
      <c r="AW5" s="75">
        <f t="shared" si="48"/>
        <v>100</v>
      </c>
      <c r="AX5" s="75">
        <f t="shared" si="49"/>
        <v>48</v>
      </c>
      <c r="AY5" s="75">
        <f t="shared" si="50"/>
        <v>12</v>
      </c>
      <c r="AZ5" s="76">
        <f t="shared" si="51"/>
        <v>1.2431654676258992</v>
      </c>
      <c r="BA5" s="76">
        <f t="shared" si="52"/>
        <v>0.3107913669064748</v>
      </c>
      <c r="BB5" s="79">
        <f t="shared" si="53"/>
        <v>0.48</v>
      </c>
      <c r="BC5" s="273">
        <f t="shared" si="54"/>
        <v>40</v>
      </c>
      <c r="BD5" s="272">
        <f t="shared" si="55"/>
        <v>1.0359712230215827</v>
      </c>
      <c r="BE5" s="273">
        <f t="shared" si="56"/>
        <v>2</v>
      </c>
      <c r="BF5" s="272">
        <f t="shared" si="57"/>
        <v>5.1798561151079135E-2</v>
      </c>
      <c r="BG5" s="273">
        <f t="shared" si="58"/>
        <v>1</v>
      </c>
      <c r="BH5" s="272">
        <f t="shared" si="59"/>
        <v>2.5899280575539568E-2</v>
      </c>
      <c r="BI5" s="273">
        <f t="shared" si="60"/>
        <v>3</v>
      </c>
      <c r="BJ5" s="79">
        <f t="shared" si="61"/>
        <v>7.4999999999999997E-2</v>
      </c>
      <c r="BK5" s="76">
        <f t="shared" si="62"/>
        <v>2.0999999999999996</v>
      </c>
      <c r="BL5" s="75">
        <f t="shared" si="63"/>
        <v>288</v>
      </c>
      <c r="BM5" s="75">
        <f t="shared" si="64"/>
        <v>62</v>
      </c>
      <c r="BN5" s="160">
        <f t="shared" si="65"/>
        <v>0.21527777777777779</v>
      </c>
      <c r="BO5" s="75">
        <f t="shared" si="66"/>
        <v>461</v>
      </c>
      <c r="BP5" s="76">
        <f t="shared" si="67"/>
        <v>11.939568345323741</v>
      </c>
      <c r="BQ5" s="75">
        <f t="shared" si="68"/>
        <v>145</v>
      </c>
      <c r="BR5" s="76">
        <f t="shared" si="69"/>
        <v>3.7553956834532372</v>
      </c>
      <c r="BS5" s="160">
        <f t="shared" si="70"/>
        <v>0.31453362255965295</v>
      </c>
      <c r="BT5" s="75">
        <f t="shared" si="71"/>
        <v>194</v>
      </c>
      <c r="BU5" s="76">
        <f t="shared" si="72"/>
        <v>5.0244604316546759</v>
      </c>
      <c r="BV5" s="75">
        <f t="shared" si="73"/>
        <v>116</v>
      </c>
      <c r="BW5" s="76">
        <f t="shared" si="74"/>
        <v>3.0043165467625896</v>
      </c>
      <c r="BX5" s="317">
        <f t="shared" si="75"/>
        <v>1</v>
      </c>
      <c r="BY5" s="318">
        <f t="shared" si="76"/>
        <v>2.5899280575539568E-2</v>
      </c>
      <c r="BZ5" s="317">
        <f t="shared" si="77"/>
        <v>1</v>
      </c>
      <c r="CA5" s="318">
        <f t="shared" si="78"/>
        <v>2.5899280575539568E-2</v>
      </c>
      <c r="CB5" s="364">
        <f t="shared" si="79"/>
        <v>1</v>
      </c>
      <c r="CC5" s="317">
        <f t="shared" si="80"/>
        <v>0</v>
      </c>
      <c r="CD5" s="317">
        <f t="shared" si="81"/>
        <v>0</v>
      </c>
      <c r="CE5" s="365">
        <f t="shared" si="82"/>
        <v>0</v>
      </c>
      <c r="CF5" s="363">
        <f t="shared" si="83"/>
        <v>1E-8</v>
      </c>
      <c r="CG5" s="75">
        <f t="shared" si="84"/>
        <v>190.61111111111111</v>
      </c>
      <c r="CH5" s="76">
        <f t="shared" si="85"/>
        <v>4.9366906474820142</v>
      </c>
      <c r="CI5" s="75">
        <f t="shared" si="86"/>
        <v>94</v>
      </c>
      <c r="CJ5" s="76">
        <f t="shared" si="87"/>
        <v>2.4345323741007192</v>
      </c>
      <c r="CK5" s="79">
        <f t="shared" si="88"/>
        <v>0.49315068493150682</v>
      </c>
      <c r="CL5" s="75">
        <f t="shared" si="89"/>
        <v>362</v>
      </c>
      <c r="CM5" s="76">
        <f t="shared" si="90"/>
        <v>9.3755395683453226</v>
      </c>
      <c r="CN5" s="75">
        <f t="shared" si="91"/>
        <v>273</v>
      </c>
      <c r="CO5" s="76">
        <f t="shared" si="92"/>
        <v>7.0705035971223014</v>
      </c>
      <c r="CP5" s="79">
        <f t="shared" si="93"/>
        <v>0.7541436464088398</v>
      </c>
      <c r="CQ5" s="83">
        <f t="shared" si="94"/>
        <v>2777.6111111111113</v>
      </c>
      <c r="CR5" s="83">
        <f t="shared" si="95"/>
        <v>2391</v>
      </c>
      <c r="CS5" s="84">
        <f t="shared" si="96"/>
        <v>0.86081164869892191</v>
      </c>
      <c r="CT5" s="75">
        <f t="shared" si="97"/>
        <v>12</v>
      </c>
      <c r="CU5" s="76">
        <f t="shared" si="98"/>
        <v>0.3107913669064748</v>
      </c>
      <c r="CV5" s="75">
        <f t="shared" si="99"/>
        <v>62</v>
      </c>
      <c r="CW5" s="76">
        <f t="shared" si="100"/>
        <v>1.6057553956834532</v>
      </c>
      <c r="CX5" s="75">
        <f t="shared" si="101"/>
        <v>121</v>
      </c>
      <c r="CY5" s="76">
        <f t="shared" si="102"/>
        <v>3.1338129496402876</v>
      </c>
      <c r="CZ5" s="75">
        <f t="shared" si="103"/>
        <v>38.611111111111114</v>
      </c>
      <c r="DA5" s="76">
        <f t="shared" si="104"/>
        <v>1</v>
      </c>
      <c r="DB5" s="75">
        <f t="shared" si="105"/>
        <v>2629</v>
      </c>
      <c r="DC5" s="76">
        <f t="shared" si="106"/>
        <v>68.08920863309352</v>
      </c>
      <c r="DD5" s="75">
        <f t="shared" si="107"/>
        <v>100</v>
      </c>
      <c r="DE5" s="6">
        <f t="shared" si="108"/>
        <v>0</v>
      </c>
      <c r="DF5" s="5">
        <f t="shared" si="109"/>
        <v>0</v>
      </c>
      <c r="DG5" s="6">
        <f t="shared" si="110"/>
        <v>44</v>
      </c>
      <c r="DH5" s="5">
        <f t="shared" si="111"/>
        <v>1.1395683453237409</v>
      </c>
      <c r="DI5" s="5">
        <f t="shared" si="112"/>
        <v>11</v>
      </c>
      <c r="DJ5" s="21">
        <f t="shared" si="113"/>
        <v>9.0909090909090912E-2</v>
      </c>
      <c r="DK5" s="5">
        <f t="shared" si="114"/>
        <v>0.53000000000000025</v>
      </c>
      <c r="DL5" s="5">
        <f t="shared" si="115"/>
        <v>0.10295454545454547</v>
      </c>
      <c r="DM5" s="222">
        <f t="shared" si="116"/>
        <v>139</v>
      </c>
      <c r="DN5" s="223">
        <f t="shared" si="117"/>
        <v>3.5999999999999996</v>
      </c>
      <c r="DO5" s="76">
        <f t="shared" si="118"/>
        <v>78.977272727272734</v>
      </c>
      <c r="DP5" s="76">
        <f>IFERROR(EN5/(FG5+ET5+#REF!),700)</f>
        <v>700</v>
      </c>
      <c r="DQ5" s="76">
        <f t="shared" si="119"/>
        <v>57.625899280575538</v>
      </c>
      <c r="DR5" s="76">
        <f t="shared" si="120"/>
        <v>52.420143884892084</v>
      </c>
      <c r="DS5" s="92">
        <f t="shared" si="121"/>
        <v>0.90966292134831461</v>
      </c>
      <c r="DT5" s="188">
        <f t="shared" si="122"/>
        <v>469.6</v>
      </c>
      <c r="DU5" s="207">
        <f t="shared" si="123"/>
        <v>12.162302158273381</v>
      </c>
      <c r="DV5" s="209">
        <f t="shared" si="124"/>
        <v>8.108201438848921</v>
      </c>
      <c r="DW5" s="208">
        <f t="shared" si="125"/>
        <v>459.47222222222229</v>
      </c>
      <c r="DX5" s="76">
        <f t="shared" si="126"/>
        <v>11.9</v>
      </c>
      <c r="DY5" s="56">
        <f t="shared" si="127"/>
        <v>297</v>
      </c>
      <c r="DZ5" s="57">
        <f t="shared" si="128"/>
        <v>7.6920863309352514</v>
      </c>
      <c r="EA5" s="76">
        <f t="shared" si="129"/>
        <v>6.6</v>
      </c>
      <c r="EB5" s="57">
        <f t="shared" si="130"/>
        <v>270.27777777777783</v>
      </c>
      <c r="EC5" s="62">
        <f t="shared" si="131"/>
        <v>7</v>
      </c>
      <c r="ED5" s="299" t="s">
        <v>927</v>
      </c>
      <c r="EE5" s="295" t="s">
        <v>13</v>
      </c>
      <c r="EF5" s="295" t="s">
        <v>1053</v>
      </c>
      <c r="EG5" s="295">
        <v>28</v>
      </c>
      <c r="EH5" s="295" t="s">
        <v>580</v>
      </c>
      <c r="EI5" s="295" t="s">
        <v>606</v>
      </c>
      <c r="EJ5" s="295" t="s">
        <v>643</v>
      </c>
      <c r="EK5" s="295" t="s">
        <v>942</v>
      </c>
      <c r="EL5" s="295" t="s">
        <v>926</v>
      </c>
      <c r="EM5" s="296">
        <v>47118</v>
      </c>
      <c r="EN5" s="295">
        <v>3475</v>
      </c>
      <c r="EO5" s="295" t="s">
        <v>1093</v>
      </c>
      <c r="EP5" s="295">
        <v>2</v>
      </c>
      <c r="EQ5" s="295">
        <v>6</v>
      </c>
      <c r="ER5" s="295">
        <v>4</v>
      </c>
      <c r="ES5" s="295">
        <v>11</v>
      </c>
      <c r="ET5" s="295">
        <v>11</v>
      </c>
      <c r="EU5" s="295">
        <v>8.6999999999999993</v>
      </c>
      <c r="EV5" s="295">
        <v>6.6</v>
      </c>
      <c r="EW5" s="295" t="s">
        <v>1094</v>
      </c>
      <c r="EX5" s="295" t="s">
        <v>949</v>
      </c>
      <c r="EY5" s="295">
        <v>40</v>
      </c>
      <c r="EZ5" s="295">
        <v>16</v>
      </c>
      <c r="FA5" s="295">
        <v>2225</v>
      </c>
      <c r="FB5" s="295">
        <v>2024</v>
      </c>
      <c r="FC5" s="295">
        <v>44</v>
      </c>
      <c r="FD5" s="295">
        <v>292</v>
      </c>
      <c r="FE5" s="295">
        <v>12</v>
      </c>
      <c r="FF5" s="295">
        <v>66</v>
      </c>
      <c r="FG5" s="295">
        <v>18</v>
      </c>
      <c r="FH5" s="295">
        <v>69</v>
      </c>
      <c r="FI5" s="295">
        <v>31</v>
      </c>
      <c r="FJ5" s="295">
        <v>288</v>
      </c>
      <c r="FK5" s="295">
        <v>62</v>
      </c>
      <c r="FL5" s="295">
        <v>60</v>
      </c>
      <c r="FM5" s="295">
        <v>48</v>
      </c>
      <c r="FN5" s="295">
        <v>125</v>
      </c>
      <c r="FO5" s="295">
        <v>16</v>
      </c>
      <c r="FP5" s="295">
        <v>6</v>
      </c>
      <c r="FQ5" s="295">
        <v>17</v>
      </c>
      <c r="FR5" s="295">
        <v>7</v>
      </c>
      <c r="FS5" s="295">
        <v>1</v>
      </c>
      <c r="FT5" s="295">
        <v>1</v>
      </c>
      <c r="FU5" s="295">
        <v>1</v>
      </c>
      <c r="FV5" s="295">
        <v>2</v>
      </c>
      <c r="FW5" s="295">
        <v>17</v>
      </c>
      <c r="FX5" s="295">
        <v>11</v>
      </c>
      <c r="FY5" s="295">
        <v>37</v>
      </c>
      <c r="FZ5" s="295">
        <v>4</v>
      </c>
      <c r="GA5" s="295">
        <v>2</v>
      </c>
      <c r="GB5" s="295">
        <v>1</v>
      </c>
      <c r="GC5" s="295">
        <v>1</v>
      </c>
      <c r="GD5" s="295">
        <v>11.9</v>
      </c>
      <c r="GE5" s="295">
        <v>0</v>
      </c>
      <c r="GF5" s="295">
        <v>0</v>
      </c>
      <c r="GG5" s="295" t="s">
        <v>1054</v>
      </c>
      <c r="GH5" s="300">
        <v>7</v>
      </c>
    </row>
    <row r="6" spans="1:190" ht="24.95" customHeight="1" thickBot="1" x14ac:dyDescent="0.3">
      <c r="A6" s="29" t="str">
        <f t="shared" si="132"/>
        <v>5º</v>
      </c>
      <c r="B6" s="69" t="str">
        <f t="shared" si="1"/>
        <v>João Pedro</v>
      </c>
      <c r="C6" s="86" t="str">
        <f t="shared" si="2"/>
        <v>BRA</v>
      </c>
      <c r="D6" s="36" t="str">
        <f t="shared" si="3"/>
        <v>Grêmio</v>
      </c>
      <c r="E6" s="36">
        <f t="shared" si="4"/>
        <v>29</v>
      </c>
      <c r="F6" s="344" t="str">
        <f t="shared" si="5"/>
        <v>83,5m € p/m</v>
      </c>
      <c r="G6" s="96">
        <f t="shared" si="6"/>
        <v>41.534074074074077</v>
      </c>
      <c r="H6" s="197">
        <f t="shared" si="7"/>
        <v>41.12222222222222</v>
      </c>
      <c r="I6" s="197">
        <f t="shared" si="8"/>
        <v>52</v>
      </c>
      <c r="J6" s="197">
        <f t="shared" si="9"/>
        <v>71.17307692307692</v>
      </c>
      <c r="K6" s="198">
        <f t="shared" si="10"/>
        <v>0.94</v>
      </c>
      <c r="L6" s="6">
        <f t="shared" si="11"/>
        <v>2</v>
      </c>
      <c r="M6" s="24">
        <f t="shared" si="12"/>
        <v>1850.5</v>
      </c>
      <c r="N6" s="21">
        <f t="shared" si="13"/>
        <v>4.8635503917860042E-2</v>
      </c>
      <c r="O6" s="58">
        <f t="shared" si="14"/>
        <v>2</v>
      </c>
      <c r="P6" s="58">
        <f t="shared" si="15"/>
        <v>7</v>
      </c>
      <c r="Q6" s="58">
        <f t="shared" si="16"/>
        <v>9</v>
      </c>
      <c r="R6" s="76">
        <f t="shared" si="17"/>
        <v>4.8635503917860042E-2</v>
      </c>
      <c r="S6" s="76">
        <f t="shared" si="18"/>
        <v>0.17022426371251015</v>
      </c>
      <c r="T6" s="76">
        <f t="shared" si="19"/>
        <v>0.21885976763037018</v>
      </c>
      <c r="U6" s="76">
        <f t="shared" si="20"/>
        <v>2.89</v>
      </c>
      <c r="V6" s="76">
        <f t="shared" si="21"/>
        <v>2.89</v>
      </c>
      <c r="W6" s="76">
        <f t="shared" si="22"/>
        <v>7.0278303161307759E-2</v>
      </c>
      <c r="X6" s="76">
        <f t="shared" si="23"/>
        <v>8.6199999999999992</v>
      </c>
      <c r="Y6" s="76">
        <f t="shared" si="24"/>
        <v>0.20961902188597675</v>
      </c>
      <c r="Z6" s="76">
        <f t="shared" si="25"/>
        <v>11.51</v>
      </c>
      <c r="AA6" s="76">
        <f t="shared" si="26"/>
        <v>0.27989732504728448</v>
      </c>
      <c r="AB6" s="6">
        <f t="shared" si="27"/>
        <v>33</v>
      </c>
      <c r="AC6" s="5">
        <f t="shared" si="28"/>
        <v>0.80248581464469071</v>
      </c>
      <c r="AD6" s="6">
        <f t="shared" si="29"/>
        <v>8</v>
      </c>
      <c r="AE6" s="5">
        <f t="shared" si="30"/>
        <v>0.19454201567144017</v>
      </c>
      <c r="AF6" s="21">
        <f t="shared" si="31"/>
        <v>0.24242424242424243</v>
      </c>
      <c r="AG6" s="76">
        <f t="shared" si="32"/>
        <v>16.5</v>
      </c>
      <c r="AH6" s="76">
        <f t="shared" si="33"/>
        <v>4</v>
      </c>
      <c r="AI6" s="20">
        <f t="shared" si="34"/>
        <v>6.0606060606060608E-2</v>
      </c>
      <c r="AJ6" s="76">
        <f t="shared" si="35"/>
        <v>112.15151515151516</v>
      </c>
      <c r="AK6" s="76">
        <f t="shared" si="36"/>
        <v>462.625</v>
      </c>
      <c r="AL6" s="76">
        <f t="shared" si="37"/>
        <v>1850.5</v>
      </c>
      <c r="AM6" s="76">
        <f t="shared" si="38"/>
        <v>411.22222222222223</v>
      </c>
      <c r="AN6" s="5">
        <f t="shared" si="39"/>
        <v>-0.89000000000000012</v>
      </c>
      <c r="AO6" s="5">
        <f t="shared" si="40"/>
        <v>-0.89000000000000012</v>
      </c>
      <c r="AP6" s="75">
        <f t="shared" si="41"/>
        <v>5</v>
      </c>
      <c r="AQ6" s="76">
        <f t="shared" si="42"/>
        <v>0.1215887597946501</v>
      </c>
      <c r="AR6" s="75">
        <f t="shared" si="43"/>
        <v>147</v>
      </c>
      <c r="AS6" s="75">
        <f t="shared" si="44"/>
        <v>78</v>
      </c>
      <c r="AT6" s="75">
        <f t="shared" si="45"/>
        <v>69</v>
      </c>
      <c r="AU6" s="76">
        <f t="shared" si="46"/>
        <v>1.8967846527965415</v>
      </c>
      <c r="AV6" s="79">
        <f t="shared" si="47"/>
        <v>0.53061224489795922</v>
      </c>
      <c r="AW6" s="75">
        <f t="shared" si="48"/>
        <v>129</v>
      </c>
      <c r="AX6" s="75">
        <f t="shared" si="49"/>
        <v>71</v>
      </c>
      <c r="AY6" s="75">
        <f t="shared" si="50"/>
        <v>15</v>
      </c>
      <c r="AZ6" s="76">
        <f t="shared" si="51"/>
        <v>1.7265603890840315</v>
      </c>
      <c r="BA6" s="76">
        <f t="shared" si="52"/>
        <v>0.36476627938395029</v>
      </c>
      <c r="BB6" s="79">
        <f t="shared" si="53"/>
        <v>0.55038759689922478</v>
      </c>
      <c r="BC6" s="273">
        <f t="shared" si="54"/>
        <v>43</v>
      </c>
      <c r="BD6" s="272">
        <f t="shared" si="55"/>
        <v>1.0456633342339909</v>
      </c>
      <c r="BE6" s="273">
        <f t="shared" si="56"/>
        <v>4</v>
      </c>
      <c r="BF6" s="272">
        <f t="shared" si="57"/>
        <v>9.7271007835720083E-2</v>
      </c>
      <c r="BG6" s="273">
        <f t="shared" si="58"/>
        <v>0</v>
      </c>
      <c r="BH6" s="272">
        <f t="shared" si="59"/>
        <v>0</v>
      </c>
      <c r="BI6" s="273">
        <f t="shared" si="60"/>
        <v>4</v>
      </c>
      <c r="BJ6" s="79">
        <f t="shared" si="61"/>
        <v>9.3023255813953487E-2</v>
      </c>
      <c r="BK6" s="76">
        <f t="shared" si="62"/>
        <v>-3.7000000000000011</v>
      </c>
      <c r="BL6" s="75">
        <f t="shared" si="63"/>
        <v>379</v>
      </c>
      <c r="BM6" s="75">
        <f t="shared" si="64"/>
        <v>104</v>
      </c>
      <c r="BN6" s="160">
        <f t="shared" si="65"/>
        <v>0.27440633245382584</v>
      </c>
      <c r="BO6" s="75">
        <f t="shared" si="66"/>
        <v>658</v>
      </c>
      <c r="BP6" s="76">
        <f t="shared" si="67"/>
        <v>16.001080788975955</v>
      </c>
      <c r="BQ6" s="75">
        <f t="shared" si="68"/>
        <v>256</v>
      </c>
      <c r="BR6" s="76">
        <f t="shared" si="69"/>
        <v>6.2253445014860853</v>
      </c>
      <c r="BS6" s="160">
        <f t="shared" si="70"/>
        <v>0.38905775075987842</v>
      </c>
      <c r="BT6" s="75">
        <f t="shared" si="71"/>
        <v>224</v>
      </c>
      <c r="BU6" s="76">
        <f t="shared" si="72"/>
        <v>5.4471764388003248</v>
      </c>
      <c r="BV6" s="75">
        <f t="shared" si="73"/>
        <v>179.5</v>
      </c>
      <c r="BW6" s="76">
        <f t="shared" si="74"/>
        <v>4.3650364766279388</v>
      </c>
      <c r="BX6" s="317">
        <f t="shared" si="75"/>
        <v>0</v>
      </c>
      <c r="BY6" s="318">
        <f t="shared" si="76"/>
        <v>0</v>
      </c>
      <c r="BZ6" s="317">
        <f t="shared" si="77"/>
        <v>0</v>
      </c>
      <c r="CA6" s="318">
        <f t="shared" si="78"/>
        <v>0</v>
      </c>
      <c r="CB6" s="364">
        <f t="shared" si="79"/>
        <v>0</v>
      </c>
      <c r="CC6" s="317">
        <f t="shared" si="80"/>
        <v>0</v>
      </c>
      <c r="CD6" s="317">
        <f t="shared" si="81"/>
        <v>0</v>
      </c>
      <c r="CE6" s="365">
        <f t="shared" si="82"/>
        <v>0</v>
      </c>
      <c r="CF6" s="363">
        <f t="shared" si="83"/>
        <v>1E-8</v>
      </c>
      <c r="CG6" s="75">
        <f t="shared" si="84"/>
        <v>437.44888888888886</v>
      </c>
      <c r="CH6" s="76">
        <f t="shared" si="85"/>
        <v>10.637773574709538</v>
      </c>
      <c r="CI6" s="75">
        <f t="shared" si="86"/>
        <v>220</v>
      </c>
      <c r="CJ6" s="76">
        <f t="shared" si="87"/>
        <v>5.3499054309646041</v>
      </c>
      <c r="CK6" s="79">
        <f t="shared" si="88"/>
        <v>0.50291589620628696</v>
      </c>
      <c r="CL6" s="75">
        <f t="shared" si="89"/>
        <v>497</v>
      </c>
      <c r="CM6" s="76">
        <f t="shared" si="90"/>
        <v>12.085922723588221</v>
      </c>
      <c r="CN6" s="75">
        <f t="shared" si="91"/>
        <v>373</v>
      </c>
      <c r="CO6" s="76">
        <f t="shared" si="92"/>
        <v>9.0705214806808971</v>
      </c>
      <c r="CP6" s="79">
        <f t="shared" si="93"/>
        <v>0.75050301810865194</v>
      </c>
      <c r="CQ6" s="83">
        <f t="shared" si="94"/>
        <v>3326.4488888888891</v>
      </c>
      <c r="CR6" s="83">
        <f t="shared" si="95"/>
        <v>2686</v>
      </c>
      <c r="CS6" s="84">
        <f t="shared" si="96"/>
        <v>0.80746768993561369</v>
      </c>
      <c r="CT6" s="75">
        <f t="shared" si="97"/>
        <v>68</v>
      </c>
      <c r="CU6" s="76">
        <f t="shared" si="98"/>
        <v>1.6536071332072413</v>
      </c>
      <c r="CV6" s="75">
        <f t="shared" si="99"/>
        <v>139</v>
      </c>
      <c r="CW6" s="76">
        <f t="shared" si="100"/>
        <v>3.3801675222912726</v>
      </c>
      <c r="CX6" s="75">
        <f t="shared" si="101"/>
        <v>130</v>
      </c>
      <c r="CY6" s="76">
        <f t="shared" si="102"/>
        <v>3.1613077546609025</v>
      </c>
      <c r="CZ6" s="75">
        <f t="shared" si="103"/>
        <v>16.448888888888888</v>
      </c>
      <c r="DA6" s="76">
        <f t="shared" si="104"/>
        <v>0.4</v>
      </c>
      <c r="DB6" s="75">
        <f t="shared" si="105"/>
        <v>3185</v>
      </c>
      <c r="DC6" s="76">
        <f t="shared" si="106"/>
        <v>77.452039989192116</v>
      </c>
      <c r="DD6" s="75">
        <f t="shared" si="107"/>
        <v>186.5</v>
      </c>
      <c r="DE6" s="6">
        <f t="shared" si="108"/>
        <v>0</v>
      </c>
      <c r="DF6" s="5">
        <f t="shared" si="109"/>
        <v>0</v>
      </c>
      <c r="DG6" s="6">
        <f t="shared" si="110"/>
        <v>83</v>
      </c>
      <c r="DH6" s="5">
        <f t="shared" si="111"/>
        <v>2.0183734125911919</v>
      </c>
      <c r="DI6" s="5">
        <f t="shared" si="112"/>
        <v>11.857142857142858</v>
      </c>
      <c r="DJ6" s="21">
        <f t="shared" si="113"/>
        <v>8.4337349397590355E-2</v>
      </c>
      <c r="DK6" s="5">
        <f t="shared" si="114"/>
        <v>1.6199999999999992</v>
      </c>
      <c r="DL6" s="5">
        <f t="shared" si="115"/>
        <v>0.10385542168674698</v>
      </c>
      <c r="DM6" s="222">
        <f t="shared" si="116"/>
        <v>402</v>
      </c>
      <c r="DN6" s="223">
        <f t="shared" si="117"/>
        <v>9.7757362874898686</v>
      </c>
      <c r="DO6" s="76">
        <f t="shared" si="118"/>
        <v>44.590361445783131</v>
      </c>
      <c r="DP6" s="76">
        <f>IFERROR(EN6/(FG6+ET6+#REF!),700)</f>
        <v>700</v>
      </c>
      <c r="DQ6" s="76">
        <f t="shared" si="119"/>
        <v>58.16806268576061</v>
      </c>
      <c r="DR6" s="76">
        <f t="shared" si="120"/>
        <v>50.897054850040533</v>
      </c>
      <c r="DS6" s="92">
        <f t="shared" si="121"/>
        <v>0.875</v>
      </c>
      <c r="DT6" s="188">
        <f t="shared" si="122"/>
        <v>507.3</v>
      </c>
      <c r="DU6" s="207">
        <f t="shared" si="123"/>
        <v>12.3363955687652</v>
      </c>
      <c r="DV6" s="209">
        <f t="shared" si="124"/>
        <v>8.2242637125101314</v>
      </c>
      <c r="DW6" s="208">
        <f t="shared" si="125"/>
        <v>797.77111111111105</v>
      </c>
      <c r="DX6" s="76">
        <f t="shared" si="126"/>
        <v>19.399999999999999</v>
      </c>
      <c r="DY6" s="56">
        <f t="shared" si="127"/>
        <v>569</v>
      </c>
      <c r="DZ6" s="57">
        <f t="shared" si="128"/>
        <v>13.836800864631181</v>
      </c>
      <c r="EA6" s="76">
        <f t="shared" si="129"/>
        <v>14.8</v>
      </c>
      <c r="EB6" s="57">
        <f t="shared" si="130"/>
        <v>284.56577777777778</v>
      </c>
      <c r="EC6" s="62">
        <f t="shared" si="131"/>
        <v>6.92</v>
      </c>
      <c r="ED6" s="299"/>
      <c r="EE6" s="295" t="s">
        <v>13</v>
      </c>
      <c r="EF6" s="295" t="s">
        <v>585</v>
      </c>
      <c r="EG6" s="295">
        <v>29</v>
      </c>
      <c r="EH6" s="295" t="s">
        <v>554</v>
      </c>
      <c r="EI6" s="295" t="s">
        <v>616</v>
      </c>
      <c r="EJ6" s="295" t="s">
        <v>644</v>
      </c>
      <c r="EK6" s="295" t="s">
        <v>619</v>
      </c>
      <c r="EL6" s="295" t="s">
        <v>700</v>
      </c>
      <c r="EM6" s="296">
        <v>47118</v>
      </c>
      <c r="EN6" s="295">
        <v>3701</v>
      </c>
      <c r="EO6" s="295" t="s">
        <v>1136</v>
      </c>
      <c r="EP6" s="295">
        <v>2</v>
      </c>
      <c r="EQ6" s="295">
        <v>2</v>
      </c>
      <c r="ER6" s="295">
        <v>7</v>
      </c>
      <c r="ES6" s="295">
        <v>11</v>
      </c>
      <c r="ET6" s="295">
        <v>14</v>
      </c>
      <c r="EU6" s="295">
        <v>11.1</v>
      </c>
      <c r="EV6" s="295">
        <v>14.8</v>
      </c>
      <c r="EW6" s="295" t="s">
        <v>950</v>
      </c>
      <c r="EX6" s="295" t="s">
        <v>1137</v>
      </c>
      <c r="EY6" s="295">
        <v>43</v>
      </c>
      <c r="EZ6" s="295">
        <v>34</v>
      </c>
      <c r="FA6" s="295">
        <v>2392</v>
      </c>
      <c r="FB6" s="295">
        <v>2093</v>
      </c>
      <c r="FC6" s="295">
        <v>83</v>
      </c>
      <c r="FD6" s="295">
        <v>372</v>
      </c>
      <c r="FE6" s="295">
        <v>68</v>
      </c>
      <c r="FF6" s="295">
        <v>33</v>
      </c>
      <c r="FG6" s="295">
        <v>8</v>
      </c>
      <c r="FH6" s="295">
        <v>147</v>
      </c>
      <c r="FI6" s="295">
        <v>78</v>
      </c>
      <c r="FJ6" s="295">
        <v>379</v>
      </c>
      <c r="FK6" s="295">
        <v>104</v>
      </c>
      <c r="FL6" s="295">
        <v>86</v>
      </c>
      <c r="FM6" s="295">
        <v>71</v>
      </c>
      <c r="FN6" s="295">
        <v>149</v>
      </c>
      <c r="FO6" s="295">
        <v>218</v>
      </c>
      <c r="FP6" s="295">
        <v>42</v>
      </c>
      <c r="FQ6" s="295">
        <v>218</v>
      </c>
      <c r="FR6" s="295">
        <v>42</v>
      </c>
      <c r="FS6" s="295">
        <v>1</v>
      </c>
      <c r="FT6" s="295">
        <v>0.4</v>
      </c>
      <c r="FU6" s="295">
        <v>0</v>
      </c>
      <c r="FV6" s="295">
        <v>5</v>
      </c>
      <c r="FW6" s="295">
        <v>22</v>
      </c>
      <c r="FX6" s="295">
        <v>10</v>
      </c>
      <c r="FY6" s="295">
        <v>40</v>
      </c>
      <c r="FZ6" s="295">
        <v>3</v>
      </c>
      <c r="GA6" s="295">
        <v>4</v>
      </c>
      <c r="GB6" s="295">
        <v>0</v>
      </c>
      <c r="GC6" s="295">
        <v>0</v>
      </c>
      <c r="GD6" s="295">
        <v>19.399999999999999</v>
      </c>
      <c r="GE6" s="295">
        <v>0</v>
      </c>
      <c r="GF6" s="295">
        <v>0</v>
      </c>
      <c r="GG6" s="295" t="s">
        <v>1138</v>
      </c>
      <c r="GH6" s="300">
        <v>6.92</v>
      </c>
    </row>
    <row r="7" spans="1:190" ht="24.95" customHeight="1" thickBot="1" x14ac:dyDescent="0.3">
      <c r="A7" s="29" t="str">
        <f t="shared" si="132"/>
        <v>6º</v>
      </c>
      <c r="B7" s="69" t="str">
        <f t="shared" si="1"/>
        <v>Juan Pablo Freytes</v>
      </c>
      <c r="C7" s="86" t="str">
        <f t="shared" si="2"/>
        <v>ARG</v>
      </c>
      <c r="D7" s="36" t="str">
        <f t="shared" si="3"/>
        <v>Fluminense</v>
      </c>
      <c r="E7" s="36">
        <f t="shared" si="4"/>
        <v>26</v>
      </c>
      <c r="F7" s="344" t="str">
        <f t="shared" si="5"/>
        <v>3,4m € p/m</v>
      </c>
      <c r="G7" s="96">
        <f t="shared" si="6"/>
        <v>41.534074074074077</v>
      </c>
      <c r="H7" s="197">
        <f t="shared" si="7"/>
        <v>41.444444444444443</v>
      </c>
      <c r="I7" s="197">
        <f t="shared" si="8"/>
        <v>44</v>
      </c>
      <c r="J7" s="197">
        <f t="shared" si="9"/>
        <v>84.772727272727266</v>
      </c>
      <c r="K7" s="198">
        <f t="shared" si="10"/>
        <v>0.98</v>
      </c>
      <c r="L7" s="6">
        <f t="shared" si="11"/>
        <v>1</v>
      </c>
      <c r="M7" s="24">
        <f t="shared" si="12"/>
        <v>3730</v>
      </c>
      <c r="N7" s="21">
        <f t="shared" si="13"/>
        <v>2.412868632707775E-2</v>
      </c>
      <c r="O7" s="58">
        <f t="shared" si="14"/>
        <v>0</v>
      </c>
      <c r="P7" s="58">
        <f t="shared" si="15"/>
        <v>2</v>
      </c>
      <c r="Q7" s="58">
        <f t="shared" si="16"/>
        <v>2</v>
      </c>
      <c r="R7" s="76">
        <f t="shared" si="17"/>
        <v>0</v>
      </c>
      <c r="S7" s="76">
        <f t="shared" si="18"/>
        <v>4.82573726541555E-2</v>
      </c>
      <c r="T7" s="76">
        <f t="shared" si="19"/>
        <v>4.82573726541555E-2</v>
      </c>
      <c r="U7" s="76">
        <f t="shared" si="20"/>
        <v>1.08</v>
      </c>
      <c r="V7" s="76">
        <f t="shared" si="21"/>
        <v>1.08</v>
      </c>
      <c r="W7" s="76">
        <f t="shared" si="22"/>
        <v>2.6058981233243971E-2</v>
      </c>
      <c r="X7" s="76">
        <f t="shared" si="23"/>
        <v>1.92</v>
      </c>
      <c r="Y7" s="76">
        <f t="shared" si="24"/>
        <v>4.6327077747989276E-2</v>
      </c>
      <c r="Z7" s="76">
        <f t="shared" si="25"/>
        <v>3</v>
      </c>
      <c r="AA7" s="76">
        <f t="shared" si="26"/>
        <v>7.2386058981233251E-2</v>
      </c>
      <c r="AB7" s="6">
        <f t="shared" si="27"/>
        <v>12</v>
      </c>
      <c r="AC7" s="5">
        <f t="shared" si="28"/>
        <v>0.289544235924933</v>
      </c>
      <c r="AD7" s="6">
        <f t="shared" si="29"/>
        <v>4</v>
      </c>
      <c r="AE7" s="5">
        <f t="shared" si="30"/>
        <v>9.6514745308311001E-2</v>
      </c>
      <c r="AF7" s="21">
        <f t="shared" si="31"/>
        <v>0.33333333333333331</v>
      </c>
      <c r="AG7" s="76">
        <f t="shared" si="32"/>
        <v>50</v>
      </c>
      <c r="AH7" s="76">
        <f t="shared" si="33"/>
        <v>50</v>
      </c>
      <c r="AI7" s="20">
        <f t="shared" si="34"/>
        <v>0</v>
      </c>
      <c r="AJ7" s="76">
        <f t="shared" si="35"/>
        <v>310.83333333333331</v>
      </c>
      <c r="AK7" s="76">
        <f t="shared" si="36"/>
        <v>932.5</v>
      </c>
      <c r="AL7" s="76">
        <f t="shared" si="37"/>
        <v>3730</v>
      </c>
      <c r="AM7" s="76">
        <f t="shared" si="38"/>
        <v>1865</v>
      </c>
      <c r="AN7" s="5">
        <f t="shared" si="39"/>
        <v>-1.08</v>
      </c>
      <c r="AO7" s="5">
        <f t="shared" si="40"/>
        <v>-1.08</v>
      </c>
      <c r="AP7" s="75">
        <f t="shared" si="41"/>
        <v>0</v>
      </c>
      <c r="AQ7" s="76">
        <f t="shared" si="42"/>
        <v>0</v>
      </c>
      <c r="AR7" s="75">
        <f t="shared" si="43"/>
        <v>217</v>
      </c>
      <c r="AS7" s="75">
        <f t="shared" si="44"/>
        <v>151</v>
      </c>
      <c r="AT7" s="75">
        <f t="shared" si="45"/>
        <v>66</v>
      </c>
      <c r="AU7" s="76">
        <f t="shared" si="46"/>
        <v>3.6434316353887399</v>
      </c>
      <c r="AV7" s="79">
        <f t="shared" si="47"/>
        <v>0.69585253456221197</v>
      </c>
      <c r="AW7" s="75">
        <f t="shared" si="48"/>
        <v>45</v>
      </c>
      <c r="AX7" s="75">
        <f t="shared" si="49"/>
        <v>21</v>
      </c>
      <c r="AY7" s="75">
        <f t="shared" si="50"/>
        <v>6</v>
      </c>
      <c r="AZ7" s="76">
        <f t="shared" si="51"/>
        <v>0.50670241286863271</v>
      </c>
      <c r="BA7" s="76">
        <f t="shared" si="52"/>
        <v>0.1447721179624665</v>
      </c>
      <c r="BB7" s="79">
        <f t="shared" si="53"/>
        <v>0.46666666666666667</v>
      </c>
      <c r="BC7" s="273">
        <f t="shared" si="54"/>
        <v>18</v>
      </c>
      <c r="BD7" s="272">
        <f t="shared" si="55"/>
        <v>0.43431635388739948</v>
      </c>
      <c r="BE7" s="273">
        <f t="shared" si="56"/>
        <v>4</v>
      </c>
      <c r="BF7" s="272">
        <f t="shared" si="57"/>
        <v>9.6514745308311001E-2</v>
      </c>
      <c r="BG7" s="273">
        <f t="shared" si="58"/>
        <v>0</v>
      </c>
      <c r="BH7" s="272">
        <f t="shared" si="59"/>
        <v>0</v>
      </c>
      <c r="BI7" s="273">
        <f t="shared" si="60"/>
        <v>4</v>
      </c>
      <c r="BJ7" s="79">
        <f t="shared" si="61"/>
        <v>0.22222222222222221</v>
      </c>
      <c r="BK7" s="76">
        <f t="shared" si="62"/>
        <v>6.9</v>
      </c>
      <c r="BL7" s="75">
        <f t="shared" si="63"/>
        <v>109</v>
      </c>
      <c r="BM7" s="75">
        <f t="shared" si="64"/>
        <v>39</v>
      </c>
      <c r="BN7" s="160">
        <f t="shared" si="65"/>
        <v>0.3577981651376147</v>
      </c>
      <c r="BO7" s="75">
        <f t="shared" si="66"/>
        <v>379</v>
      </c>
      <c r="BP7" s="76">
        <f t="shared" si="67"/>
        <v>9.1447721179624661</v>
      </c>
      <c r="BQ7" s="75">
        <f t="shared" si="68"/>
        <v>219</v>
      </c>
      <c r="BR7" s="76">
        <f t="shared" si="69"/>
        <v>5.2841823056300274</v>
      </c>
      <c r="BS7" s="160">
        <f t="shared" si="70"/>
        <v>0.57783641160949872</v>
      </c>
      <c r="BT7" s="75">
        <f t="shared" si="71"/>
        <v>239</v>
      </c>
      <c r="BU7" s="76">
        <f t="shared" si="72"/>
        <v>5.7667560321715818</v>
      </c>
      <c r="BV7" s="75">
        <f t="shared" si="73"/>
        <v>72</v>
      </c>
      <c r="BW7" s="76">
        <f t="shared" si="74"/>
        <v>1.7372654155495979</v>
      </c>
      <c r="BX7" s="317">
        <f t="shared" si="75"/>
        <v>9</v>
      </c>
      <c r="BY7" s="318">
        <f t="shared" si="76"/>
        <v>0.21715817694369974</v>
      </c>
      <c r="BZ7" s="317">
        <f t="shared" si="77"/>
        <v>0</v>
      </c>
      <c r="CA7" s="318">
        <f t="shared" si="78"/>
        <v>0</v>
      </c>
      <c r="CB7" s="364">
        <f t="shared" si="79"/>
        <v>0</v>
      </c>
      <c r="CC7" s="317">
        <f t="shared" si="80"/>
        <v>0</v>
      </c>
      <c r="CD7" s="317">
        <f t="shared" si="81"/>
        <v>0</v>
      </c>
      <c r="CE7" s="365">
        <f t="shared" si="82"/>
        <v>0</v>
      </c>
      <c r="CF7" s="363">
        <f t="shared" si="83"/>
        <v>1E-8</v>
      </c>
      <c r="CG7" s="75">
        <f t="shared" si="84"/>
        <v>61.144444444444446</v>
      </c>
      <c r="CH7" s="76">
        <f t="shared" si="85"/>
        <v>1.4753351206434318</v>
      </c>
      <c r="CI7" s="75">
        <f t="shared" si="86"/>
        <v>35</v>
      </c>
      <c r="CJ7" s="76">
        <f t="shared" si="87"/>
        <v>0.84450402144772119</v>
      </c>
      <c r="CK7" s="79">
        <f t="shared" si="88"/>
        <v>0.57241504633836093</v>
      </c>
      <c r="CL7" s="75">
        <f t="shared" si="89"/>
        <v>493</v>
      </c>
      <c r="CM7" s="76">
        <f t="shared" si="90"/>
        <v>11.89544235924933</v>
      </c>
      <c r="CN7" s="75">
        <f t="shared" si="91"/>
        <v>411</v>
      </c>
      <c r="CO7" s="76">
        <f t="shared" si="92"/>
        <v>9.9168900804289546</v>
      </c>
      <c r="CP7" s="79">
        <f t="shared" si="93"/>
        <v>0.83367139959432046</v>
      </c>
      <c r="CQ7" s="83">
        <f t="shared" si="94"/>
        <v>2503.1444444444442</v>
      </c>
      <c r="CR7" s="83">
        <f t="shared" si="95"/>
        <v>2259</v>
      </c>
      <c r="CS7" s="84">
        <f t="shared" si="96"/>
        <v>0.90246489970392807</v>
      </c>
      <c r="CT7" s="75">
        <f t="shared" si="97"/>
        <v>1</v>
      </c>
      <c r="CU7" s="76">
        <f t="shared" si="98"/>
        <v>2.412868632707775E-2</v>
      </c>
      <c r="CV7" s="75">
        <f t="shared" si="99"/>
        <v>30</v>
      </c>
      <c r="CW7" s="76">
        <f t="shared" si="100"/>
        <v>0.72386058981233248</v>
      </c>
      <c r="CX7" s="75">
        <f t="shared" si="101"/>
        <v>38</v>
      </c>
      <c r="CY7" s="76">
        <f t="shared" si="102"/>
        <v>0.91689008042895448</v>
      </c>
      <c r="CZ7" s="75">
        <f t="shared" si="103"/>
        <v>4.1444444444444448</v>
      </c>
      <c r="DA7" s="76">
        <f t="shared" si="104"/>
        <v>0.1</v>
      </c>
      <c r="DB7" s="75">
        <f t="shared" si="105"/>
        <v>2389</v>
      </c>
      <c r="DC7" s="76">
        <f t="shared" si="106"/>
        <v>57.643431635388744</v>
      </c>
      <c r="DD7" s="75">
        <f t="shared" si="107"/>
        <v>34</v>
      </c>
      <c r="DE7" s="6">
        <f t="shared" si="108"/>
        <v>0</v>
      </c>
      <c r="DF7" s="5">
        <f t="shared" si="109"/>
        <v>0</v>
      </c>
      <c r="DG7" s="6">
        <f t="shared" si="110"/>
        <v>22</v>
      </c>
      <c r="DH7" s="5">
        <f t="shared" si="111"/>
        <v>0.53083109919571048</v>
      </c>
      <c r="DI7" s="5">
        <f t="shared" si="112"/>
        <v>11</v>
      </c>
      <c r="DJ7" s="21">
        <f t="shared" si="113"/>
        <v>9.0909090909090912E-2</v>
      </c>
      <c r="DK7" s="5">
        <f t="shared" si="114"/>
        <v>-8.0000000000000071E-2</v>
      </c>
      <c r="DL7" s="5">
        <f t="shared" si="115"/>
        <v>8.7272727272727266E-2</v>
      </c>
      <c r="DM7" s="222">
        <f t="shared" si="116"/>
        <v>53</v>
      </c>
      <c r="DN7" s="223">
        <f t="shared" si="117"/>
        <v>1.2788203753351206</v>
      </c>
      <c r="DO7" s="76">
        <f t="shared" si="118"/>
        <v>169.54545454545453</v>
      </c>
      <c r="DP7" s="76">
        <f>IFERROR(EN7/(FG7+ET7+#REF!),700)</f>
        <v>700</v>
      </c>
      <c r="DQ7" s="76">
        <f t="shared" si="119"/>
        <v>47.02680965147453</v>
      </c>
      <c r="DR7" s="76">
        <f t="shared" si="120"/>
        <v>43.745308310991959</v>
      </c>
      <c r="DS7" s="92">
        <f t="shared" si="121"/>
        <v>0.93022062596203181</v>
      </c>
      <c r="DT7" s="188">
        <f t="shared" si="122"/>
        <v>428.2</v>
      </c>
      <c r="DU7" s="207">
        <f t="shared" si="123"/>
        <v>10.331903485254692</v>
      </c>
      <c r="DV7" s="209">
        <f t="shared" si="124"/>
        <v>6.8879356568364614</v>
      </c>
      <c r="DW7" s="208">
        <f t="shared" si="125"/>
        <v>290.11111111111109</v>
      </c>
      <c r="DX7" s="76">
        <f t="shared" si="126"/>
        <v>7</v>
      </c>
      <c r="DY7" s="56">
        <f t="shared" si="127"/>
        <v>224</v>
      </c>
      <c r="DZ7" s="57">
        <f t="shared" si="128"/>
        <v>5.4048257372654156</v>
      </c>
      <c r="EA7" s="76">
        <f t="shared" si="129"/>
        <v>4</v>
      </c>
      <c r="EB7" s="57">
        <f t="shared" si="130"/>
        <v>286.38111111111112</v>
      </c>
      <c r="EC7" s="62">
        <f t="shared" si="131"/>
        <v>6.91</v>
      </c>
      <c r="ED7" s="299"/>
      <c r="EE7" s="295" t="s">
        <v>478</v>
      </c>
      <c r="EF7" s="295" t="s">
        <v>990</v>
      </c>
      <c r="EG7" s="295">
        <v>26</v>
      </c>
      <c r="EH7" s="295" t="s">
        <v>582</v>
      </c>
      <c r="EI7" s="295" t="s">
        <v>575</v>
      </c>
      <c r="EJ7" s="295" t="s">
        <v>651</v>
      </c>
      <c r="EK7" s="295" t="s">
        <v>728</v>
      </c>
      <c r="EL7" s="295" t="s">
        <v>906</v>
      </c>
      <c r="EM7" s="296">
        <v>47118</v>
      </c>
      <c r="EN7" s="295">
        <v>3730</v>
      </c>
      <c r="EO7" s="295" t="s">
        <v>975</v>
      </c>
      <c r="EP7" s="295">
        <v>1</v>
      </c>
      <c r="EQ7" s="295">
        <v>0</v>
      </c>
      <c r="ER7" s="295">
        <v>2</v>
      </c>
      <c r="ES7" s="295">
        <v>6</v>
      </c>
      <c r="ET7" s="295">
        <v>4</v>
      </c>
      <c r="EU7" s="295">
        <v>10.9</v>
      </c>
      <c r="EV7" s="295">
        <v>4</v>
      </c>
      <c r="EW7" s="295" t="s">
        <v>969</v>
      </c>
      <c r="EX7" s="295" t="s">
        <v>925</v>
      </c>
      <c r="EY7" s="295">
        <v>18</v>
      </c>
      <c r="EZ7" s="295">
        <v>10</v>
      </c>
      <c r="FA7" s="295">
        <v>1949</v>
      </c>
      <c r="FB7" s="295">
        <v>1813</v>
      </c>
      <c r="FC7" s="295">
        <v>22</v>
      </c>
      <c r="FD7" s="295">
        <v>149</v>
      </c>
      <c r="FE7" s="295">
        <v>1</v>
      </c>
      <c r="FF7" s="295">
        <v>12</v>
      </c>
      <c r="FG7" s="295">
        <v>4</v>
      </c>
      <c r="FH7" s="295">
        <v>217</v>
      </c>
      <c r="FI7" s="295">
        <v>151</v>
      </c>
      <c r="FJ7" s="295">
        <v>109</v>
      </c>
      <c r="FK7" s="295">
        <v>39</v>
      </c>
      <c r="FL7" s="295">
        <v>27</v>
      </c>
      <c r="FM7" s="295">
        <v>21</v>
      </c>
      <c r="FN7" s="295">
        <v>123</v>
      </c>
      <c r="FO7" s="295">
        <v>9</v>
      </c>
      <c r="FP7" s="295">
        <v>4</v>
      </c>
      <c r="FQ7" s="295">
        <v>18</v>
      </c>
      <c r="FR7" s="295">
        <v>4</v>
      </c>
      <c r="FS7" s="295">
        <v>0</v>
      </c>
      <c r="FT7" s="295">
        <v>0.1</v>
      </c>
      <c r="FU7" s="295">
        <v>1</v>
      </c>
      <c r="FV7" s="295">
        <v>0</v>
      </c>
      <c r="FW7" s="295">
        <v>37</v>
      </c>
      <c r="FX7" s="295">
        <v>33</v>
      </c>
      <c r="FY7" s="295">
        <v>38</v>
      </c>
      <c r="FZ7" s="295">
        <v>8</v>
      </c>
      <c r="GA7" s="295">
        <v>4</v>
      </c>
      <c r="GB7" s="295">
        <v>0</v>
      </c>
      <c r="GC7" s="295">
        <v>0</v>
      </c>
      <c r="GD7" s="295">
        <v>7</v>
      </c>
      <c r="GE7" s="295">
        <v>0</v>
      </c>
      <c r="GF7" s="295">
        <v>0</v>
      </c>
      <c r="GG7" s="295" t="s">
        <v>1060</v>
      </c>
      <c r="GH7" s="300">
        <v>6.91</v>
      </c>
    </row>
    <row r="8" spans="1:190" ht="24.95" customHeight="1" thickBot="1" x14ac:dyDescent="0.3">
      <c r="A8" s="29" t="str">
        <f t="shared" si="132"/>
        <v>7º</v>
      </c>
      <c r="B8" s="69" t="str">
        <f t="shared" si="1"/>
        <v>Kanu</v>
      </c>
      <c r="C8" s="86" t="str">
        <f t="shared" si="2"/>
        <v>BRA</v>
      </c>
      <c r="D8" s="36" t="str">
        <f t="shared" si="3"/>
        <v>Bahia</v>
      </c>
      <c r="E8" s="36">
        <f t="shared" si="4"/>
        <v>29</v>
      </c>
      <c r="F8" s="344" t="str">
        <f t="shared" si="5"/>
        <v>13,25m € p/m</v>
      </c>
      <c r="G8" s="96">
        <f t="shared" si="6"/>
        <v>41.534074074074077</v>
      </c>
      <c r="H8" s="197">
        <f t="shared" si="7"/>
        <v>46.033333333333331</v>
      </c>
      <c r="I8" s="197">
        <f t="shared" si="8"/>
        <v>30</v>
      </c>
      <c r="J8" s="197">
        <f t="shared" si="9"/>
        <v>138.1</v>
      </c>
      <c r="K8" s="198">
        <f t="shared" si="10"/>
        <v>0.67</v>
      </c>
      <c r="L8" s="6">
        <f t="shared" si="11"/>
        <v>1</v>
      </c>
      <c r="M8" s="24">
        <f t="shared" si="12"/>
        <v>4143</v>
      </c>
      <c r="N8" s="21">
        <f t="shared" si="13"/>
        <v>2.1723388848660392E-2</v>
      </c>
      <c r="O8" s="58">
        <f t="shared" si="14"/>
        <v>1</v>
      </c>
      <c r="P8" s="58">
        <f t="shared" si="15"/>
        <v>0</v>
      </c>
      <c r="Q8" s="58">
        <f t="shared" si="16"/>
        <v>1</v>
      </c>
      <c r="R8" s="76">
        <f t="shared" si="17"/>
        <v>2.1723388848660392E-2</v>
      </c>
      <c r="S8" s="76">
        <f t="shared" si="18"/>
        <v>0</v>
      </c>
      <c r="T8" s="76">
        <f t="shared" si="19"/>
        <v>2.1723388848660392E-2</v>
      </c>
      <c r="U8" s="76">
        <f t="shared" si="20"/>
        <v>1.62</v>
      </c>
      <c r="V8" s="76">
        <f t="shared" si="21"/>
        <v>1.62</v>
      </c>
      <c r="W8" s="76">
        <f t="shared" si="22"/>
        <v>3.5191889934829836E-2</v>
      </c>
      <c r="X8" s="76">
        <f t="shared" si="23"/>
        <v>1.25</v>
      </c>
      <c r="Y8" s="76">
        <f t="shared" si="24"/>
        <v>2.7154236060825489E-2</v>
      </c>
      <c r="Z8" s="76">
        <f t="shared" si="25"/>
        <v>2.87</v>
      </c>
      <c r="AA8" s="76">
        <f t="shared" si="26"/>
        <v>6.2346125995655324E-2</v>
      </c>
      <c r="AB8" s="6">
        <f t="shared" si="27"/>
        <v>18</v>
      </c>
      <c r="AC8" s="5">
        <f t="shared" si="28"/>
        <v>0.39102099927588707</v>
      </c>
      <c r="AD8" s="6">
        <f t="shared" si="29"/>
        <v>7</v>
      </c>
      <c r="AE8" s="5">
        <f t="shared" si="30"/>
        <v>0.15206372194062273</v>
      </c>
      <c r="AF8" s="21">
        <f t="shared" si="31"/>
        <v>0.3888888888888889</v>
      </c>
      <c r="AG8" s="76">
        <f t="shared" si="32"/>
        <v>18</v>
      </c>
      <c r="AH8" s="76">
        <f t="shared" si="33"/>
        <v>7</v>
      </c>
      <c r="AI8" s="20">
        <f t="shared" si="34"/>
        <v>5.5555555555555552E-2</v>
      </c>
      <c r="AJ8" s="76">
        <f t="shared" si="35"/>
        <v>230.16666666666666</v>
      </c>
      <c r="AK8" s="76">
        <f t="shared" si="36"/>
        <v>591.85714285714289</v>
      </c>
      <c r="AL8" s="76">
        <f t="shared" si="37"/>
        <v>4143</v>
      </c>
      <c r="AM8" s="76">
        <f t="shared" si="38"/>
        <v>4143</v>
      </c>
      <c r="AN8" s="5">
        <f t="shared" si="39"/>
        <v>-0.62000000000000011</v>
      </c>
      <c r="AO8" s="5">
        <f t="shared" si="40"/>
        <v>-0.62000000000000011</v>
      </c>
      <c r="AP8" s="75">
        <f t="shared" si="41"/>
        <v>0</v>
      </c>
      <c r="AQ8" s="76">
        <f t="shared" si="42"/>
        <v>0</v>
      </c>
      <c r="AR8" s="75">
        <f t="shared" si="43"/>
        <v>209</v>
      </c>
      <c r="AS8" s="75">
        <f t="shared" si="44"/>
        <v>145</v>
      </c>
      <c r="AT8" s="75">
        <f t="shared" si="45"/>
        <v>64</v>
      </c>
      <c r="AU8" s="76">
        <f t="shared" si="46"/>
        <v>3.1498913830557567</v>
      </c>
      <c r="AV8" s="79">
        <f t="shared" si="47"/>
        <v>0.69377990430622005</v>
      </c>
      <c r="AW8" s="75">
        <f t="shared" si="48"/>
        <v>56</v>
      </c>
      <c r="AX8" s="75">
        <f t="shared" si="49"/>
        <v>27</v>
      </c>
      <c r="AY8" s="75">
        <f t="shared" si="50"/>
        <v>6</v>
      </c>
      <c r="AZ8" s="76">
        <f t="shared" si="51"/>
        <v>0.58653149891383061</v>
      </c>
      <c r="BA8" s="76">
        <f t="shared" si="52"/>
        <v>0.13034033309196236</v>
      </c>
      <c r="BB8" s="79">
        <f t="shared" si="53"/>
        <v>0.48214285714285715</v>
      </c>
      <c r="BC8" s="273">
        <f t="shared" si="54"/>
        <v>23</v>
      </c>
      <c r="BD8" s="272">
        <f t="shared" si="55"/>
        <v>0.499637943519189</v>
      </c>
      <c r="BE8" s="273">
        <f t="shared" si="56"/>
        <v>9</v>
      </c>
      <c r="BF8" s="272">
        <f t="shared" si="57"/>
        <v>0.19551049963794354</v>
      </c>
      <c r="BG8" s="273">
        <f t="shared" si="58"/>
        <v>1</v>
      </c>
      <c r="BH8" s="272">
        <f t="shared" si="59"/>
        <v>2.1723388848660392E-2</v>
      </c>
      <c r="BI8" s="273">
        <f t="shared" si="60"/>
        <v>10</v>
      </c>
      <c r="BJ8" s="79">
        <f t="shared" si="61"/>
        <v>0.43478260869565216</v>
      </c>
      <c r="BK8" s="76">
        <f t="shared" si="62"/>
        <v>7.6999999999999993</v>
      </c>
      <c r="BL8" s="75">
        <f t="shared" si="63"/>
        <v>108</v>
      </c>
      <c r="BM8" s="75">
        <f t="shared" si="64"/>
        <v>27</v>
      </c>
      <c r="BN8" s="160">
        <f t="shared" si="65"/>
        <v>0.25</v>
      </c>
      <c r="BO8" s="75">
        <f t="shared" si="66"/>
        <v>379</v>
      </c>
      <c r="BP8" s="76">
        <f t="shared" si="67"/>
        <v>8.233164373642289</v>
      </c>
      <c r="BQ8" s="75">
        <f t="shared" si="68"/>
        <v>205</v>
      </c>
      <c r="BR8" s="76">
        <f t="shared" si="69"/>
        <v>4.4532947139753807</v>
      </c>
      <c r="BS8" s="160">
        <f t="shared" si="70"/>
        <v>0.54089709762532978</v>
      </c>
      <c r="BT8" s="75">
        <f t="shared" si="71"/>
        <v>246</v>
      </c>
      <c r="BU8" s="76">
        <f t="shared" si="72"/>
        <v>5.3439536567704566</v>
      </c>
      <c r="BV8" s="75">
        <f t="shared" si="73"/>
        <v>63</v>
      </c>
      <c r="BW8" s="76">
        <f t="shared" si="74"/>
        <v>1.3685734974656047</v>
      </c>
      <c r="BX8" s="317">
        <f t="shared" si="75"/>
        <v>0</v>
      </c>
      <c r="BY8" s="318">
        <f t="shared" si="76"/>
        <v>0</v>
      </c>
      <c r="BZ8" s="317">
        <f t="shared" si="77"/>
        <v>0</v>
      </c>
      <c r="CA8" s="318">
        <f t="shared" si="78"/>
        <v>0</v>
      </c>
      <c r="CB8" s="364">
        <f t="shared" si="79"/>
        <v>0</v>
      </c>
      <c r="CC8" s="317">
        <f t="shared" si="80"/>
        <v>0</v>
      </c>
      <c r="CD8" s="317">
        <f t="shared" si="81"/>
        <v>0</v>
      </c>
      <c r="CE8" s="365">
        <f t="shared" si="82"/>
        <v>0</v>
      </c>
      <c r="CF8" s="363">
        <f t="shared" si="83"/>
        <v>1E-8</v>
      </c>
      <c r="CG8" s="75">
        <f t="shared" si="84"/>
        <v>27.603333333333332</v>
      </c>
      <c r="CH8" s="76">
        <f t="shared" si="85"/>
        <v>0.59963794351918898</v>
      </c>
      <c r="CI8" s="75">
        <f t="shared" si="86"/>
        <v>12</v>
      </c>
      <c r="CJ8" s="76">
        <f t="shared" si="87"/>
        <v>0.26068066618392471</v>
      </c>
      <c r="CK8" s="79">
        <f t="shared" si="88"/>
        <v>0.43473010505977544</v>
      </c>
      <c r="CL8" s="75">
        <f t="shared" si="89"/>
        <v>508</v>
      </c>
      <c r="CM8" s="76">
        <f t="shared" si="90"/>
        <v>11.035481535119478</v>
      </c>
      <c r="CN8" s="75">
        <f t="shared" si="91"/>
        <v>418</v>
      </c>
      <c r="CO8" s="76">
        <f t="shared" si="92"/>
        <v>9.0803765387400439</v>
      </c>
      <c r="CP8" s="79">
        <f t="shared" si="93"/>
        <v>0.82283464566929132</v>
      </c>
      <c r="CQ8" s="83">
        <f t="shared" si="94"/>
        <v>2425.6033333333335</v>
      </c>
      <c r="CR8" s="83">
        <f t="shared" si="95"/>
        <v>2151</v>
      </c>
      <c r="CS8" s="84">
        <f t="shared" si="96"/>
        <v>0.88678967844426326</v>
      </c>
      <c r="CT8" s="75">
        <f t="shared" si="97"/>
        <v>1</v>
      </c>
      <c r="CU8" s="76">
        <f t="shared" si="98"/>
        <v>2.1723388848660392E-2</v>
      </c>
      <c r="CV8" s="75">
        <f t="shared" si="99"/>
        <v>4</v>
      </c>
      <c r="CW8" s="76">
        <f t="shared" si="100"/>
        <v>8.6893555394641567E-2</v>
      </c>
      <c r="CX8" s="75">
        <f t="shared" si="101"/>
        <v>22</v>
      </c>
      <c r="CY8" s="76">
        <f t="shared" si="102"/>
        <v>0.47791455467052862</v>
      </c>
      <c r="CZ8" s="75">
        <f t="shared" si="103"/>
        <v>4.6033333333333335</v>
      </c>
      <c r="DA8" s="76">
        <f t="shared" si="104"/>
        <v>0.1</v>
      </c>
      <c r="DB8" s="75">
        <f t="shared" si="105"/>
        <v>2277</v>
      </c>
      <c r="DC8" s="76">
        <f t="shared" si="106"/>
        <v>49.46415640839971</v>
      </c>
      <c r="DD8" s="75">
        <f t="shared" si="107"/>
        <v>13.5</v>
      </c>
      <c r="DE8" s="6">
        <f t="shared" si="108"/>
        <v>0</v>
      </c>
      <c r="DF8" s="5">
        <f t="shared" si="109"/>
        <v>0</v>
      </c>
      <c r="DG8" s="6">
        <f t="shared" si="110"/>
        <v>3</v>
      </c>
      <c r="DH8" s="5">
        <f t="shared" si="111"/>
        <v>6.5170166545981179E-2</v>
      </c>
      <c r="DI8" s="5">
        <f t="shared" si="112"/>
        <v>70</v>
      </c>
      <c r="DJ8" s="21">
        <f t="shared" si="113"/>
        <v>0</v>
      </c>
      <c r="DK8" s="5">
        <f t="shared" si="114"/>
        <v>1.25</v>
      </c>
      <c r="DL8" s="5">
        <f t="shared" si="115"/>
        <v>0.41666666666666669</v>
      </c>
      <c r="DM8" s="222">
        <f t="shared" si="116"/>
        <v>22</v>
      </c>
      <c r="DN8" s="223">
        <f t="shared" si="117"/>
        <v>0.47791455467052862</v>
      </c>
      <c r="DO8" s="76">
        <f t="shared" si="118"/>
        <v>1381</v>
      </c>
      <c r="DP8" s="76">
        <f>IFERROR(EN8/(FG8+ET8+#REF!),700)</f>
        <v>700</v>
      </c>
      <c r="DQ8" s="76">
        <f t="shared" si="119"/>
        <v>41.057204923968143</v>
      </c>
      <c r="DR8" s="76">
        <f t="shared" si="120"/>
        <v>37.385952208544538</v>
      </c>
      <c r="DS8" s="92">
        <f t="shared" si="121"/>
        <v>0.9105820105820106</v>
      </c>
      <c r="DT8" s="188">
        <f t="shared" si="122"/>
        <v>451.7</v>
      </c>
      <c r="DU8" s="207">
        <f t="shared" si="123"/>
        <v>9.8124547429398987</v>
      </c>
      <c r="DV8" s="209">
        <f t="shared" si="124"/>
        <v>6.5416364952932664</v>
      </c>
      <c r="DW8" s="208">
        <f t="shared" si="125"/>
        <v>179.53</v>
      </c>
      <c r="DX8" s="76">
        <f t="shared" si="126"/>
        <v>3.9</v>
      </c>
      <c r="DY8" s="56">
        <f t="shared" si="127"/>
        <v>244</v>
      </c>
      <c r="DZ8" s="57">
        <f t="shared" si="128"/>
        <v>5.3005068790731356</v>
      </c>
      <c r="EA8" s="76">
        <f t="shared" si="129"/>
        <v>3.5</v>
      </c>
      <c r="EB8" s="57">
        <f t="shared" si="130"/>
        <v>313.94733333333335</v>
      </c>
      <c r="EC8" s="62">
        <f t="shared" si="131"/>
        <v>6.82</v>
      </c>
      <c r="ED8" s="301"/>
      <c r="EE8" s="297" t="s">
        <v>13</v>
      </c>
      <c r="EF8" s="297" t="s">
        <v>988</v>
      </c>
      <c r="EG8" s="297">
        <v>29</v>
      </c>
      <c r="EH8" s="297" t="s">
        <v>580</v>
      </c>
      <c r="EI8" s="297" t="s">
        <v>575</v>
      </c>
      <c r="EJ8" s="297" t="s">
        <v>643</v>
      </c>
      <c r="EK8" s="297" t="s">
        <v>911</v>
      </c>
      <c r="EL8" s="297" t="s">
        <v>980</v>
      </c>
      <c r="EM8" s="298">
        <v>46752</v>
      </c>
      <c r="EN8" s="297">
        <v>4143</v>
      </c>
      <c r="EO8" s="297" t="s">
        <v>1142</v>
      </c>
      <c r="EP8" s="297">
        <v>1</v>
      </c>
      <c r="EQ8" s="297">
        <v>1</v>
      </c>
      <c r="ER8" s="297">
        <v>0</v>
      </c>
      <c r="ES8" s="297">
        <v>2</v>
      </c>
      <c r="ET8" s="297">
        <v>1</v>
      </c>
      <c r="EU8" s="297">
        <v>11.2</v>
      </c>
      <c r="EV8" s="297">
        <v>3.5</v>
      </c>
      <c r="EW8" s="297" t="s">
        <v>928</v>
      </c>
      <c r="EX8" s="297" t="s">
        <v>1003</v>
      </c>
      <c r="EY8" s="297">
        <v>23</v>
      </c>
      <c r="EZ8" s="297">
        <v>8</v>
      </c>
      <c r="FA8" s="297">
        <v>1890</v>
      </c>
      <c r="FB8" s="297">
        <v>1721</v>
      </c>
      <c r="FC8" s="297">
        <v>3</v>
      </c>
      <c r="FD8" s="297">
        <v>96</v>
      </c>
      <c r="FE8" s="297">
        <v>1</v>
      </c>
      <c r="FF8" s="297">
        <v>18</v>
      </c>
      <c r="FG8" s="297">
        <v>7</v>
      </c>
      <c r="FH8" s="297">
        <v>209</v>
      </c>
      <c r="FI8" s="297">
        <v>145</v>
      </c>
      <c r="FJ8" s="297">
        <v>108</v>
      </c>
      <c r="FK8" s="297">
        <v>27</v>
      </c>
      <c r="FL8" s="297">
        <v>33</v>
      </c>
      <c r="FM8" s="297">
        <v>27</v>
      </c>
      <c r="FN8" s="297">
        <v>99</v>
      </c>
      <c r="FO8" s="297">
        <v>0</v>
      </c>
      <c r="FP8" s="297">
        <v>0</v>
      </c>
      <c r="FQ8" s="297">
        <v>0</v>
      </c>
      <c r="FR8" s="297">
        <v>0</v>
      </c>
      <c r="FS8" s="297">
        <v>0</v>
      </c>
      <c r="FT8" s="297">
        <v>0.1</v>
      </c>
      <c r="FU8" s="297">
        <v>0</v>
      </c>
      <c r="FV8" s="297">
        <v>0</v>
      </c>
      <c r="FW8" s="297">
        <v>45</v>
      </c>
      <c r="FX8" s="297">
        <v>39</v>
      </c>
      <c r="FY8" s="297">
        <v>57</v>
      </c>
      <c r="FZ8" s="297">
        <v>6</v>
      </c>
      <c r="GA8" s="297">
        <v>9</v>
      </c>
      <c r="GB8" s="297">
        <v>1</v>
      </c>
      <c r="GC8" s="297">
        <v>1</v>
      </c>
      <c r="GD8" s="297">
        <v>3.9</v>
      </c>
      <c r="GE8" s="297">
        <v>0</v>
      </c>
      <c r="GF8" s="297">
        <v>0</v>
      </c>
      <c r="GG8" s="297" t="s">
        <v>1068</v>
      </c>
      <c r="GH8" s="302">
        <v>6.82</v>
      </c>
    </row>
    <row r="9" spans="1:190" ht="24.95" customHeight="1" thickBot="1" x14ac:dyDescent="0.3">
      <c r="A9" s="29" t="str">
        <f t="shared" si="132"/>
        <v>8º</v>
      </c>
      <c r="B9" s="69" t="str">
        <f t="shared" si="1"/>
        <v>Lucas Barbosa</v>
      </c>
      <c r="C9" s="86" t="str">
        <f t="shared" si="2"/>
        <v>BRA</v>
      </c>
      <c r="D9" s="36" t="str">
        <f t="shared" si="3"/>
        <v>Bragantino</v>
      </c>
      <c r="E9" s="36">
        <f t="shared" si="4"/>
        <v>25</v>
      </c>
      <c r="F9" s="344" t="str">
        <f t="shared" si="5"/>
        <v>7,75m € p/m</v>
      </c>
      <c r="G9" s="96">
        <f t="shared" si="6"/>
        <v>41.534074074074077</v>
      </c>
      <c r="H9" s="197">
        <f t="shared" si="7"/>
        <v>40.455555555555556</v>
      </c>
      <c r="I9" s="197">
        <f t="shared" si="8"/>
        <v>49</v>
      </c>
      <c r="J9" s="197">
        <f t="shared" si="9"/>
        <v>74.306122448979593</v>
      </c>
      <c r="K9" s="198">
        <f t="shared" si="10"/>
        <v>0.94</v>
      </c>
      <c r="L9" s="6">
        <f t="shared" si="11"/>
        <v>7</v>
      </c>
      <c r="M9" s="24">
        <f t="shared" si="12"/>
        <v>520.14285714285711</v>
      </c>
      <c r="N9" s="21">
        <f t="shared" si="13"/>
        <v>0.17302938753089811</v>
      </c>
      <c r="O9" s="58">
        <f t="shared" si="14"/>
        <v>19</v>
      </c>
      <c r="P9" s="58">
        <f t="shared" si="15"/>
        <v>11</v>
      </c>
      <c r="Q9" s="58">
        <f t="shared" si="16"/>
        <v>30</v>
      </c>
      <c r="R9" s="76">
        <f t="shared" si="17"/>
        <v>0.46965119472672345</v>
      </c>
      <c r="S9" s="76">
        <f t="shared" si="18"/>
        <v>0.27190332326283989</v>
      </c>
      <c r="T9" s="76">
        <f t="shared" si="19"/>
        <v>0.74155451798956329</v>
      </c>
      <c r="U9" s="76">
        <f t="shared" si="20"/>
        <v>10.71</v>
      </c>
      <c r="V9" s="76">
        <f t="shared" si="21"/>
        <v>10.71</v>
      </c>
      <c r="W9" s="76">
        <f t="shared" si="22"/>
        <v>0.26473496292227411</v>
      </c>
      <c r="X9" s="76">
        <f t="shared" si="23"/>
        <v>8.77</v>
      </c>
      <c r="Y9" s="76">
        <f t="shared" si="24"/>
        <v>0.21678110409228232</v>
      </c>
      <c r="Z9" s="76">
        <f t="shared" si="25"/>
        <v>19.48</v>
      </c>
      <c r="AA9" s="76">
        <f t="shared" si="26"/>
        <v>0.4815160670145564</v>
      </c>
      <c r="AB9" s="6">
        <f t="shared" si="27"/>
        <v>102</v>
      </c>
      <c r="AC9" s="5">
        <f t="shared" si="28"/>
        <v>2.5212853611645154</v>
      </c>
      <c r="AD9" s="6">
        <f t="shared" si="29"/>
        <v>57</v>
      </c>
      <c r="AE9" s="5">
        <f t="shared" si="30"/>
        <v>1.4089535841801704</v>
      </c>
      <c r="AF9" s="21">
        <f t="shared" si="31"/>
        <v>0.55882352941176472</v>
      </c>
      <c r="AG9" s="76">
        <f t="shared" si="32"/>
        <v>5.3684210526315788</v>
      </c>
      <c r="AH9" s="76">
        <f t="shared" si="33"/>
        <v>3</v>
      </c>
      <c r="AI9" s="20">
        <f t="shared" si="34"/>
        <v>0.18627450980392157</v>
      </c>
      <c r="AJ9" s="76">
        <f t="shared" si="35"/>
        <v>35.696078431372548</v>
      </c>
      <c r="AK9" s="76">
        <f t="shared" si="36"/>
        <v>63.877192982456137</v>
      </c>
      <c r="AL9" s="76">
        <f t="shared" si="37"/>
        <v>191.63157894736841</v>
      </c>
      <c r="AM9" s="76">
        <f t="shared" si="38"/>
        <v>121.36666666666666</v>
      </c>
      <c r="AN9" s="5">
        <f t="shared" si="39"/>
        <v>8.2899999999999991</v>
      </c>
      <c r="AO9" s="5">
        <f t="shared" si="40"/>
        <v>8.2899999999999991</v>
      </c>
      <c r="AP9" s="75">
        <f t="shared" si="41"/>
        <v>16</v>
      </c>
      <c r="AQ9" s="76">
        <f t="shared" si="42"/>
        <v>0.39549574292776707</v>
      </c>
      <c r="AR9" s="75">
        <f t="shared" si="43"/>
        <v>165</v>
      </c>
      <c r="AS9" s="75">
        <f t="shared" si="44"/>
        <v>86</v>
      </c>
      <c r="AT9" s="75">
        <f t="shared" si="45"/>
        <v>79</v>
      </c>
      <c r="AU9" s="76">
        <f t="shared" si="46"/>
        <v>2.1257896182367482</v>
      </c>
      <c r="AV9" s="79">
        <f t="shared" si="47"/>
        <v>0.52121212121212124</v>
      </c>
      <c r="AW9" s="75">
        <f t="shared" si="48"/>
        <v>111</v>
      </c>
      <c r="AX9" s="75">
        <f t="shared" si="49"/>
        <v>59</v>
      </c>
      <c r="AY9" s="75">
        <f t="shared" si="50"/>
        <v>17</v>
      </c>
      <c r="AZ9" s="76">
        <f t="shared" si="51"/>
        <v>1.4583905520461411</v>
      </c>
      <c r="BA9" s="76">
        <f t="shared" si="52"/>
        <v>0.42021422686075255</v>
      </c>
      <c r="BB9" s="79">
        <f t="shared" si="53"/>
        <v>0.53153153153153154</v>
      </c>
      <c r="BC9" s="273">
        <f t="shared" si="54"/>
        <v>35</v>
      </c>
      <c r="BD9" s="272">
        <f t="shared" si="55"/>
        <v>0.86514693765449047</v>
      </c>
      <c r="BE9" s="273">
        <f t="shared" si="56"/>
        <v>4</v>
      </c>
      <c r="BF9" s="272">
        <f t="shared" si="57"/>
        <v>9.8873935731941767E-2</v>
      </c>
      <c r="BG9" s="273">
        <f t="shared" si="58"/>
        <v>0</v>
      </c>
      <c r="BH9" s="272">
        <f t="shared" si="59"/>
        <v>0</v>
      </c>
      <c r="BI9" s="273">
        <f t="shared" si="60"/>
        <v>4</v>
      </c>
      <c r="BJ9" s="79">
        <f t="shared" si="61"/>
        <v>0.11428571428571428</v>
      </c>
      <c r="BK9" s="76">
        <f t="shared" si="62"/>
        <v>-6.7</v>
      </c>
      <c r="BL9" s="75">
        <f t="shared" si="63"/>
        <v>411</v>
      </c>
      <c r="BM9" s="75">
        <f t="shared" si="64"/>
        <v>102</v>
      </c>
      <c r="BN9" s="160">
        <f t="shared" si="65"/>
        <v>0.24817518248175183</v>
      </c>
      <c r="BO9" s="75">
        <f t="shared" si="66"/>
        <v>689</v>
      </c>
      <c r="BP9" s="76">
        <f t="shared" si="67"/>
        <v>17.031035429826971</v>
      </c>
      <c r="BQ9" s="75">
        <f t="shared" si="68"/>
        <v>249</v>
      </c>
      <c r="BR9" s="76">
        <f t="shared" si="69"/>
        <v>6.1549024993133754</v>
      </c>
      <c r="BS9" s="160">
        <f t="shared" si="70"/>
        <v>0.36139332365747462</v>
      </c>
      <c r="BT9" s="75">
        <f t="shared" si="71"/>
        <v>102</v>
      </c>
      <c r="BU9" s="76">
        <f t="shared" si="72"/>
        <v>2.5212853611645154</v>
      </c>
      <c r="BV9" s="75">
        <f t="shared" si="73"/>
        <v>164</v>
      </c>
      <c r="BW9" s="76">
        <f t="shared" si="74"/>
        <v>4.0538313650096125</v>
      </c>
      <c r="BX9" s="317">
        <f t="shared" si="75"/>
        <v>7</v>
      </c>
      <c r="BY9" s="318">
        <f t="shared" si="76"/>
        <v>0.17302938753089811</v>
      </c>
      <c r="BZ9" s="317">
        <f t="shared" si="77"/>
        <v>1</v>
      </c>
      <c r="CA9" s="318">
        <f t="shared" si="78"/>
        <v>2.4718483932985442E-2</v>
      </c>
      <c r="CB9" s="364">
        <f t="shared" si="79"/>
        <v>0.14285714285714285</v>
      </c>
      <c r="CC9" s="317">
        <f t="shared" si="80"/>
        <v>0</v>
      </c>
      <c r="CD9" s="317">
        <f t="shared" si="81"/>
        <v>0</v>
      </c>
      <c r="CE9" s="365">
        <f t="shared" si="82"/>
        <v>0</v>
      </c>
      <c r="CF9" s="363">
        <f t="shared" si="83"/>
        <v>1E-8</v>
      </c>
      <c r="CG9" s="75">
        <f t="shared" si="84"/>
        <v>492.45555555555558</v>
      </c>
      <c r="CH9" s="76">
        <f t="shared" si="85"/>
        <v>12.172754737709422</v>
      </c>
      <c r="CI9" s="75">
        <f t="shared" si="86"/>
        <v>331</v>
      </c>
      <c r="CJ9" s="76">
        <f t="shared" si="87"/>
        <v>8.1818181818181817</v>
      </c>
      <c r="CK9" s="79">
        <f t="shared" si="88"/>
        <v>0.67214187405518822</v>
      </c>
      <c r="CL9" s="75">
        <f t="shared" si="89"/>
        <v>379</v>
      </c>
      <c r="CM9" s="76">
        <f t="shared" si="90"/>
        <v>9.3683054106014829</v>
      </c>
      <c r="CN9" s="75">
        <f t="shared" si="91"/>
        <v>247</v>
      </c>
      <c r="CO9" s="76">
        <f t="shared" si="92"/>
        <v>6.1054655314474049</v>
      </c>
      <c r="CP9" s="79">
        <f t="shared" si="93"/>
        <v>0.65171503957783639</v>
      </c>
      <c r="CQ9" s="83">
        <f t="shared" si="94"/>
        <v>2620.4555555555553</v>
      </c>
      <c r="CR9" s="83">
        <f t="shared" si="95"/>
        <v>2105</v>
      </c>
      <c r="CS9" s="84">
        <f t="shared" si="96"/>
        <v>0.80329544057225</v>
      </c>
      <c r="CT9" s="75">
        <f t="shared" si="97"/>
        <v>135</v>
      </c>
      <c r="CU9" s="76">
        <f t="shared" si="98"/>
        <v>3.3369953309530347</v>
      </c>
      <c r="CV9" s="75">
        <f t="shared" si="99"/>
        <v>123</v>
      </c>
      <c r="CW9" s="76">
        <f t="shared" si="100"/>
        <v>3.0403735237572094</v>
      </c>
      <c r="CX9" s="75">
        <f t="shared" si="101"/>
        <v>198</v>
      </c>
      <c r="CY9" s="76">
        <f t="shared" si="102"/>
        <v>4.8942598187311175</v>
      </c>
      <c r="CZ9" s="75">
        <f t="shared" si="103"/>
        <v>40.455555555555556</v>
      </c>
      <c r="DA9" s="76">
        <f t="shared" si="104"/>
        <v>1</v>
      </c>
      <c r="DB9" s="75">
        <f t="shared" si="105"/>
        <v>2487</v>
      </c>
      <c r="DC9" s="76">
        <f t="shared" si="106"/>
        <v>61.474869541334797</v>
      </c>
      <c r="DD9" s="75">
        <f t="shared" si="107"/>
        <v>333</v>
      </c>
      <c r="DE9" s="6">
        <f t="shared" si="108"/>
        <v>0</v>
      </c>
      <c r="DF9" s="5">
        <f t="shared" si="109"/>
        <v>0</v>
      </c>
      <c r="DG9" s="6">
        <f t="shared" si="110"/>
        <v>73</v>
      </c>
      <c r="DH9" s="5">
        <f t="shared" si="111"/>
        <v>1.8044493271079374</v>
      </c>
      <c r="DI9" s="5">
        <f t="shared" si="112"/>
        <v>6.6363636363636367</v>
      </c>
      <c r="DJ9" s="21">
        <f t="shared" si="113"/>
        <v>0.15068493150684931</v>
      </c>
      <c r="DK9" s="5">
        <f t="shared" si="114"/>
        <v>-2.2300000000000004</v>
      </c>
      <c r="DL9" s="5">
        <f t="shared" si="115"/>
        <v>0.12013698630136986</v>
      </c>
      <c r="DM9" s="222">
        <f t="shared" si="116"/>
        <v>413</v>
      </c>
      <c r="DN9" s="223">
        <f t="shared" si="117"/>
        <v>10.208733864322989</v>
      </c>
      <c r="DO9" s="76">
        <f t="shared" si="118"/>
        <v>49.876712328767127</v>
      </c>
      <c r="DP9" s="76">
        <f>IFERROR(EN9/(FG9+ET9+#REF!),700)</f>
        <v>700</v>
      </c>
      <c r="DQ9" s="76">
        <f t="shared" si="119"/>
        <v>43.23262839879154</v>
      </c>
      <c r="DR9" s="76">
        <f t="shared" si="120"/>
        <v>37.745124965668772</v>
      </c>
      <c r="DS9" s="92">
        <f t="shared" si="121"/>
        <v>0.87307032590051459</v>
      </c>
      <c r="DT9" s="188">
        <f t="shared" si="122"/>
        <v>492.7</v>
      </c>
      <c r="DU9" s="207">
        <f t="shared" si="123"/>
        <v>12.178797033781928</v>
      </c>
      <c r="DV9" s="209">
        <f t="shared" si="124"/>
        <v>8.1191980225212852</v>
      </c>
      <c r="DW9" s="208">
        <f t="shared" si="125"/>
        <v>598.74222222222227</v>
      </c>
      <c r="DX9" s="76">
        <f t="shared" si="126"/>
        <v>14.8</v>
      </c>
      <c r="DY9" s="56">
        <f t="shared" si="127"/>
        <v>422</v>
      </c>
      <c r="DZ9" s="57">
        <f t="shared" si="128"/>
        <v>10.431200219719857</v>
      </c>
      <c r="EA9" s="76">
        <f t="shared" si="129"/>
        <v>12.4</v>
      </c>
      <c r="EB9" s="57">
        <f t="shared" si="130"/>
        <v>288.04355555555554</v>
      </c>
      <c r="EC9" s="62">
        <f t="shared" si="131"/>
        <v>7.12</v>
      </c>
      <c r="ED9" s="301"/>
      <c r="EE9" s="297" t="s">
        <v>13</v>
      </c>
      <c r="EF9" s="297" t="s">
        <v>934</v>
      </c>
      <c r="EG9" s="297">
        <v>25</v>
      </c>
      <c r="EH9" s="297" t="s">
        <v>555</v>
      </c>
      <c r="EI9" s="297" t="s">
        <v>909</v>
      </c>
      <c r="EJ9" s="297" t="s">
        <v>651</v>
      </c>
      <c r="EK9" s="297" t="s">
        <v>935</v>
      </c>
      <c r="EL9" s="297" t="s">
        <v>904</v>
      </c>
      <c r="EM9" s="298">
        <v>47848</v>
      </c>
      <c r="EN9" s="297">
        <v>3641</v>
      </c>
      <c r="EO9" s="297" t="s">
        <v>1130</v>
      </c>
      <c r="EP9" s="297">
        <v>7</v>
      </c>
      <c r="EQ9" s="297">
        <v>19</v>
      </c>
      <c r="ER9" s="297">
        <v>11</v>
      </c>
      <c r="ES9" s="297">
        <v>28</v>
      </c>
      <c r="ET9" s="297">
        <v>23</v>
      </c>
      <c r="EU9" s="297">
        <v>5.7</v>
      </c>
      <c r="EV9" s="297">
        <v>12.4</v>
      </c>
      <c r="EW9" s="297" t="s">
        <v>1131</v>
      </c>
      <c r="EX9" s="297" t="s">
        <v>1132</v>
      </c>
      <c r="EY9" s="297">
        <v>35</v>
      </c>
      <c r="EZ9" s="297">
        <v>72</v>
      </c>
      <c r="FA9" s="297">
        <v>1749</v>
      </c>
      <c r="FB9" s="297">
        <v>1527</v>
      </c>
      <c r="FC9" s="297">
        <v>73</v>
      </c>
      <c r="FD9" s="297">
        <v>140</v>
      </c>
      <c r="FE9" s="297">
        <v>135</v>
      </c>
      <c r="FF9" s="297">
        <v>102</v>
      </c>
      <c r="FG9" s="297">
        <v>57</v>
      </c>
      <c r="FH9" s="297">
        <v>165</v>
      </c>
      <c r="FI9" s="297">
        <v>86</v>
      </c>
      <c r="FJ9" s="297">
        <v>411</v>
      </c>
      <c r="FK9" s="297">
        <v>102</v>
      </c>
      <c r="FL9" s="297">
        <v>76</v>
      </c>
      <c r="FM9" s="297">
        <v>59</v>
      </c>
      <c r="FN9" s="297">
        <v>70</v>
      </c>
      <c r="FO9" s="297">
        <v>96</v>
      </c>
      <c r="FP9" s="297">
        <v>26</v>
      </c>
      <c r="FQ9" s="297">
        <v>103</v>
      </c>
      <c r="FR9" s="297">
        <v>27</v>
      </c>
      <c r="FS9" s="297">
        <v>8</v>
      </c>
      <c r="FT9" s="297">
        <v>1</v>
      </c>
      <c r="FU9" s="297">
        <v>0</v>
      </c>
      <c r="FV9" s="297">
        <v>16</v>
      </c>
      <c r="FW9" s="297">
        <v>5</v>
      </c>
      <c r="FX9" s="297">
        <v>2</v>
      </c>
      <c r="FY9" s="297">
        <v>23</v>
      </c>
      <c r="FZ9" s="297">
        <v>2</v>
      </c>
      <c r="GA9" s="297">
        <v>4</v>
      </c>
      <c r="GB9" s="297">
        <v>0</v>
      </c>
      <c r="GC9" s="297">
        <v>1</v>
      </c>
      <c r="GD9" s="297">
        <v>14.8</v>
      </c>
      <c r="GE9" s="297">
        <v>0</v>
      </c>
      <c r="GF9" s="297">
        <v>0</v>
      </c>
      <c r="GG9" s="297" t="s">
        <v>1133</v>
      </c>
      <c r="GH9" s="302">
        <v>7.12</v>
      </c>
    </row>
    <row r="10" spans="1:190" ht="24.95" customHeight="1" thickBot="1" x14ac:dyDescent="0.3">
      <c r="A10" s="29" t="str">
        <f t="shared" si="132"/>
        <v>9º</v>
      </c>
      <c r="B10" s="69" t="str">
        <f t="shared" si="1"/>
        <v>Maicon</v>
      </c>
      <c r="C10" s="86" t="str">
        <f t="shared" si="2"/>
        <v>BRA</v>
      </c>
      <c r="D10" s="36" t="str">
        <f t="shared" si="3"/>
        <v>Coritiba</v>
      </c>
      <c r="E10" s="36">
        <f t="shared" si="4"/>
        <v>37</v>
      </c>
      <c r="F10" s="344" t="str">
        <f t="shared" si="5"/>
        <v>19m € p/m</v>
      </c>
      <c r="G10" s="96">
        <f t="shared" si="6"/>
        <v>41.534074074074077</v>
      </c>
      <c r="H10" s="197">
        <f t="shared" si="7"/>
        <v>38.444444444444443</v>
      </c>
      <c r="I10" s="197">
        <f t="shared" si="8"/>
        <v>38</v>
      </c>
      <c r="J10" s="197">
        <f t="shared" si="9"/>
        <v>91.05263157894737</v>
      </c>
      <c r="K10" s="198">
        <f t="shared" si="10"/>
        <v>0.87</v>
      </c>
      <c r="L10" s="6">
        <f t="shared" si="11"/>
        <v>2</v>
      </c>
      <c r="M10" s="24">
        <f t="shared" si="12"/>
        <v>1730</v>
      </c>
      <c r="N10" s="21">
        <f t="shared" si="13"/>
        <v>5.2023121387283239E-2</v>
      </c>
      <c r="O10" s="58">
        <f t="shared" si="14"/>
        <v>2</v>
      </c>
      <c r="P10" s="58">
        <f t="shared" si="15"/>
        <v>0</v>
      </c>
      <c r="Q10" s="58">
        <f t="shared" si="16"/>
        <v>2</v>
      </c>
      <c r="R10" s="76">
        <f t="shared" si="17"/>
        <v>5.2023121387283239E-2</v>
      </c>
      <c r="S10" s="76">
        <f t="shared" si="18"/>
        <v>0</v>
      </c>
      <c r="T10" s="76">
        <f t="shared" si="19"/>
        <v>5.2023121387283239E-2</v>
      </c>
      <c r="U10" s="76">
        <f t="shared" si="20"/>
        <v>1.55</v>
      </c>
      <c r="V10" s="76">
        <f t="shared" si="21"/>
        <v>-3.0000000000000027E-2</v>
      </c>
      <c r="W10" s="76">
        <f t="shared" si="22"/>
        <v>-7.8034682080924925E-4</v>
      </c>
      <c r="X10" s="76">
        <f t="shared" si="23"/>
        <v>1.3</v>
      </c>
      <c r="Y10" s="76">
        <f t="shared" si="24"/>
        <v>3.3815028901734108E-2</v>
      </c>
      <c r="Z10" s="76">
        <f t="shared" si="25"/>
        <v>1.27</v>
      </c>
      <c r="AA10" s="76">
        <f t="shared" si="26"/>
        <v>3.303468208092486E-2</v>
      </c>
      <c r="AB10" s="6">
        <f t="shared" si="27"/>
        <v>13</v>
      </c>
      <c r="AC10" s="5">
        <f t="shared" si="28"/>
        <v>0.33815028901734107</v>
      </c>
      <c r="AD10" s="6">
        <f t="shared" si="29"/>
        <v>7</v>
      </c>
      <c r="AE10" s="5">
        <f t="shared" si="30"/>
        <v>0.18208092485549135</v>
      </c>
      <c r="AF10" s="21">
        <f t="shared" si="31"/>
        <v>0.53846153846153844</v>
      </c>
      <c r="AG10" s="76">
        <f t="shared" si="32"/>
        <v>50</v>
      </c>
      <c r="AH10" s="76">
        <f t="shared" si="33"/>
        <v>50</v>
      </c>
      <c r="AI10" s="20">
        <f t="shared" si="34"/>
        <v>0</v>
      </c>
      <c r="AJ10" s="76">
        <f t="shared" si="35"/>
        <v>266.15384615384613</v>
      </c>
      <c r="AK10" s="76">
        <f t="shared" si="36"/>
        <v>494.28571428571428</v>
      </c>
      <c r="AL10" s="76">
        <f t="shared" si="37"/>
        <v>1730</v>
      </c>
      <c r="AM10" s="76">
        <f t="shared" si="38"/>
        <v>1730</v>
      </c>
      <c r="AN10" s="5">
        <f t="shared" si="39"/>
        <v>0.44999999999999996</v>
      </c>
      <c r="AO10" s="5">
        <f t="shared" si="40"/>
        <v>3.0000000000000027E-2</v>
      </c>
      <c r="AP10" s="75">
        <f t="shared" si="41"/>
        <v>0</v>
      </c>
      <c r="AQ10" s="76">
        <f t="shared" si="42"/>
        <v>0</v>
      </c>
      <c r="AR10" s="75">
        <f t="shared" si="43"/>
        <v>209</v>
      </c>
      <c r="AS10" s="75">
        <f t="shared" si="44"/>
        <v>159</v>
      </c>
      <c r="AT10" s="75">
        <f t="shared" si="45"/>
        <v>50</v>
      </c>
      <c r="AU10" s="76">
        <f t="shared" si="46"/>
        <v>4.1358381502890174</v>
      </c>
      <c r="AV10" s="79">
        <f t="shared" si="47"/>
        <v>0.76076555023923442</v>
      </c>
      <c r="AW10" s="75">
        <f t="shared" si="48"/>
        <v>44</v>
      </c>
      <c r="AX10" s="75">
        <f t="shared" si="49"/>
        <v>18</v>
      </c>
      <c r="AY10" s="75">
        <f t="shared" si="50"/>
        <v>13</v>
      </c>
      <c r="AZ10" s="76">
        <f t="shared" si="51"/>
        <v>0.46820809248554918</v>
      </c>
      <c r="BA10" s="76">
        <f t="shared" si="52"/>
        <v>0.33815028901734107</v>
      </c>
      <c r="BB10" s="79">
        <f t="shared" si="53"/>
        <v>0.40909090909090912</v>
      </c>
      <c r="BC10" s="273">
        <f t="shared" si="54"/>
        <v>13</v>
      </c>
      <c r="BD10" s="272">
        <f t="shared" si="55"/>
        <v>0.33815028901734107</v>
      </c>
      <c r="BE10" s="273">
        <f t="shared" si="56"/>
        <v>1</v>
      </c>
      <c r="BF10" s="272">
        <f t="shared" si="57"/>
        <v>2.6011560693641619E-2</v>
      </c>
      <c r="BG10" s="273">
        <f t="shared" si="58"/>
        <v>0</v>
      </c>
      <c r="BH10" s="272">
        <f t="shared" si="59"/>
        <v>0</v>
      </c>
      <c r="BI10" s="273">
        <f t="shared" si="60"/>
        <v>1</v>
      </c>
      <c r="BJ10" s="79">
        <f t="shared" si="61"/>
        <v>7.6923076923076927E-2</v>
      </c>
      <c r="BK10" s="76">
        <f t="shared" si="62"/>
        <v>7.9</v>
      </c>
      <c r="BL10" s="75">
        <f t="shared" si="63"/>
        <v>86</v>
      </c>
      <c r="BM10" s="75">
        <f t="shared" si="64"/>
        <v>26</v>
      </c>
      <c r="BN10" s="160">
        <f t="shared" si="65"/>
        <v>0.30232558139534882</v>
      </c>
      <c r="BO10" s="75">
        <f t="shared" si="66"/>
        <v>346</v>
      </c>
      <c r="BP10" s="76">
        <f t="shared" si="67"/>
        <v>9</v>
      </c>
      <c r="BQ10" s="75">
        <f t="shared" si="68"/>
        <v>210</v>
      </c>
      <c r="BR10" s="76">
        <f t="shared" si="69"/>
        <v>5.4624277456647405</v>
      </c>
      <c r="BS10" s="160">
        <f t="shared" si="70"/>
        <v>0.60693641618497107</v>
      </c>
      <c r="BT10" s="75">
        <f t="shared" si="71"/>
        <v>190</v>
      </c>
      <c r="BU10" s="76">
        <f t="shared" si="72"/>
        <v>4.9421965317919074</v>
      </c>
      <c r="BV10" s="75">
        <f t="shared" si="73"/>
        <v>54.5</v>
      </c>
      <c r="BW10" s="76">
        <f t="shared" si="74"/>
        <v>1.4176300578034682</v>
      </c>
      <c r="BX10" s="317">
        <f t="shared" si="75"/>
        <v>17</v>
      </c>
      <c r="BY10" s="318">
        <f t="shared" si="76"/>
        <v>0.44219653179190754</v>
      </c>
      <c r="BZ10" s="317">
        <f t="shared" si="77"/>
        <v>2</v>
      </c>
      <c r="CA10" s="318">
        <f t="shared" si="78"/>
        <v>5.2023121387283239E-2</v>
      </c>
      <c r="CB10" s="364">
        <f t="shared" si="79"/>
        <v>0.11764705882352941</v>
      </c>
      <c r="CC10" s="317">
        <f t="shared" si="80"/>
        <v>2</v>
      </c>
      <c r="CD10" s="317">
        <f t="shared" si="81"/>
        <v>2</v>
      </c>
      <c r="CE10" s="365">
        <f t="shared" si="82"/>
        <v>0</v>
      </c>
      <c r="CF10" s="363">
        <f t="shared" si="83"/>
        <v>1</v>
      </c>
      <c r="CG10" s="75">
        <f t="shared" si="84"/>
        <v>47.844444444444441</v>
      </c>
      <c r="CH10" s="76">
        <f t="shared" si="85"/>
        <v>1.2445086705202313</v>
      </c>
      <c r="CI10" s="75">
        <f t="shared" si="86"/>
        <v>22</v>
      </c>
      <c r="CJ10" s="76">
        <f t="shared" si="87"/>
        <v>0.5722543352601156</v>
      </c>
      <c r="CK10" s="79">
        <f t="shared" si="88"/>
        <v>0.45982350209010686</v>
      </c>
      <c r="CL10" s="75">
        <f t="shared" si="89"/>
        <v>439</v>
      </c>
      <c r="CM10" s="76">
        <f t="shared" si="90"/>
        <v>11.419075144508671</v>
      </c>
      <c r="CN10" s="75">
        <f t="shared" si="91"/>
        <v>367</v>
      </c>
      <c r="CO10" s="76">
        <f t="shared" si="92"/>
        <v>9.5462427745664744</v>
      </c>
      <c r="CP10" s="79">
        <f t="shared" si="93"/>
        <v>0.83599088838268798</v>
      </c>
      <c r="CQ10" s="83">
        <f t="shared" si="94"/>
        <v>2092.8444444444444</v>
      </c>
      <c r="CR10" s="83">
        <f t="shared" si="95"/>
        <v>1880</v>
      </c>
      <c r="CS10" s="84">
        <f t="shared" si="96"/>
        <v>0.89829896578818835</v>
      </c>
      <c r="CT10" s="75">
        <f t="shared" si="97"/>
        <v>1</v>
      </c>
      <c r="CU10" s="76">
        <f t="shared" si="98"/>
        <v>2.6011560693641619E-2</v>
      </c>
      <c r="CV10" s="75">
        <f t="shared" si="99"/>
        <v>14</v>
      </c>
      <c r="CW10" s="76">
        <f t="shared" si="100"/>
        <v>0.3641618497109827</v>
      </c>
      <c r="CX10" s="75">
        <f t="shared" si="101"/>
        <v>25</v>
      </c>
      <c r="CY10" s="76">
        <f t="shared" si="102"/>
        <v>0.6502890173410405</v>
      </c>
      <c r="CZ10" s="75">
        <f t="shared" si="103"/>
        <v>3.8444444444444446</v>
      </c>
      <c r="DA10" s="76">
        <f t="shared" si="104"/>
        <v>0.1</v>
      </c>
      <c r="DB10" s="75">
        <f t="shared" si="105"/>
        <v>2001</v>
      </c>
      <c r="DC10" s="76">
        <f t="shared" si="106"/>
        <v>52.049132947976879</v>
      </c>
      <c r="DD10" s="75">
        <f t="shared" si="107"/>
        <v>23</v>
      </c>
      <c r="DE10" s="6">
        <f t="shared" si="108"/>
        <v>0</v>
      </c>
      <c r="DF10" s="5">
        <f t="shared" si="109"/>
        <v>0</v>
      </c>
      <c r="DG10" s="6">
        <f t="shared" si="110"/>
        <v>10</v>
      </c>
      <c r="DH10" s="5">
        <f t="shared" si="111"/>
        <v>0.26011560693641622</v>
      </c>
      <c r="DI10" s="5">
        <f t="shared" si="112"/>
        <v>70</v>
      </c>
      <c r="DJ10" s="21">
        <f t="shared" si="113"/>
        <v>0</v>
      </c>
      <c r="DK10" s="5">
        <f t="shared" si="114"/>
        <v>1.3</v>
      </c>
      <c r="DL10" s="5">
        <f t="shared" si="115"/>
        <v>0.13</v>
      </c>
      <c r="DM10" s="222">
        <f t="shared" si="116"/>
        <v>42</v>
      </c>
      <c r="DN10" s="223">
        <f t="shared" si="117"/>
        <v>1.0924855491329479</v>
      </c>
      <c r="DO10" s="76">
        <f t="shared" si="118"/>
        <v>346</v>
      </c>
      <c r="DP10" s="76">
        <f>IFERROR(EN10/(FG10+ET10+#REF!),700)</f>
        <v>700</v>
      </c>
      <c r="DQ10" s="76">
        <f t="shared" si="119"/>
        <v>41.774566473988443</v>
      </c>
      <c r="DR10" s="76">
        <f t="shared" si="120"/>
        <v>38.783236994219656</v>
      </c>
      <c r="DS10" s="92">
        <f t="shared" si="121"/>
        <v>0.92839352428393529</v>
      </c>
      <c r="DT10" s="188">
        <f t="shared" si="122"/>
        <v>366.3</v>
      </c>
      <c r="DU10" s="207">
        <f t="shared" si="123"/>
        <v>9.528034682080925</v>
      </c>
      <c r="DV10" s="209">
        <f t="shared" si="124"/>
        <v>6.3520231213872833</v>
      </c>
      <c r="DW10" s="208">
        <f t="shared" si="125"/>
        <v>165.3111111111111</v>
      </c>
      <c r="DX10" s="76">
        <f t="shared" si="126"/>
        <v>4.3</v>
      </c>
      <c r="DY10" s="56">
        <f t="shared" si="127"/>
        <v>187</v>
      </c>
      <c r="DZ10" s="57">
        <f t="shared" si="128"/>
        <v>4.8641618497109826</v>
      </c>
      <c r="EA10" s="76">
        <f t="shared" si="129"/>
        <v>3.4</v>
      </c>
      <c r="EB10" s="57">
        <f t="shared" si="130"/>
        <v>262.95999999999998</v>
      </c>
      <c r="EC10" s="62">
        <f t="shared" si="131"/>
        <v>6.84</v>
      </c>
      <c r="ED10" s="299"/>
      <c r="EE10" s="295" t="s">
        <v>13</v>
      </c>
      <c r="EF10" s="295" t="s">
        <v>686</v>
      </c>
      <c r="EG10" s="295">
        <v>37</v>
      </c>
      <c r="EH10" s="295" t="s">
        <v>658</v>
      </c>
      <c r="EI10" s="295" t="s">
        <v>681</v>
      </c>
      <c r="EJ10" s="295" t="s">
        <v>643</v>
      </c>
      <c r="EK10" s="295" t="s">
        <v>777</v>
      </c>
      <c r="EL10" s="295" t="s">
        <v>668</v>
      </c>
      <c r="EM10" s="296">
        <v>46387</v>
      </c>
      <c r="EN10" s="295">
        <v>3460</v>
      </c>
      <c r="EO10" s="295" t="s">
        <v>843</v>
      </c>
      <c r="EP10" s="295">
        <v>2</v>
      </c>
      <c r="EQ10" s="295">
        <v>2</v>
      </c>
      <c r="ER10" s="295">
        <v>0</v>
      </c>
      <c r="ES10" s="295">
        <v>22</v>
      </c>
      <c r="ET10" s="295">
        <v>2</v>
      </c>
      <c r="EU10" s="295">
        <v>11.3</v>
      </c>
      <c r="EV10" s="295">
        <v>3.4</v>
      </c>
      <c r="EW10" s="295" t="s">
        <v>1141</v>
      </c>
      <c r="EX10" s="295" t="s">
        <v>943</v>
      </c>
      <c r="EY10" s="295">
        <v>13</v>
      </c>
      <c r="EZ10" s="295">
        <v>4</v>
      </c>
      <c r="FA10" s="295">
        <v>1606</v>
      </c>
      <c r="FB10" s="295">
        <v>1491</v>
      </c>
      <c r="FC10" s="295">
        <v>10</v>
      </c>
      <c r="FD10" s="295">
        <v>99</v>
      </c>
      <c r="FE10" s="295">
        <v>1</v>
      </c>
      <c r="FF10" s="295">
        <v>13</v>
      </c>
      <c r="FG10" s="295">
        <v>7</v>
      </c>
      <c r="FH10" s="295">
        <v>209</v>
      </c>
      <c r="FI10" s="295">
        <v>159</v>
      </c>
      <c r="FJ10" s="295">
        <v>86</v>
      </c>
      <c r="FK10" s="295">
        <v>26</v>
      </c>
      <c r="FL10" s="295">
        <v>31</v>
      </c>
      <c r="FM10" s="295">
        <v>18</v>
      </c>
      <c r="FN10" s="295">
        <v>99</v>
      </c>
      <c r="FO10" s="295">
        <v>1</v>
      </c>
      <c r="FP10" s="295">
        <v>0</v>
      </c>
      <c r="FQ10" s="295">
        <v>18</v>
      </c>
      <c r="FR10" s="295">
        <v>2</v>
      </c>
      <c r="FS10" s="295">
        <v>0</v>
      </c>
      <c r="FT10" s="295">
        <v>0.1</v>
      </c>
      <c r="FU10" s="295">
        <v>2</v>
      </c>
      <c r="FV10" s="295">
        <v>0</v>
      </c>
      <c r="FW10" s="295">
        <v>29</v>
      </c>
      <c r="FX10" s="295">
        <v>23</v>
      </c>
      <c r="FY10" s="295">
        <v>32</v>
      </c>
      <c r="FZ10" s="295">
        <v>7</v>
      </c>
      <c r="GA10" s="295">
        <v>1</v>
      </c>
      <c r="GB10" s="295">
        <v>0</v>
      </c>
      <c r="GC10" s="295">
        <v>1</v>
      </c>
      <c r="GD10" s="295">
        <v>4.3</v>
      </c>
      <c r="GE10" s="295">
        <v>2</v>
      </c>
      <c r="GF10" s="295">
        <v>2</v>
      </c>
      <c r="GG10" s="295" t="s">
        <v>1071</v>
      </c>
      <c r="GH10" s="300">
        <v>6.84</v>
      </c>
    </row>
    <row r="11" spans="1:190" ht="24.95" customHeight="1" thickBot="1" x14ac:dyDescent="0.3">
      <c r="A11" s="29" t="str">
        <f t="shared" si="132"/>
        <v>10º</v>
      </c>
      <c r="B11" s="69" t="str">
        <f t="shared" si="1"/>
        <v>Pedro Henrique</v>
      </c>
      <c r="C11" s="86" t="str">
        <f t="shared" si="2"/>
        <v>BRA</v>
      </c>
      <c r="D11" s="36" t="str">
        <f t="shared" si="3"/>
        <v>Bragantino</v>
      </c>
      <c r="E11" s="36">
        <f t="shared" si="4"/>
        <v>30</v>
      </c>
      <c r="F11" s="344" t="str">
        <f t="shared" si="5"/>
        <v>35m € p/m</v>
      </c>
      <c r="G11" s="96">
        <f t="shared" si="6"/>
        <v>41.534074074074077</v>
      </c>
      <c r="H11" s="197">
        <f t="shared" si="7"/>
        <v>44.477777777777774</v>
      </c>
      <c r="I11" s="197">
        <f t="shared" si="8"/>
        <v>46</v>
      </c>
      <c r="J11" s="197">
        <f t="shared" si="9"/>
        <v>87.021739130434781</v>
      </c>
      <c r="K11" s="198">
        <f t="shared" si="10"/>
        <v>0.98</v>
      </c>
      <c r="L11" s="6">
        <f t="shared" si="11"/>
        <v>3</v>
      </c>
      <c r="M11" s="24">
        <f t="shared" si="12"/>
        <v>1334.3333333333333</v>
      </c>
      <c r="N11" s="21">
        <f t="shared" si="13"/>
        <v>6.7449412940294787E-2</v>
      </c>
      <c r="O11" s="58">
        <f t="shared" si="14"/>
        <v>4</v>
      </c>
      <c r="P11" s="58">
        <f t="shared" si="15"/>
        <v>2</v>
      </c>
      <c r="Q11" s="58">
        <f t="shared" si="16"/>
        <v>6</v>
      </c>
      <c r="R11" s="76">
        <f t="shared" si="17"/>
        <v>8.9932550587059706E-2</v>
      </c>
      <c r="S11" s="76">
        <f t="shared" si="18"/>
        <v>4.4966275293529853E-2</v>
      </c>
      <c r="T11" s="76">
        <f t="shared" si="19"/>
        <v>0.13489882588058957</v>
      </c>
      <c r="U11" s="76">
        <f t="shared" si="20"/>
        <v>2.81</v>
      </c>
      <c r="V11" s="76">
        <f t="shared" si="21"/>
        <v>2.81</v>
      </c>
      <c r="W11" s="76">
        <f t="shared" si="22"/>
        <v>6.3177616787409449E-2</v>
      </c>
      <c r="X11" s="76">
        <f t="shared" si="23"/>
        <v>1.62</v>
      </c>
      <c r="Y11" s="76">
        <f t="shared" si="24"/>
        <v>3.6422682987759185E-2</v>
      </c>
      <c r="Z11" s="76">
        <f t="shared" si="25"/>
        <v>4.43</v>
      </c>
      <c r="AA11" s="76">
        <f t="shared" si="26"/>
        <v>9.9600299775168627E-2</v>
      </c>
      <c r="AB11" s="6">
        <f t="shared" si="27"/>
        <v>34</v>
      </c>
      <c r="AC11" s="5">
        <f t="shared" si="28"/>
        <v>0.76442667999000757</v>
      </c>
      <c r="AD11" s="6">
        <f t="shared" si="29"/>
        <v>11</v>
      </c>
      <c r="AE11" s="5">
        <f t="shared" si="30"/>
        <v>0.24731451411441421</v>
      </c>
      <c r="AF11" s="21">
        <f t="shared" si="31"/>
        <v>0.3235294117647059</v>
      </c>
      <c r="AG11" s="76">
        <f t="shared" si="32"/>
        <v>8.5</v>
      </c>
      <c r="AH11" s="76">
        <f t="shared" si="33"/>
        <v>2.75</v>
      </c>
      <c r="AI11" s="20">
        <f t="shared" si="34"/>
        <v>0.11764705882352941</v>
      </c>
      <c r="AJ11" s="76">
        <f t="shared" si="35"/>
        <v>117.73529411764706</v>
      </c>
      <c r="AK11" s="76">
        <f t="shared" si="36"/>
        <v>363.90909090909093</v>
      </c>
      <c r="AL11" s="76">
        <f t="shared" si="37"/>
        <v>1000.75</v>
      </c>
      <c r="AM11" s="76">
        <f t="shared" si="38"/>
        <v>667.16666666666663</v>
      </c>
      <c r="AN11" s="5">
        <f t="shared" si="39"/>
        <v>1.19</v>
      </c>
      <c r="AO11" s="5">
        <f t="shared" si="40"/>
        <v>1.19</v>
      </c>
      <c r="AP11" s="75">
        <f t="shared" si="41"/>
        <v>1</v>
      </c>
      <c r="AQ11" s="76">
        <f t="shared" si="42"/>
        <v>2.2483137646764927E-2</v>
      </c>
      <c r="AR11" s="75">
        <f t="shared" si="43"/>
        <v>258</v>
      </c>
      <c r="AS11" s="75">
        <f t="shared" si="44"/>
        <v>198</v>
      </c>
      <c r="AT11" s="75">
        <f t="shared" si="45"/>
        <v>60</v>
      </c>
      <c r="AU11" s="76">
        <f t="shared" si="46"/>
        <v>4.4516612540594558</v>
      </c>
      <c r="AV11" s="79">
        <f t="shared" si="47"/>
        <v>0.76744186046511631</v>
      </c>
      <c r="AW11" s="75">
        <f t="shared" si="48"/>
        <v>57</v>
      </c>
      <c r="AX11" s="75">
        <f t="shared" si="49"/>
        <v>40</v>
      </c>
      <c r="AY11" s="75">
        <f t="shared" si="50"/>
        <v>2</v>
      </c>
      <c r="AZ11" s="76">
        <f t="shared" si="51"/>
        <v>0.89932550587059712</v>
      </c>
      <c r="BA11" s="76">
        <f t="shared" si="52"/>
        <v>4.4966275293529853E-2</v>
      </c>
      <c r="BB11" s="79">
        <f t="shared" si="53"/>
        <v>0.70175438596491224</v>
      </c>
      <c r="BC11" s="273">
        <f t="shared" si="54"/>
        <v>15</v>
      </c>
      <c r="BD11" s="272">
        <f t="shared" si="55"/>
        <v>0.33724706470147392</v>
      </c>
      <c r="BE11" s="273">
        <f t="shared" si="56"/>
        <v>1</v>
      </c>
      <c r="BF11" s="272">
        <f t="shared" si="57"/>
        <v>2.2483137646764927E-2</v>
      </c>
      <c r="BG11" s="273">
        <f t="shared" si="58"/>
        <v>0</v>
      </c>
      <c r="BH11" s="272">
        <f t="shared" si="59"/>
        <v>0</v>
      </c>
      <c r="BI11" s="273">
        <f t="shared" si="60"/>
        <v>1</v>
      </c>
      <c r="BJ11" s="79">
        <f t="shared" si="61"/>
        <v>6.6666666666666666E-2</v>
      </c>
      <c r="BK11" s="76">
        <f t="shared" si="62"/>
        <v>7.1000000000000005</v>
      </c>
      <c r="BL11" s="75">
        <f t="shared" si="63"/>
        <v>93</v>
      </c>
      <c r="BM11" s="75">
        <f t="shared" si="64"/>
        <v>35</v>
      </c>
      <c r="BN11" s="160">
        <f t="shared" si="65"/>
        <v>0.37634408602150538</v>
      </c>
      <c r="BO11" s="75">
        <f t="shared" si="66"/>
        <v>418</v>
      </c>
      <c r="BP11" s="76">
        <f t="shared" si="67"/>
        <v>9.3979515363477404</v>
      </c>
      <c r="BQ11" s="75">
        <f t="shared" si="68"/>
        <v>283</v>
      </c>
      <c r="BR11" s="76">
        <f t="shared" si="69"/>
        <v>6.362727954034475</v>
      </c>
      <c r="BS11" s="160">
        <f t="shared" si="70"/>
        <v>0.67703349282296654</v>
      </c>
      <c r="BT11" s="75">
        <f t="shared" si="71"/>
        <v>219</v>
      </c>
      <c r="BU11" s="76">
        <f t="shared" si="72"/>
        <v>4.9238071446415193</v>
      </c>
      <c r="BV11" s="75">
        <f t="shared" si="73"/>
        <v>90</v>
      </c>
      <c r="BW11" s="76">
        <f t="shared" si="74"/>
        <v>2.0234823882088437</v>
      </c>
      <c r="BX11" s="317">
        <f t="shared" si="75"/>
        <v>0</v>
      </c>
      <c r="BY11" s="318">
        <f t="shared" si="76"/>
        <v>0</v>
      </c>
      <c r="BZ11" s="317">
        <f t="shared" si="77"/>
        <v>0</v>
      </c>
      <c r="CA11" s="318">
        <f t="shared" si="78"/>
        <v>0</v>
      </c>
      <c r="CB11" s="364">
        <f t="shared" si="79"/>
        <v>0</v>
      </c>
      <c r="CC11" s="317">
        <f t="shared" si="80"/>
        <v>0</v>
      </c>
      <c r="CD11" s="317">
        <f t="shared" si="81"/>
        <v>0</v>
      </c>
      <c r="CE11" s="365">
        <f t="shared" si="82"/>
        <v>0</v>
      </c>
      <c r="CF11" s="363">
        <f t="shared" si="83"/>
        <v>1E-8</v>
      </c>
      <c r="CG11" s="75">
        <f t="shared" si="84"/>
        <v>65.895555555555561</v>
      </c>
      <c r="CH11" s="76">
        <f t="shared" si="85"/>
        <v>1.4815388458656009</v>
      </c>
      <c r="CI11" s="75">
        <f t="shared" si="86"/>
        <v>32</v>
      </c>
      <c r="CJ11" s="76">
        <f t="shared" si="87"/>
        <v>0.71946040469647765</v>
      </c>
      <c r="CK11" s="79">
        <f t="shared" si="88"/>
        <v>0.48561696961521594</v>
      </c>
      <c r="CL11" s="75">
        <f t="shared" si="89"/>
        <v>524</v>
      </c>
      <c r="CM11" s="76">
        <f t="shared" si="90"/>
        <v>11.781164126904823</v>
      </c>
      <c r="CN11" s="75">
        <f t="shared" si="91"/>
        <v>457</v>
      </c>
      <c r="CO11" s="76">
        <f t="shared" si="92"/>
        <v>10.274793904571572</v>
      </c>
      <c r="CP11" s="79">
        <f t="shared" si="93"/>
        <v>0.87213740458015265</v>
      </c>
      <c r="CQ11" s="83">
        <f t="shared" si="94"/>
        <v>2749.8955555555558</v>
      </c>
      <c r="CR11" s="83">
        <f t="shared" si="95"/>
        <v>2478</v>
      </c>
      <c r="CS11" s="84">
        <f t="shared" si="96"/>
        <v>0.9011251336414392</v>
      </c>
      <c r="CT11" s="75">
        <f t="shared" si="97"/>
        <v>3</v>
      </c>
      <c r="CU11" s="76">
        <f t="shared" si="98"/>
        <v>6.7449412940294787E-2</v>
      </c>
      <c r="CV11" s="75">
        <f t="shared" si="99"/>
        <v>17</v>
      </c>
      <c r="CW11" s="76">
        <f t="shared" si="100"/>
        <v>0.38221333999500379</v>
      </c>
      <c r="CX11" s="75">
        <f t="shared" si="101"/>
        <v>50</v>
      </c>
      <c r="CY11" s="76">
        <f t="shared" si="102"/>
        <v>1.1241568823382464</v>
      </c>
      <c r="CZ11" s="75">
        <f t="shared" si="103"/>
        <v>8.8955555555555552</v>
      </c>
      <c r="DA11" s="76">
        <f t="shared" si="104"/>
        <v>0.2</v>
      </c>
      <c r="DB11" s="75">
        <f t="shared" si="105"/>
        <v>2654</v>
      </c>
      <c r="DC11" s="76">
        <f t="shared" si="106"/>
        <v>59.670247314514121</v>
      </c>
      <c r="DD11" s="75">
        <f t="shared" si="107"/>
        <v>39</v>
      </c>
      <c r="DE11" s="6">
        <f t="shared" si="108"/>
        <v>0</v>
      </c>
      <c r="DF11" s="5">
        <f t="shared" si="109"/>
        <v>0</v>
      </c>
      <c r="DG11" s="6">
        <f t="shared" si="110"/>
        <v>9</v>
      </c>
      <c r="DH11" s="5">
        <f t="shared" si="111"/>
        <v>0.20234823882088435</v>
      </c>
      <c r="DI11" s="5">
        <f t="shared" si="112"/>
        <v>4.5</v>
      </c>
      <c r="DJ11" s="21">
        <f t="shared" si="113"/>
        <v>0.22222222222222221</v>
      </c>
      <c r="DK11" s="5">
        <f t="shared" si="114"/>
        <v>-0.37999999999999989</v>
      </c>
      <c r="DL11" s="5">
        <f t="shared" si="115"/>
        <v>0.18000000000000002</v>
      </c>
      <c r="DM11" s="222">
        <f t="shared" si="116"/>
        <v>49</v>
      </c>
      <c r="DN11" s="223">
        <f t="shared" si="117"/>
        <v>1.1016737446914815</v>
      </c>
      <c r="DO11" s="76">
        <f t="shared" si="118"/>
        <v>444.77777777777777</v>
      </c>
      <c r="DP11" s="76">
        <f>IFERROR(EN11/(FG11+ET11+#REF!),700)</f>
        <v>700</v>
      </c>
      <c r="DQ11" s="76">
        <f t="shared" si="119"/>
        <v>48.563577317012246</v>
      </c>
      <c r="DR11" s="76">
        <f t="shared" si="120"/>
        <v>44.71896077941544</v>
      </c>
      <c r="DS11" s="92">
        <f t="shared" si="121"/>
        <v>0.92083333333333328</v>
      </c>
      <c r="DT11" s="188">
        <f t="shared" si="122"/>
        <v>436.7</v>
      </c>
      <c r="DU11" s="207">
        <f t="shared" si="123"/>
        <v>9.8183862103422435</v>
      </c>
      <c r="DV11" s="209">
        <f t="shared" si="124"/>
        <v>6.545590806894829</v>
      </c>
      <c r="DW11" s="208">
        <f t="shared" si="125"/>
        <v>204.59777777777774</v>
      </c>
      <c r="DX11" s="76">
        <f t="shared" si="126"/>
        <v>4.5999999999999996</v>
      </c>
      <c r="DY11" s="56">
        <f t="shared" si="127"/>
        <v>256</v>
      </c>
      <c r="DZ11" s="57">
        <f t="shared" si="128"/>
        <v>5.7556832375718212</v>
      </c>
      <c r="EA11" s="76">
        <f t="shared" si="129"/>
        <v>3.7</v>
      </c>
      <c r="EB11" s="57">
        <f t="shared" si="130"/>
        <v>306.89666666666665</v>
      </c>
      <c r="EC11" s="62">
        <f t="shared" si="131"/>
        <v>6.9</v>
      </c>
      <c r="ED11" s="299"/>
      <c r="EE11" s="295" t="s">
        <v>13</v>
      </c>
      <c r="EF11" s="295" t="s">
        <v>695</v>
      </c>
      <c r="EG11" s="295">
        <v>30</v>
      </c>
      <c r="EH11" s="295" t="s">
        <v>555</v>
      </c>
      <c r="EI11" s="295" t="s">
        <v>552</v>
      </c>
      <c r="EJ11" s="295" t="s">
        <v>643</v>
      </c>
      <c r="EK11" s="295" t="s">
        <v>1066</v>
      </c>
      <c r="EL11" s="295" t="s">
        <v>696</v>
      </c>
      <c r="EM11" s="296">
        <v>46752</v>
      </c>
      <c r="EN11" s="295">
        <v>4003</v>
      </c>
      <c r="EO11" s="295" t="s">
        <v>905</v>
      </c>
      <c r="EP11" s="295">
        <v>3</v>
      </c>
      <c r="EQ11" s="295">
        <v>4</v>
      </c>
      <c r="ER11" s="295">
        <v>2</v>
      </c>
      <c r="ES11" s="295">
        <v>8</v>
      </c>
      <c r="ET11" s="295">
        <v>7</v>
      </c>
      <c r="EU11" s="295">
        <v>10.8</v>
      </c>
      <c r="EV11" s="295">
        <v>3.7</v>
      </c>
      <c r="EW11" s="295" t="s">
        <v>1002</v>
      </c>
      <c r="EX11" s="295" t="s">
        <v>928</v>
      </c>
      <c r="EY11" s="295">
        <v>15</v>
      </c>
      <c r="EZ11" s="295">
        <v>8</v>
      </c>
      <c r="FA11" s="295">
        <v>2160</v>
      </c>
      <c r="FB11" s="295">
        <v>1989</v>
      </c>
      <c r="FC11" s="295">
        <v>9</v>
      </c>
      <c r="FD11" s="295">
        <v>147</v>
      </c>
      <c r="FE11" s="295">
        <v>3</v>
      </c>
      <c r="FF11" s="295">
        <v>34</v>
      </c>
      <c r="FG11" s="295">
        <v>11</v>
      </c>
      <c r="FH11" s="295">
        <v>258</v>
      </c>
      <c r="FI11" s="295">
        <v>198</v>
      </c>
      <c r="FJ11" s="295">
        <v>93</v>
      </c>
      <c r="FK11" s="295">
        <v>35</v>
      </c>
      <c r="FL11" s="295">
        <v>42</v>
      </c>
      <c r="FM11" s="295">
        <v>40</v>
      </c>
      <c r="FN11" s="295">
        <v>111</v>
      </c>
      <c r="FO11" s="295">
        <v>3</v>
      </c>
      <c r="FP11" s="295">
        <v>1</v>
      </c>
      <c r="FQ11" s="295">
        <v>3</v>
      </c>
      <c r="FR11" s="295">
        <v>1</v>
      </c>
      <c r="FS11" s="295">
        <v>1</v>
      </c>
      <c r="FT11" s="295">
        <v>0.2</v>
      </c>
      <c r="FU11" s="295">
        <v>0</v>
      </c>
      <c r="FV11" s="295">
        <v>1</v>
      </c>
      <c r="FW11" s="295">
        <v>26</v>
      </c>
      <c r="FX11" s="295">
        <v>26</v>
      </c>
      <c r="FY11" s="295">
        <v>46</v>
      </c>
      <c r="FZ11" s="295">
        <v>10</v>
      </c>
      <c r="GA11" s="295">
        <v>1</v>
      </c>
      <c r="GB11" s="295">
        <v>0</v>
      </c>
      <c r="GC11" s="295">
        <v>0</v>
      </c>
      <c r="GD11" s="295">
        <v>4.5999999999999996</v>
      </c>
      <c r="GE11" s="295">
        <v>0</v>
      </c>
      <c r="GF11" s="295">
        <v>0</v>
      </c>
      <c r="GG11" s="295" t="s">
        <v>1067</v>
      </c>
      <c r="GH11" s="300">
        <v>6.9</v>
      </c>
    </row>
    <row r="12" spans="1:190" ht="24.95" customHeight="1" thickBot="1" x14ac:dyDescent="0.3">
      <c r="A12" s="29" t="str">
        <f t="shared" si="132"/>
        <v>11º</v>
      </c>
      <c r="B12" s="69" t="str">
        <f t="shared" si="1"/>
        <v>Raniele</v>
      </c>
      <c r="C12" s="86" t="str">
        <f t="shared" si="2"/>
        <v>BRA</v>
      </c>
      <c r="D12" s="36" t="str">
        <f t="shared" si="3"/>
        <v>Corinthians</v>
      </c>
      <c r="E12" s="36">
        <f t="shared" si="4"/>
        <v>29</v>
      </c>
      <c r="F12" s="344" t="str">
        <f t="shared" si="5"/>
        <v>65,5m € p/m</v>
      </c>
      <c r="G12" s="96">
        <f t="shared" si="6"/>
        <v>41.534074074074077</v>
      </c>
      <c r="H12" s="197">
        <f t="shared" si="7"/>
        <v>41.87777777777778</v>
      </c>
      <c r="I12" s="197">
        <f t="shared" si="8"/>
        <v>46</v>
      </c>
      <c r="J12" s="197">
        <f t="shared" si="9"/>
        <v>81.934782608695656</v>
      </c>
      <c r="K12" s="198">
        <f t="shared" si="10"/>
        <v>0.93</v>
      </c>
      <c r="L12" s="6">
        <f t="shared" si="11"/>
        <v>0</v>
      </c>
      <c r="M12" s="24">
        <f t="shared" si="12"/>
        <v>5400</v>
      </c>
      <c r="N12" s="21">
        <f t="shared" si="13"/>
        <v>0</v>
      </c>
      <c r="O12" s="58">
        <f t="shared" si="14"/>
        <v>2</v>
      </c>
      <c r="P12" s="58">
        <f t="shared" si="15"/>
        <v>1</v>
      </c>
      <c r="Q12" s="58">
        <f t="shared" si="16"/>
        <v>3</v>
      </c>
      <c r="R12" s="76">
        <f t="shared" si="17"/>
        <v>4.775802600159193E-2</v>
      </c>
      <c r="S12" s="76">
        <f t="shared" si="18"/>
        <v>2.3879013000795965E-2</v>
      </c>
      <c r="T12" s="76">
        <f t="shared" si="19"/>
        <v>7.1637039002387895E-2</v>
      </c>
      <c r="U12" s="76">
        <f t="shared" si="20"/>
        <v>2.72</v>
      </c>
      <c r="V12" s="76">
        <f t="shared" si="21"/>
        <v>2.72</v>
      </c>
      <c r="W12" s="76">
        <f t="shared" si="22"/>
        <v>6.4950915362165032E-2</v>
      </c>
      <c r="X12" s="76">
        <f t="shared" si="23"/>
        <v>1.56</v>
      </c>
      <c r="Y12" s="76">
        <f t="shared" si="24"/>
        <v>3.7251260281241705E-2</v>
      </c>
      <c r="Z12" s="76">
        <f t="shared" si="25"/>
        <v>4.28</v>
      </c>
      <c r="AA12" s="76">
        <f t="shared" si="26"/>
        <v>0.10220217564340674</v>
      </c>
      <c r="AB12" s="6">
        <f t="shared" si="27"/>
        <v>39</v>
      </c>
      <c r="AC12" s="5">
        <f t="shared" si="28"/>
        <v>0.93128150703104262</v>
      </c>
      <c r="AD12" s="6">
        <f t="shared" si="29"/>
        <v>13</v>
      </c>
      <c r="AE12" s="5">
        <f t="shared" si="30"/>
        <v>0.31042716901034756</v>
      </c>
      <c r="AF12" s="21">
        <f t="shared" si="31"/>
        <v>0.33333333333333331</v>
      </c>
      <c r="AG12" s="76">
        <f t="shared" si="32"/>
        <v>19.5</v>
      </c>
      <c r="AH12" s="76">
        <f t="shared" si="33"/>
        <v>6.5</v>
      </c>
      <c r="AI12" s="20">
        <f t="shared" si="34"/>
        <v>5.128205128205128E-2</v>
      </c>
      <c r="AJ12" s="76">
        <f t="shared" si="35"/>
        <v>96.641025641025635</v>
      </c>
      <c r="AK12" s="76">
        <f t="shared" si="36"/>
        <v>289.92307692307691</v>
      </c>
      <c r="AL12" s="76">
        <f t="shared" si="37"/>
        <v>1884.5</v>
      </c>
      <c r="AM12" s="76">
        <f t="shared" si="38"/>
        <v>1256.3333333333333</v>
      </c>
      <c r="AN12" s="5">
        <f t="shared" si="39"/>
        <v>-0.7200000000000002</v>
      </c>
      <c r="AO12" s="5">
        <f t="shared" si="40"/>
        <v>-0.7200000000000002</v>
      </c>
      <c r="AP12" s="75">
        <f t="shared" si="41"/>
        <v>0</v>
      </c>
      <c r="AQ12" s="76">
        <f t="shared" si="42"/>
        <v>0</v>
      </c>
      <c r="AR12" s="75">
        <f t="shared" si="43"/>
        <v>162</v>
      </c>
      <c r="AS12" s="75">
        <f t="shared" si="44"/>
        <v>112</v>
      </c>
      <c r="AT12" s="75">
        <f t="shared" si="45"/>
        <v>50</v>
      </c>
      <c r="AU12" s="76">
        <f t="shared" si="46"/>
        <v>2.6744494560891483</v>
      </c>
      <c r="AV12" s="79">
        <f t="shared" si="47"/>
        <v>0.69135802469135799</v>
      </c>
      <c r="AW12" s="75">
        <f t="shared" si="48"/>
        <v>90</v>
      </c>
      <c r="AX12" s="75">
        <f t="shared" si="49"/>
        <v>45</v>
      </c>
      <c r="AY12" s="75">
        <f t="shared" si="50"/>
        <v>16</v>
      </c>
      <c r="AZ12" s="76">
        <f t="shared" si="51"/>
        <v>1.0745555850358184</v>
      </c>
      <c r="BA12" s="76">
        <f t="shared" si="52"/>
        <v>0.38206420801273544</v>
      </c>
      <c r="BB12" s="79">
        <f t="shared" si="53"/>
        <v>0.5</v>
      </c>
      <c r="BC12" s="273">
        <f t="shared" si="54"/>
        <v>29</v>
      </c>
      <c r="BD12" s="272">
        <f t="shared" si="55"/>
        <v>0.69249137702308305</v>
      </c>
      <c r="BE12" s="273">
        <f t="shared" si="56"/>
        <v>4</v>
      </c>
      <c r="BF12" s="272">
        <f t="shared" si="57"/>
        <v>9.551605200318386E-2</v>
      </c>
      <c r="BG12" s="273">
        <f t="shared" si="58"/>
        <v>0</v>
      </c>
      <c r="BH12" s="272">
        <f t="shared" si="59"/>
        <v>0</v>
      </c>
      <c r="BI12" s="273">
        <f t="shared" si="60"/>
        <v>4</v>
      </c>
      <c r="BJ12" s="79">
        <f t="shared" si="61"/>
        <v>0.13793103448275862</v>
      </c>
      <c r="BK12" s="76">
        <f t="shared" si="62"/>
        <v>4.5</v>
      </c>
      <c r="BL12" s="75">
        <f t="shared" si="63"/>
        <v>197</v>
      </c>
      <c r="BM12" s="75">
        <f t="shared" si="64"/>
        <v>40</v>
      </c>
      <c r="BN12" s="160">
        <f t="shared" si="65"/>
        <v>0.20304568527918782</v>
      </c>
      <c r="BO12" s="75">
        <f t="shared" si="66"/>
        <v>454</v>
      </c>
      <c r="BP12" s="76">
        <f t="shared" si="67"/>
        <v>10.841071902361369</v>
      </c>
      <c r="BQ12" s="75">
        <f t="shared" si="68"/>
        <v>202</v>
      </c>
      <c r="BR12" s="76">
        <f t="shared" si="69"/>
        <v>4.8235606261607851</v>
      </c>
      <c r="BS12" s="160">
        <f t="shared" si="70"/>
        <v>0.44493392070484583</v>
      </c>
      <c r="BT12" s="75">
        <f t="shared" si="71"/>
        <v>197</v>
      </c>
      <c r="BU12" s="76">
        <f t="shared" si="72"/>
        <v>4.7041655611568052</v>
      </c>
      <c r="BV12" s="75">
        <f t="shared" si="73"/>
        <v>92.5</v>
      </c>
      <c r="BW12" s="76">
        <f t="shared" si="74"/>
        <v>2.2088087025736267</v>
      </c>
      <c r="BX12" s="317">
        <f t="shared" si="75"/>
        <v>1</v>
      </c>
      <c r="BY12" s="318">
        <f t="shared" si="76"/>
        <v>2.3879013000795965E-2</v>
      </c>
      <c r="BZ12" s="317">
        <f t="shared" si="77"/>
        <v>0</v>
      </c>
      <c r="CA12" s="318">
        <f t="shared" si="78"/>
        <v>0</v>
      </c>
      <c r="CB12" s="364">
        <f t="shared" si="79"/>
        <v>0</v>
      </c>
      <c r="CC12" s="317">
        <f t="shared" si="80"/>
        <v>0</v>
      </c>
      <c r="CD12" s="317">
        <f t="shared" si="81"/>
        <v>0</v>
      </c>
      <c r="CE12" s="365">
        <f t="shared" si="82"/>
        <v>0</v>
      </c>
      <c r="CF12" s="363">
        <f t="shared" si="83"/>
        <v>1E-8</v>
      </c>
      <c r="CG12" s="75">
        <f t="shared" si="84"/>
        <v>95.126666666666665</v>
      </c>
      <c r="CH12" s="76">
        <f t="shared" si="85"/>
        <v>2.2715309100557177</v>
      </c>
      <c r="CI12" s="75">
        <f t="shared" si="86"/>
        <v>41</v>
      </c>
      <c r="CJ12" s="76">
        <f t="shared" si="87"/>
        <v>0.97903953303263458</v>
      </c>
      <c r="CK12" s="79">
        <f t="shared" si="88"/>
        <v>0.43100427500175204</v>
      </c>
      <c r="CL12" s="75">
        <f t="shared" si="89"/>
        <v>444</v>
      </c>
      <c r="CM12" s="76">
        <f t="shared" si="90"/>
        <v>10.602281772353409</v>
      </c>
      <c r="CN12" s="75">
        <f t="shared" si="91"/>
        <v>354</v>
      </c>
      <c r="CO12" s="76">
        <f t="shared" si="92"/>
        <v>8.4531706022817712</v>
      </c>
      <c r="CP12" s="79">
        <f t="shared" si="93"/>
        <v>0.79729729729729726</v>
      </c>
      <c r="CQ12" s="83">
        <f t="shared" si="94"/>
        <v>2966.1266666666666</v>
      </c>
      <c r="CR12" s="83">
        <f t="shared" si="95"/>
        <v>2639</v>
      </c>
      <c r="CS12" s="84">
        <f t="shared" si="96"/>
        <v>0.88971250946801561</v>
      </c>
      <c r="CT12" s="75">
        <f t="shared" si="97"/>
        <v>4</v>
      </c>
      <c r="CU12" s="76">
        <f t="shared" si="98"/>
        <v>9.551605200318386E-2</v>
      </c>
      <c r="CV12" s="75">
        <f t="shared" si="99"/>
        <v>24</v>
      </c>
      <c r="CW12" s="76">
        <f t="shared" si="100"/>
        <v>0.57309631201910316</v>
      </c>
      <c r="CX12" s="75">
        <f t="shared" si="101"/>
        <v>62</v>
      </c>
      <c r="CY12" s="76">
        <f t="shared" si="102"/>
        <v>1.4804988060493498</v>
      </c>
      <c r="CZ12" s="75">
        <f t="shared" si="103"/>
        <v>25.126666666666669</v>
      </c>
      <c r="DA12" s="76">
        <f t="shared" si="104"/>
        <v>0.6</v>
      </c>
      <c r="DB12" s="75">
        <f t="shared" si="105"/>
        <v>2841</v>
      </c>
      <c r="DC12" s="76">
        <f t="shared" si="106"/>
        <v>67.840275935261346</v>
      </c>
      <c r="DD12" s="75">
        <f t="shared" si="107"/>
        <v>44.5</v>
      </c>
      <c r="DE12" s="6">
        <f t="shared" si="108"/>
        <v>0</v>
      </c>
      <c r="DF12" s="5">
        <f t="shared" si="109"/>
        <v>0</v>
      </c>
      <c r="DG12" s="6">
        <f t="shared" si="110"/>
        <v>19</v>
      </c>
      <c r="DH12" s="5">
        <f t="shared" si="111"/>
        <v>0.45370124701512338</v>
      </c>
      <c r="DI12" s="5">
        <f t="shared" si="112"/>
        <v>19</v>
      </c>
      <c r="DJ12" s="21">
        <f t="shared" si="113"/>
        <v>5.2631578947368418E-2</v>
      </c>
      <c r="DK12" s="5">
        <f t="shared" si="114"/>
        <v>0.56000000000000005</v>
      </c>
      <c r="DL12" s="5">
        <f t="shared" si="115"/>
        <v>8.2105263157894737E-2</v>
      </c>
      <c r="DM12" s="222">
        <f t="shared" si="116"/>
        <v>66</v>
      </c>
      <c r="DN12" s="223">
        <f t="shared" si="117"/>
        <v>1.5760148580525337</v>
      </c>
      <c r="DO12" s="76">
        <f t="shared" si="118"/>
        <v>198.36842105263159</v>
      </c>
      <c r="DP12" s="76">
        <f>IFERROR(EN12/(FG12+ET12+#REF!),700)</f>
        <v>700</v>
      </c>
      <c r="DQ12" s="76">
        <f t="shared" si="119"/>
        <v>57.954364552931807</v>
      </c>
      <c r="DR12" s="76">
        <f t="shared" si="120"/>
        <v>53.584505173786148</v>
      </c>
      <c r="DS12" s="92">
        <f t="shared" si="121"/>
        <v>0.92459826946847956</v>
      </c>
      <c r="DT12" s="188">
        <f t="shared" si="122"/>
        <v>463.8</v>
      </c>
      <c r="DU12" s="207">
        <f t="shared" si="123"/>
        <v>11.07508622976917</v>
      </c>
      <c r="DV12" s="209">
        <f t="shared" si="124"/>
        <v>7.3833908198461122</v>
      </c>
      <c r="DW12" s="208">
        <f t="shared" si="125"/>
        <v>406.21444444444444</v>
      </c>
      <c r="DX12" s="76">
        <f t="shared" si="126"/>
        <v>9.6999999999999993</v>
      </c>
      <c r="DY12" s="56">
        <f t="shared" si="127"/>
        <v>262</v>
      </c>
      <c r="DZ12" s="57">
        <f t="shared" si="128"/>
        <v>6.2563014062085429</v>
      </c>
      <c r="EA12" s="76">
        <f t="shared" si="129"/>
        <v>5</v>
      </c>
      <c r="EB12" s="57">
        <f t="shared" si="130"/>
        <v>289.37544444444444</v>
      </c>
      <c r="EC12" s="62">
        <f t="shared" si="131"/>
        <v>6.91</v>
      </c>
      <c r="ED12" s="301"/>
      <c r="EE12" s="297" t="s">
        <v>13</v>
      </c>
      <c r="EF12" s="297" t="s">
        <v>1139</v>
      </c>
      <c r="EG12" s="297">
        <v>29</v>
      </c>
      <c r="EH12" s="297" t="s">
        <v>1045</v>
      </c>
      <c r="EI12" s="297" t="s">
        <v>574</v>
      </c>
      <c r="EJ12" s="297" t="s">
        <v>643</v>
      </c>
      <c r="EK12" s="297" t="s">
        <v>697</v>
      </c>
      <c r="EL12" s="297" t="s">
        <v>978</v>
      </c>
      <c r="EM12" s="298">
        <v>47118</v>
      </c>
      <c r="EN12" s="297">
        <v>3769</v>
      </c>
      <c r="EO12" s="297" t="s">
        <v>964</v>
      </c>
      <c r="EP12" s="297">
        <v>0</v>
      </c>
      <c r="EQ12" s="297">
        <v>2</v>
      </c>
      <c r="ER12" s="297">
        <v>1</v>
      </c>
      <c r="ES12" s="297">
        <v>7</v>
      </c>
      <c r="ET12" s="297">
        <v>4</v>
      </c>
      <c r="EU12" s="297">
        <v>9.5</v>
      </c>
      <c r="EV12" s="297">
        <v>5</v>
      </c>
      <c r="EW12" s="297" t="s">
        <v>960</v>
      </c>
      <c r="EX12" s="297" t="s">
        <v>989</v>
      </c>
      <c r="EY12" s="297">
        <v>29</v>
      </c>
      <c r="EZ12" s="297">
        <v>7</v>
      </c>
      <c r="FA12" s="297">
        <v>2427</v>
      </c>
      <c r="FB12" s="297">
        <v>2244</v>
      </c>
      <c r="FC12" s="297">
        <v>19</v>
      </c>
      <c r="FD12" s="297">
        <v>258</v>
      </c>
      <c r="FE12" s="297">
        <v>4</v>
      </c>
      <c r="FF12" s="297">
        <v>39</v>
      </c>
      <c r="FG12" s="297">
        <v>13</v>
      </c>
      <c r="FH12" s="297">
        <v>162</v>
      </c>
      <c r="FI12" s="297">
        <v>112</v>
      </c>
      <c r="FJ12" s="297">
        <v>197</v>
      </c>
      <c r="FK12" s="297">
        <v>40</v>
      </c>
      <c r="FL12" s="297">
        <v>61</v>
      </c>
      <c r="FM12" s="297">
        <v>45</v>
      </c>
      <c r="FN12" s="297">
        <v>115</v>
      </c>
      <c r="FO12" s="297">
        <v>3</v>
      </c>
      <c r="FP12" s="297">
        <v>1</v>
      </c>
      <c r="FQ12" s="297">
        <v>4</v>
      </c>
      <c r="FR12" s="297">
        <v>1</v>
      </c>
      <c r="FS12" s="297">
        <v>1</v>
      </c>
      <c r="FT12" s="297">
        <v>0.6</v>
      </c>
      <c r="FU12" s="297">
        <v>0</v>
      </c>
      <c r="FV12" s="297">
        <v>0</v>
      </c>
      <c r="FW12" s="297">
        <v>22</v>
      </c>
      <c r="FX12" s="297">
        <v>16</v>
      </c>
      <c r="FY12" s="297">
        <v>39</v>
      </c>
      <c r="FZ12" s="297">
        <v>5</v>
      </c>
      <c r="GA12" s="297">
        <v>4</v>
      </c>
      <c r="GB12" s="297">
        <v>0</v>
      </c>
      <c r="GC12" s="297">
        <v>0</v>
      </c>
      <c r="GD12" s="297">
        <v>9.6999999999999993</v>
      </c>
      <c r="GE12" s="297">
        <v>0</v>
      </c>
      <c r="GF12" s="297">
        <v>0</v>
      </c>
      <c r="GG12" s="297" t="s">
        <v>1140</v>
      </c>
      <c r="GH12" s="302">
        <v>6.91</v>
      </c>
    </row>
    <row r="13" spans="1:190" ht="24.95" customHeight="1" thickBot="1" x14ac:dyDescent="0.3">
      <c r="A13" s="29" t="str">
        <f t="shared" si="132"/>
        <v>12º</v>
      </c>
      <c r="B13" s="69" t="str">
        <f t="shared" si="1"/>
        <v>Rodrigo Garro</v>
      </c>
      <c r="C13" s="86" t="str">
        <f t="shared" si="2"/>
        <v>ARG</v>
      </c>
      <c r="D13" s="36" t="str">
        <f t="shared" si="3"/>
        <v>Corinthians</v>
      </c>
      <c r="E13" s="36">
        <f t="shared" si="4"/>
        <v>28</v>
      </c>
      <c r="F13" s="344" t="str">
        <f t="shared" si="5"/>
        <v>154m € p/m</v>
      </c>
      <c r="G13" s="96">
        <f t="shared" si="6"/>
        <v>41.534074074074077</v>
      </c>
      <c r="H13" s="197">
        <f t="shared" si="7"/>
        <v>39.711111111111109</v>
      </c>
      <c r="I13" s="197">
        <f t="shared" si="8"/>
        <v>51</v>
      </c>
      <c r="J13" s="197">
        <f t="shared" si="9"/>
        <v>70.078431372549019</v>
      </c>
      <c r="K13" s="198">
        <f t="shared" si="10"/>
        <v>0.92</v>
      </c>
      <c r="L13" s="6">
        <f t="shared" si="11"/>
        <v>5</v>
      </c>
      <c r="M13" s="24">
        <f t="shared" si="12"/>
        <v>714.8</v>
      </c>
      <c r="N13" s="21">
        <f t="shared" si="13"/>
        <v>0.1259093452714046</v>
      </c>
      <c r="O13" s="58">
        <f t="shared" si="14"/>
        <v>12</v>
      </c>
      <c r="P13" s="58">
        <f t="shared" si="15"/>
        <v>10</v>
      </c>
      <c r="Q13" s="58">
        <f t="shared" si="16"/>
        <v>22</v>
      </c>
      <c r="R13" s="76">
        <f t="shared" si="17"/>
        <v>0.30218242865137102</v>
      </c>
      <c r="S13" s="76">
        <f t="shared" si="18"/>
        <v>0.2518186905428092</v>
      </c>
      <c r="T13" s="76">
        <f t="shared" si="19"/>
        <v>0.55400111919418027</v>
      </c>
      <c r="U13" s="76">
        <f t="shared" si="20"/>
        <v>10.63</v>
      </c>
      <c r="V13" s="76">
        <f t="shared" si="21"/>
        <v>9.0500000000000007</v>
      </c>
      <c r="W13" s="76">
        <f t="shared" si="22"/>
        <v>0.22789591494124234</v>
      </c>
      <c r="X13" s="76">
        <f t="shared" si="23"/>
        <v>11.59</v>
      </c>
      <c r="Y13" s="76">
        <f t="shared" si="24"/>
        <v>0.29185786233911587</v>
      </c>
      <c r="Z13" s="76">
        <f t="shared" si="25"/>
        <v>20.64</v>
      </c>
      <c r="AA13" s="76">
        <f t="shared" si="26"/>
        <v>0.51975377728035821</v>
      </c>
      <c r="AB13" s="6">
        <f t="shared" si="27"/>
        <v>92</v>
      </c>
      <c r="AC13" s="5">
        <f t="shared" si="28"/>
        <v>2.3167319529938446</v>
      </c>
      <c r="AD13" s="6">
        <f t="shared" si="29"/>
        <v>39</v>
      </c>
      <c r="AE13" s="5">
        <f t="shared" si="30"/>
        <v>0.9820928931169558</v>
      </c>
      <c r="AF13" s="21">
        <f t="shared" si="31"/>
        <v>0.42391304347826086</v>
      </c>
      <c r="AG13" s="76">
        <f t="shared" si="32"/>
        <v>8.1818181818181817</v>
      </c>
      <c r="AH13" s="76">
        <f t="shared" si="33"/>
        <v>3.3636363636363638</v>
      </c>
      <c r="AI13" s="20">
        <f t="shared" si="34"/>
        <v>0.12222222222222222</v>
      </c>
      <c r="AJ13" s="76">
        <f t="shared" si="35"/>
        <v>38.847826086956523</v>
      </c>
      <c r="AK13" s="76">
        <f t="shared" si="36"/>
        <v>91.641025641025635</v>
      </c>
      <c r="AL13" s="76">
        <f t="shared" si="37"/>
        <v>297.83333333333331</v>
      </c>
      <c r="AM13" s="76">
        <f t="shared" si="38"/>
        <v>162.45454545454547</v>
      </c>
      <c r="AN13" s="5">
        <f t="shared" si="39"/>
        <v>1.3699999999999992</v>
      </c>
      <c r="AO13" s="5">
        <f t="shared" si="40"/>
        <v>1.9499999999999993</v>
      </c>
      <c r="AP13" s="75">
        <f t="shared" si="41"/>
        <v>21</v>
      </c>
      <c r="AQ13" s="76">
        <f t="shared" si="42"/>
        <v>0.52881925013989928</v>
      </c>
      <c r="AR13" s="75">
        <f t="shared" si="43"/>
        <v>155</v>
      </c>
      <c r="AS13" s="75">
        <f t="shared" si="44"/>
        <v>36</v>
      </c>
      <c r="AT13" s="75">
        <f t="shared" si="45"/>
        <v>119</v>
      </c>
      <c r="AU13" s="76">
        <f t="shared" si="46"/>
        <v>0.90654728595411305</v>
      </c>
      <c r="AV13" s="79">
        <f t="shared" si="47"/>
        <v>0.23225806451612904</v>
      </c>
      <c r="AW13" s="75">
        <f t="shared" si="48"/>
        <v>113</v>
      </c>
      <c r="AX13" s="75">
        <f t="shared" si="49"/>
        <v>59</v>
      </c>
      <c r="AY13" s="75">
        <f t="shared" si="50"/>
        <v>14</v>
      </c>
      <c r="AZ13" s="76">
        <f t="shared" si="51"/>
        <v>1.4857302742025742</v>
      </c>
      <c r="BA13" s="76">
        <f t="shared" si="52"/>
        <v>0.35254616675993289</v>
      </c>
      <c r="BB13" s="79">
        <f t="shared" si="53"/>
        <v>0.52212389380530977</v>
      </c>
      <c r="BC13" s="273">
        <f t="shared" si="54"/>
        <v>40</v>
      </c>
      <c r="BD13" s="272">
        <f t="shared" si="55"/>
        <v>1.0072747621712368</v>
      </c>
      <c r="BE13" s="273">
        <f t="shared" si="56"/>
        <v>1</v>
      </c>
      <c r="BF13" s="272">
        <f t="shared" si="57"/>
        <v>2.5181869054280919E-2</v>
      </c>
      <c r="BG13" s="273">
        <f t="shared" si="58"/>
        <v>0</v>
      </c>
      <c r="BH13" s="272">
        <f t="shared" si="59"/>
        <v>0</v>
      </c>
      <c r="BI13" s="273">
        <f t="shared" si="60"/>
        <v>1</v>
      </c>
      <c r="BJ13" s="79">
        <f t="shared" si="61"/>
        <v>2.5000000000000001E-2</v>
      </c>
      <c r="BK13" s="76">
        <f t="shared" si="62"/>
        <v>-6.8</v>
      </c>
      <c r="BL13" s="75">
        <f t="shared" si="63"/>
        <v>318</v>
      </c>
      <c r="BM13" s="75">
        <f t="shared" si="64"/>
        <v>69</v>
      </c>
      <c r="BN13" s="160">
        <f t="shared" si="65"/>
        <v>0.21698113207547171</v>
      </c>
      <c r="BO13" s="75">
        <f t="shared" si="66"/>
        <v>587</v>
      </c>
      <c r="BP13" s="76">
        <f t="shared" si="67"/>
        <v>14.7817571348629</v>
      </c>
      <c r="BQ13" s="75">
        <f t="shared" si="68"/>
        <v>165</v>
      </c>
      <c r="BR13" s="76">
        <f t="shared" si="69"/>
        <v>4.1550083939563516</v>
      </c>
      <c r="BS13" s="160">
        <f t="shared" si="70"/>
        <v>0.28109028960817717</v>
      </c>
      <c r="BT13" s="75">
        <f t="shared" si="71"/>
        <v>113</v>
      </c>
      <c r="BU13" s="76">
        <f t="shared" si="72"/>
        <v>2.845551203133744</v>
      </c>
      <c r="BV13" s="75">
        <f t="shared" si="73"/>
        <v>129.5</v>
      </c>
      <c r="BW13" s="76">
        <f t="shared" si="74"/>
        <v>3.261052042529379</v>
      </c>
      <c r="BX13" s="317">
        <f t="shared" si="75"/>
        <v>256</v>
      </c>
      <c r="BY13" s="318">
        <f t="shared" si="76"/>
        <v>6.4465584778959153</v>
      </c>
      <c r="BZ13" s="317">
        <f t="shared" si="77"/>
        <v>38</v>
      </c>
      <c r="CA13" s="318">
        <f t="shared" si="78"/>
        <v>0.95691102406267492</v>
      </c>
      <c r="CB13" s="364">
        <f t="shared" si="79"/>
        <v>0.1484375</v>
      </c>
      <c r="CC13" s="317">
        <f t="shared" si="80"/>
        <v>2</v>
      </c>
      <c r="CD13" s="317">
        <f t="shared" si="81"/>
        <v>1</v>
      </c>
      <c r="CE13" s="365">
        <f t="shared" si="82"/>
        <v>1</v>
      </c>
      <c r="CF13" s="363">
        <f t="shared" si="83"/>
        <v>0.5</v>
      </c>
      <c r="CG13" s="75">
        <f t="shared" si="84"/>
        <v>657.68222222222221</v>
      </c>
      <c r="CH13" s="76">
        <f t="shared" si="85"/>
        <v>16.561667599328484</v>
      </c>
      <c r="CI13" s="75">
        <f t="shared" si="86"/>
        <v>324</v>
      </c>
      <c r="CJ13" s="76">
        <f t="shared" si="87"/>
        <v>8.1589255735870179</v>
      </c>
      <c r="CK13" s="79">
        <f t="shared" si="88"/>
        <v>0.4926391333876205</v>
      </c>
      <c r="CL13" s="75">
        <f t="shared" si="89"/>
        <v>380</v>
      </c>
      <c r="CM13" s="76">
        <f t="shared" si="90"/>
        <v>9.569110240626749</v>
      </c>
      <c r="CN13" s="75">
        <f t="shared" si="91"/>
        <v>208</v>
      </c>
      <c r="CO13" s="76">
        <f t="shared" si="92"/>
        <v>5.2378287632904312</v>
      </c>
      <c r="CP13" s="79">
        <f t="shared" si="93"/>
        <v>0.54736842105263162</v>
      </c>
      <c r="CQ13" s="83">
        <f t="shared" si="94"/>
        <v>3256.6822222222222</v>
      </c>
      <c r="CR13" s="83">
        <f t="shared" si="95"/>
        <v>2513</v>
      </c>
      <c r="CS13" s="84">
        <f t="shared" si="96"/>
        <v>0.77164421596075627</v>
      </c>
      <c r="CT13" s="75">
        <f t="shared" si="97"/>
        <v>55</v>
      </c>
      <c r="CU13" s="76">
        <f t="shared" si="98"/>
        <v>1.3850027979854507</v>
      </c>
      <c r="CV13" s="75">
        <f t="shared" si="99"/>
        <v>209</v>
      </c>
      <c r="CW13" s="76">
        <f t="shared" si="100"/>
        <v>5.2630106323447121</v>
      </c>
      <c r="CX13" s="75">
        <f t="shared" si="101"/>
        <v>244</v>
      </c>
      <c r="CY13" s="76">
        <f t="shared" si="102"/>
        <v>6.1443760492445447</v>
      </c>
      <c r="CZ13" s="75">
        <f t="shared" si="103"/>
        <v>43.682222222222222</v>
      </c>
      <c r="DA13" s="76">
        <f t="shared" si="104"/>
        <v>1.1000000000000001</v>
      </c>
      <c r="DB13" s="75">
        <f t="shared" si="105"/>
        <v>3032</v>
      </c>
      <c r="DC13" s="76">
        <f t="shared" si="106"/>
        <v>76.351426972579745</v>
      </c>
      <c r="DD13" s="75">
        <f t="shared" si="107"/>
        <v>279</v>
      </c>
      <c r="DE13" s="6">
        <f t="shared" si="108"/>
        <v>0</v>
      </c>
      <c r="DF13" s="5">
        <f t="shared" si="109"/>
        <v>0</v>
      </c>
      <c r="DG13" s="6">
        <f t="shared" si="110"/>
        <v>122</v>
      </c>
      <c r="DH13" s="5">
        <f t="shared" si="111"/>
        <v>3.0721880246222724</v>
      </c>
      <c r="DI13" s="5">
        <f t="shared" si="112"/>
        <v>12.2</v>
      </c>
      <c r="DJ13" s="21">
        <f t="shared" si="113"/>
        <v>8.1967213114754092E-2</v>
      </c>
      <c r="DK13" s="5">
        <f t="shared" si="114"/>
        <v>1.5899999999999999</v>
      </c>
      <c r="DL13" s="5">
        <f t="shared" si="115"/>
        <v>9.5000000000000001E-2</v>
      </c>
      <c r="DM13" s="222">
        <f t="shared" si="116"/>
        <v>563</v>
      </c>
      <c r="DN13" s="223">
        <f t="shared" si="117"/>
        <v>14.177392277560157</v>
      </c>
      <c r="DO13" s="76">
        <f t="shared" si="118"/>
        <v>29.295081967213115</v>
      </c>
      <c r="DP13" s="76">
        <f>IFERROR(EN13/(FG13+ET13+#REF!),700)</f>
        <v>700</v>
      </c>
      <c r="DQ13" s="76">
        <f t="shared" si="119"/>
        <v>55.878567431449362</v>
      </c>
      <c r="DR13" s="76">
        <f t="shared" si="120"/>
        <v>49.885282596530502</v>
      </c>
      <c r="DS13" s="92">
        <f t="shared" si="121"/>
        <v>0.89274447949526814</v>
      </c>
      <c r="DT13" s="188">
        <f t="shared" si="122"/>
        <v>501.3</v>
      </c>
      <c r="DU13" s="207">
        <f t="shared" si="123"/>
        <v>12.623670956911026</v>
      </c>
      <c r="DV13" s="209">
        <f t="shared" si="124"/>
        <v>8.4157806379406832</v>
      </c>
      <c r="DW13" s="208">
        <f t="shared" si="125"/>
        <v>607.58000000000004</v>
      </c>
      <c r="DX13" s="76">
        <f t="shared" si="126"/>
        <v>15.3</v>
      </c>
      <c r="DY13" s="56">
        <f t="shared" si="127"/>
        <v>647</v>
      </c>
      <c r="DZ13" s="57">
        <f t="shared" si="128"/>
        <v>16.292669278119753</v>
      </c>
      <c r="EA13" s="76">
        <f t="shared" si="129"/>
        <v>12.6</v>
      </c>
      <c r="EB13" s="57">
        <f t="shared" si="130"/>
        <v>278.37488888888885</v>
      </c>
      <c r="EC13" s="62">
        <f t="shared" si="131"/>
        <v>7.01</v>
      </c>
      <c r="ED13" s="301"/>
      <c r="EE13" s="297" t="s">
        <v>478</v>
      </c>
      <c r="EF13" s="297" t="s">
        <v>834</v>
      </c>
      <c r="EG13" s="297">
        <v>28</v>
      </c>
      <c r="EH13" s="297" t="s">
        <v>1045</v>
      </c>
      <c r="EI13" s="297" t="s">
        <v>775</v>
      </c>
      <c r="EJ13" s="297" t="s">
        <v>651</v>
      </c>
      <c r="EK13" s="297" t="s">
        <v>1047</v>
      </c>
      <c r="EL13" s="297" t="s">
        <v>1048</v>
      </c>
      <c r="EM13" s="298">
        <v>47118</v>
      </c>
      <c r="EN13" s="297">
        <v>3574</v>
      </c>
      <c r="EO13" s="297" t="s">
        <v>1072</v>
      </c>
      <c r="EP13" s="297">
        <v>5</v>
      </c>
      <c r="EQ13" s="297">
        <v>12</v>
      </c>
      <c r="ER13" s="297">
        <v>10</v>
      </c>
      <c r="ES13" s="297">
        <v>39</v>
      </c>
      <c r="ET13" s="297">
        <v>30</v>
      </c>
      <c r="EU13" s="297">
        <v>5.8</v>
      </c>
      <c r="EV13" s="297">
        <v>12.6</v>
      </c>
      <c r="EW13" s="297" t="s">
        <v>1073</v>
      </c>
      <c r="EX13" s="297" t="s">
        <v>1074</v>
      </c>
      <c r="EY13" s="297">
        <v>40</v>
      </c>
      <c r="EZ13" s="297">
        <v>48</v>
      </c>
      <c r="FA13" s="297">
        <v>2219</v>
      </c>
      <c r="FB13" s="297">
        <v>1981</v>
      </c>
      <c r="FC13" s="297">
        <v>122</v>
      </c>
      <c r="FD13" s="297">
        <v>162</v>
      </c>
      <c r="FE13" s="297">
        <v>55</v>
      </c>
      <c r="FF13" s="297">
        <v>92</v>
      </c>
      <c r="FG13" s="297">
        <v>39</v>
      </c>
      <c r="FH13" s="297">
        <v>155</v>
      </c>
      <c r="FI13" s="297">
        <v>36</v>
      </c>
      <c r="FJ13" s="297">
        <v>318</v>
      </c>
      <c r="FK13" s="297">
        <v>69</v>
      </c>
      <c r="FL13" s="297">
        <v>73</v>
      </c>
      <c r="FM13" s="297">
        <v>59</v>
      </c>
      <c r="FN13" s="297">
        <v>77</v>
      </c>
      <c r="FO13" s="297">
        <v>38</v>
      </c>
      <c r="FP13" s="297">
        <v>19</v>
      </c>
      <c r="FQ13" s="297">
        <v>294</v>
      </c>
      <c r="FR13" s="297">
        <v>57</v>
      </c>
      <c r="FS13" s="297">
        <v>2</v>
      </c>
      <c r="FT13" s="297">
        <v>1.1000000000000001</v>
      </c>
      <c r="FU13" s="297">
        <v>9</v>
      </c>
      <c r="FV13" s="297">
        <v>21</v>
      </c>
      <c r="FW13" s="297">
        <v>9</v>
      </c>
      <c r="FX13" s="297">
        <v>7</v>
      </c>
      <c r="FY13" s="297">
        <v>19</v>
      </c>
      <c r="FZ13" s="297">
        <v>1</v>
      </c>
      <c r="GA13" s="297">
        <v>1</v>
      </c>
      <c r="GB13" s="297">
        <v>0</v>
      </c>
      <c r="GC13" s="297">
        <v>0</v>
      </c>
      <c r="GD13" s="297">
        <v>15.3</v>
      </c>
      <c r="GE13" s="297">
        <v>2</v>
      </c>
      <c r="GF13" s="297">
        <v>1</v>
      </c>
      <c r="GG13" s="297" t="s">
        <v>1046</v>
      </c>
      <c r="GH13" s="302">
        <v>7.01</v>
      </c>
    </row>
    <row r="14" spans="1:190" ht="24.95" customHeight="1" thickBot="1" x14ac:dyDescent="0.3">
      <c r="A14" s="29" t="str">
        <f t="shared" si="132"/>
        <v>13º</v>
      </c>
      <c r="B14" s="69" t="str">
        <f t="shared" si="1"/>
        <v>Tchoca</v>
      </c>
      <c r="C14" s="86" t="str">
        <f t="shared" si="2"/>
        <v>BRA</v>
      </c>
      <c r="D14" s="36" t="str">
        <f t="shared" si="3"/>
        <v>Corinthians</v>
      </c>
      <c r="E14" s="36">
        <f t="shared" si="4"/>
        <v>22</v>
      </c>
      <c r="F14" s="344" t="str">
        <f t="shared" si="5"/>
        <v>6,5m € p/m</v>
      </c>
      <c r="G14" s="96">
        <f t="shared" si="6"/>
        <v>41.534074074074077</v>
      </c>
      <c r="H14" s="197">
        <f t="shared" si="7"/>
        <v>39.855555555555554</v>
      </c>
      <c r="I14" s="197">
        <f t="shared" si="8"/>
        <v>44</v>
      </c>
      <c r="J14" s="197">
        <f t="shared" si="9"/>
        <v>81.522727272727266</v>
      </c>
      <c r="K14" s="198">
        <f t="shared" si="10"/>
        <v>0.89</v>
      </c>
      <c r="L14" s="6">
        <f t="shared" si="11"/>
        <v>1</v>
      </c>
      <c r="M14" s="24">
        <f t="shared" si="12"/>
        <v>3587</v>
      </c>
      <c r="N14" s="21">
        <f t="shared" si="13"/>
        <v>2.5090604962364094E-2</v>
      </c>
      <c r="O14" s="58">
        <f t="shared" si="14"/>
        <v>4</v>
      </c>
      <c r="P14" s="58">
        <f t="shared" si="15"/>
        <v>0</v>
      </c>
      <c r="Q14" s="58">
        <f t="shared" si="16"/>
        <v>4</v>
      </c>
      <c r="R14" s="76">
        <f t="shared" si="17"/>
        <v>0.10036241984945637</v>
      </c>
      <c r="S14" s="76">
        <f t="shared" si="18"/>
        <v>0</v>
      </c>
      <c r="T14" s="76">
        <f t="shared" si="19"/>
        <v>0.10036241984945637</v>
      </c>
      <c r="U14" s="76">
        <f t="shared" si="20"/>
        <v>2.39</v>
      </c>
      <c r="V14" s="76">
        <f t="shared" si="21"/>
        <v>2.39</v>
      </c>
      <c r="W14" s="76">
        <f t="shared" si="22"/>
        <v>5.9966545860050187E-2</v>
      </c>
      <c r="X14" s="76">
        <f t="shared" si="23"/>
        <v>0.48</v>
      </c>
      <c r="Y14" s="76">
        <f t="shared" si="24"/>
        <v>1.2043490381934764E-2</v>
      </c>
      <c r="Z14" s="76">
        <f t="shared" si="25"/>
        <v>2.87</v>
      </c>
      <c r="AA14" s="76">
        <f t="shared" si="26"/>
        <v>7.2010036241984945E-2</v>
      </c>
      <c r="AB14" s="6">
        <f t="shared" si="27"/>
        <v>24</v>
      </c>
      <c r="AC14" s="5">
        <f t="shared" si="28"/>
        <v>0.60217451909673825</v>
      </c>
      <c r="AD14" s="6">
        <f t="shared" si="29"/>
        <v>11</v>
      </c>
      <c r="AE14" s="5">
        <f t="shared" si="30"/>
        <v>0.27599665458600503</v>
      </c>
      <c r="AF14" s="21">
        <f t="shared" si="31"/>
        <v>0.45833333333333331</v>
      </c>
      <c r="AG14" s="76">
        <f t="shared" si="32"/>
        <v>6</v>
      </c>
      <c r="AH14" s="76">
        <f t="shared" si="33"/>
        <v>2.75</v>
      </c>
      <c r="AI14" s="20">
        <f t="shared" si="34"/>
        <v>0.16666666666666666</v>
      </c>
      <c r="AJ14" s="76">
        <f t="shared" si="35"/>
        <v>149.45833333333334</v>
      </c>
      <c r="AK14" s="76">
        <f t="shared" si="36"/>
        <v>326.09090909090907</v>
      </c>
      <c r="AL14" s="76">
        <f t="shared" si="37"/>
        <v>896.75</v>
      </c>
      <c r="AM14" s="76">
        <f t="shared" si="38"/>
        <v>896.75</v>
      </c>
      <c r="AN14" s="5">
        <f t="shared" si="39"/>
        <v>1.6099999999999999</v>
      </c>
      <c r="AO14" s="5">
        <f t="shared" si="40"/>
        <v>1.6099999999999999</v>
      </c>
      <c r="AP14" s="75">
        <f t="shared" si="41"/>
        <v>0</v>
      </c>
      <c r="AQ14" s="76">
        <f t="shared" si="42"/>
        <v>0</v>
      </c>
      <c r="AR14" s="75">
        <f t="shared" si="43"/>
        <v>213</v>
      </c>
      <c r="AS14" s="75">
        <f t="shared" si="44"/>
        <v>148</v>
      </c>
      <c r="AT14" s="75">
        <f t="shared" si="45"/>
        <v>65</v>
      </c>
      <c r="AU14" s="76">
        <f t="shared" si="46"/>
        <v>3.7134095344298856</v>
      </c>
      <c r="AV14" s="79">
        <f t="shared" si="47"/>
        <v>0.69483568075117375</v>
      </c>
      <c r="AW14" s="75">
        <f t="shared" si="48"/>
        <v>70</v>
      </c>
      <c r="AX14" s="75">
        <f t="shared" si="49"/>
        <v>36</v>
      </c>
      <c r="AY14" s="75">
        <f t="shared" si="50"/>
        <v>13</v>
      </c>
      <c r="AZ14" s="76">
        <f t="shared" si="51"/>
        <v>0.90326177864510737</v>
      </c>
      <c r="BA14" s="76">
        <f t="shared" si="52"/>
        <v>0.32617786451073322</v>
      </c>
      <c r="BB14" s="79">
        <f t="shared" si="53"/>
        <v>0.51428571428571423</v>
      </c>
      <c r="BC14" s="273">
        <f t="shared" si="54"/>
        <v>21</v>
      </c>
      <c r="BD14" s="272">
        <f t="shared" si="55"/>
        <v>0.52690270420964591</v>
      </c>
      <c r="BE14" s="273">
        <f t="shared" si="56"/>
        <v>4</v>
      </c>
      <c r="BF14" s="272">
        <f t="shared" si="57"/>
        <v>0.10036241984945637</v>
      </c>
      <c r="BG14" s="273">
        <f t="shared" si="58"/>
        <v>0</v>
      </c>
      <c r="BH14" s="272">
        <f t="shared" si="59"/>
        <v>0</v>
      </c>
      <c r="BI14" s="273">
        <f t="shared" si="60"/>
        <v>4</v>
      </c>
      <c r="BJ14" s="79">
        <f t="shared" si="61"/>
        <v>0.19047619047619047</v>
      </c>
      <c r="BK14" s="76">
        <f t="shared" si="62"/>
        <v>5.3999999999999995</v>
      </c>
      <c r="BL14" s="75">
        <f t="shared" si="63"/>
        <v>91</v>
      </c>
      <c r="BM14" s="75">
        <f t="shared" si="64"/>
        <v>20</v>
      </c>
      <c r="BN14" s="160">
        <f t="shared" si="65"/>
        <v>0.21978021978021978</v>
      </c>
      <c r="BO14" s="75">
        <f t="shared" si="66"/>
        <v>381</v>
      </c>
      <c r="BP14" s="76">
        <f t="shared" si="67"/>
        <v>9.5595204906607201</v>
      </c>
      <c r="BQ14" s="75">
        <f t="shared" si="68"/>
        <v>211</v>
      </c>
      <c r="BR14" s="76">
        <f t="shared" si="69"/>
        <v>5.2941176470588234</v>
      </c>
      <c r="BS14" s="160">
        <f t="shared" si="70"/>
        <v>0.5538057742782152</v>
      </c>
      <c r="BT14" s="75">
        <f t="shared" si="71"/>
        <v>214</v>
      </c>
      <c r="BU14" s="76">
        <f t="shared" si="72"/>
        <v>5.3693894619459162</v>
      </c>
      <c r="BV14" s="75">
        <f t="shared" si="73"/>
        <v>66.5</v>
      </c>
      <c r="BW14" s="76">
        <f t="shared" si="74"/>
        <v>1.6685252299972122</v>
      </c>
      <c r="BX14" s="317">
        <f t="shared" si="75"/>
        <v>0</v>
      </c>
      <c r="BY14" s="318">
        <f t="shared" si="76"/>
        <v>0</v>
      </c>
      <c r="BZ14" s="317">
        <f t="shared" si="77"/>
        <v>0</v>
      </c>
      <c r="CA14" s="318">
        <f t="shared" si="78"/>
        <v>0</v>
      </c>
      <c r="CB14" s="364">
        <f t="shared" si="79"/>
        <v>0</v>
      </c>
      <c r="CC14" s="317">
        <f t="shared" si="80"/>
        <v>0</v>
      </c>
      <c r="CD14" s="317">
        <f t="shared" si="81"/>
        <v>0</v>
      </c>
      <c r="CE14" s="365">
        <f t="shared" si="82"/>
        <v>0</v>
      </c>
      <c r="CF14" s="363">
        <f t="shared" si="83"/>
        <v>1E-8</v>
      </c>
      <c r="CG14" s="75">
        <f t="shared" si="84"/>
        <v>44.985555555555557</v>
      </c>
      <c r="CH14" s="76">
        <f t="shared" si="85"/>
        <v>1.1287148034569279</v>
      </c>
      <c r="CI14" s="75">
        <f t="shared" si="86"/>
        <v>28</v>
      </c>
      <c r="CJ14" s="76">
        <f t="shared" si="87"/>
        <v>0.70253693894619462</v>
      </c>
      <c r="CK14" s="79">
        <f t="shared" si="88"/>
        <v>0.62242201200385305</v>
      </c>
      <c r="CL14" s="75">
        <f t="shared" si="89"/>
        <v>496</v>
      </c>
      <c r="CM14" s="76">
        <f t="shared" si="90"/>
        <v>12.44494006133259</v>
      </c>
      <c r="CN14" s="75">
        <f t="shared" si="91"/>
        <v>398</v>
      </c>
      <c r="CO14" s="76">
        <f t="shared" si="92"/>
        <v>9.9860607750209098</v>
      </c>
      <c r="CP14" s="79">
        <f t="shared" si="93"/>
        <v>0.80241935483870963</v>
      </c>
      <c r="CQ14" s="83">
        <f t="shared" si="94"/>
        <v>2684.9855555555555</v>
      </c>
      <c r="CR14" s="83">
        <f t="shared" si="95"/>
        <v>2410</v>
      </c>
      <c r="CS14" s="84">
        <f t="shared" si="96"/>
        <v>0.89758397210496066</v>
      </c>
      <c r="CT14" s="75">
        <f t="shared" si="97"/>
        <v>0</v>
      </c>
      <c r="CU14" s="76">
        <f t="shared" si="98"/>
        <v>0</v>
      </c>
      <c r="CV14" s="75">
        <f t="shared" si="99"/>
        <v>17</v>
      </c>
      <c r="CW14" s="76">
        <f t="shared" si="100"/>
        <v>0.42654028436018959</v>
      </c>
      <c r="CX14" s="75">
        <f t="shared" si="101"/>
        <v>40</v>
      </c>
      <c r="CY14" s="76">
        <f t="shared" si="102"/>
        <v>1.0036241984945637</v>
      </c>
      <c r="CZ14" s="75">
        <f t="shared" si="103"/>
        <v>3.9855555555555555</v>
      </c>
      <c r="DA14" s="76">
        <f t="shared" si="104"/>
        <v>0.1</v>
      </c>
      <c r="DB14" s="75">
        <f t="shared" si="105"/>
        <v>2555</v>
      </c>
      <c r="DC14" s="76">
        <f t="shared" si="106"/>
        <v>64.106495678840261</v>
      </c>
      <c r="DD14" s="75">
        <f t="shared" si="107"/>
        <v>33</v>
      </c>
      <c r="DE14" s="6">
        <f t="shared" si="108"/>
        <v>0</v>
      </c>
      <c r="DF14" s="5">
        <f t="shared" si="109"/>
        <v>0</v>
      </c>
      <c r="DG14" s="6">
        <f t="shared" si="110"/>
        <v>14</v>
      </c>
      <c r="DH14" s="5">
        <f t="shared" si="111"/>
        <v>0.35126846947309731</v>
      </c>
      <c r="DI14" s="5">
        <f t="shared" si="112"/>
        <v>70</v>
      </c>
      <c r="DJ14" s="21">
        <f t="shared" si="113"/>
        <v>0</v>
      </c>
      <c r="DK14" s="5">
        <f t="shared" si="114"/>
        <v>0.48</v>
      </c>
      <c r="DL14" s="5">
        <f t="shared" si="115"/>
        <v>3.4285714285714287E-2</v>
      </c>
      <c r="DM14" s="222">
        <f t="shared" si="116"/>
        <v>39</v>
      </c>
      <c r="DN14" s="223">
        <f t="shared" si="117"/>
        <v>0.9785335935321996</v>
      </c>
      <c r="DO14" s="76">
        <f t="shared" si="118"/>
        <v>256.21428571428572</v>
      </c>
      <c r="DP14" s="76">
        <f>IFERROR(EN14/(FG14+ET14+#REF!),700)</f>
        <v>700</v>
      </c>
      <c r="DQ14" s="76">
        <f t="shared" si="119"/>
        <v>53.794257039308619</v>
      </c>
      <c r="DR14" s="76">
        <f t="shared" si="120"/>
        <v>49.779760245330358</v>
      </c>
      <c r="DS14" s="92">
        <f t="shared" si="121"/>
        <v>0.92537313432835822</v>
      </c>
      <c r="DT14" s="188">
        <f t="shared" si="122"/>
        <v>409.1</v>
      </c>
      <c r="DU14" s="207">
        <f t="shared" si="123"/>
        <v>10.264566490103151</v>
      </c>
      <c r="DV14" s="209">
        <f t="shared" si="124"/>
        <v>6.8430443267354342</v>
      </c>
      <c r="DW14" s="208">
        <f t="shared" si="125"/>
        <v>290.94555555555553</v>
      </c>
      <c r="DX14" s="76">
        <f t="shared" si="126"/>
        <v>7.3</v>
      </c>
      <c r="DY14" s="56">
        <f t="shared" si="127"/>
        <v>238</v>
      </c>
      <c r="DZ14" s="57">
        <f t="shared" si="128"/>
        <v>5.971563981042654</v>
      </c>
      <c r="EA14" s="76">
        <f t="shared" si="129"/>
        <v>4.7</v>
      </c>
      <c r="EB14" s="57">
        <f t="shared" si="130"/>
        <v>276.59755555555557</v>
      </c>
      <c r="EC14" s="62">
        <f t="shared" si="131"/>
        <v>6.94</v>
      </c>
      <c r="ED14" s="301"/>
      <c r="EE14" s="297" t="s">
        <v>13</v>
      </c>
      <c r="EF14" s="297" t="s">
        <v>831</v>
      </c>
      <c r="EG14" s="297">
        <v>22</v>
      </c>
      <c r="EH14" s="297" t="s">
        <v>1045</v>
      </c>
      <c r="EI14" s="297" t="s">
        <v>549</v>
      </c>
      <c r="EJ14" s="297" t="s">
        <v>644</v>
      </c>
      <c r="EK14" s="297" t="s">
        <v>1061</v>
      </c>
      <c r="EL14" s="297" t="s">
        <v>842</v>
      </c>
      <c r="EM14" s="298">
        <v>47848</v>
      </c>
      <c r="EN14" s="297">
        <v>3587</v>
      </c>
      <c r="EO14" s="297" t="s">
        <v>970</v>
      </c>
      <c r="EP14" s="297">
        <v>1</v>
      </c>
      <c r="EQ14" s="297">
        <v>4</v>
      </c>
      <c r="ER14" s="297">
        <v>0</v>
      </c>
      <c r="ES14" s="297">
        <v>4</v>
      </c>
      <c r="ET14" s="297">
        <v>2</v>
      </c>
      <c r="EU14" s="297">
        <v>10.1</v>
      </c>
      <c r="EV14" s="297">
        <v>4.7</v>
      </c>
      <c r="EW14" s="297" t="s">
        <v>902</v>
      </c>
      <c r="EX14" s="297" t="s">
        <v>973</v>
      </c>
      <c r="EY14" s="297">
        <v>21</v>
      </c>
      <c r="EZ14" s="297">
        <v>2</v>
      </c>
      <c r="FA14" s="297">
        <v>2144</v>
      </c>
      <c r="FB14" s="297">
        <v>1984</v>
      </c>
      <c r="FC14" s="297">
        <v>14</v>
      </c>
      <c r="FD14" s="297">
        <v>203</v>
      </c>
      <c r="FE14" s="297">
        <v>0</v>
      </c>
      <c r="FF14" s="297">
        <v>24</v>
      </c>
      <c r="FG14" s="297">
        <v>11</v>
      </c>
      <c r="FH14" s="297">
        <v>213</v>
      </c>
      <c r="FI14" s="297">
        <v>148</v>
      </c>
      <c r="FJ14" s="297">
        <v>91</v>
      </c>
      <c r="FK14" s="297">
        <v>20</v>
      </c>
      <c r="FL14" s="297">
        <v>49</v>
      </c>
      <c r="FM14" s="297">
        <v>36</v>
      </c>
      <c r="FN14" s="297">
        <v>110</v>
      </c>
      <c r="FO14" s="297">
        <v>1</v>
      </c>
      <c r="FP14" s="297">
        <v>1</v>
      </c>
      <c r="FQ14" s="297">
        <v>1</v>
      </c>
      <c r="FR14" s="297">
        <v>1</v>
      </c>
      <c r="FS14" s="297">
        <v>1</v>
      </c>
      <c r="FT14" s="297">
        <v>0.1</v>
      </c>
      <c r="FU14" s="297">
        <v>0</v>
      </c>
      <c r="FV14" s="297">
        <v>0</v>
      </c>
      <c r="FW14" s="297">
        <v>20</v>
      </c>
      <c r="FX14" s="297">
        <v>16</v>
      </c>
      <c r="FY14" s="297">
        <v>61</v>
      </c>
      <c r="FZ14" s="297">
        <v>7</v>
      </c>
      <c r="GA14" s="297">
        <v>4</v>
      </c>
      <c r="GB14" s="297">
        <v>0</v>
      </c>
      <c r="GC14" s="297">
        <v>2</v>
      </c>
      <c r="GD14" s="297">
        <v>7.3</v>
      </c>
      <c r="GE14" s="297">
        <v>0</v>
      </c>
      <c r="GF14" s="297">
        <v>0</v>
      </c>
      <c r="GG14" s="297" t="s">
        <v>1062</v>
      </c>
      <c r="GH14" s="302">
        <v>6.94</v>
      </c>
    </row>
    <row r="15" spans="1:190" ht="24.95" customHeight="1" thickBot="1" x14ac:dyDescent="0.3">
      <c r="A15" s="29" t="str">
        <f t="shared" si="132"/>
        <v>14º</v>
      </c>
      <c r="B15" s="69" t="str">
        <f t="shared" si="1"/>
        <v>Yago Pikachu</v>
      </c>
      <c r="C15" s="86" t="str">
        <f t="shared" si="2"/>
        <v>BRA</v>
      </c>
      <c r="D15" s="36" t="str">
        <f t="shared" si="3"/>
        <v>Remo</v>
      </c>
      <c r="E15" s="36">
        <f t="shared" si="4"/>
        <v>34</v>
      </c>
      <c r="F15" s="344" t="str">
        <f t="shared" si="5"/>
        <v>47m € p/m</v>
      </c>
      <c r="G15" s="96">
        <f t="shared" si="6"/>
        <v>41.534074074074077</v>
      </c>
      <c r="H15" s="197">
        <f t="shared" si="7"/>
        <v>38.255555555555553</v>
      </c>
      <c r="I15" s="197">
        <f t="shared" si="8"/>
        <v>42</v>
      </c>
      <c r="J15" s="197">
        <f t="shared" si="9"/>
        <v>81.976190476190482</v>
      </c>
      <c r="K15" s="198">
        <f t="shared" si="10"/>
        <v>0.95</v>
      </c>
      <c r="L15" s="6">
        <f t="shared" si="11"/>
        <v>5</v>
      </c>
      <c r="M15" s="24">
        <f t="shared" si="12"/>
        <v>688.6</v>
      </c>
      <c r="N15" s="21">
        <f t="shared" si="13"/>
        <v>0.13069997095556202</v>
      </c>
      <c r="O15" s="58">
        <f t="shared" si="14"/>
        <v>10</v>
      </c>
      <c r="P15" s="58">
        <f t="shared" si="15"/>
        <v>13</v>
      </c>
      <c r="Q15" s="58">
        <f t="shared" si="16"/>
        <v>23</v>
      </c>
      <c r="R15" s="76">
        <f t="shared" si="17"/>
        <v>0.26139994191112403</v>
      </c>
      <c r="S15" s="76">
        <f t="shared" si="18"/>
        <v>0.33981992448446124</v>
      </c>
      <c r="T15" s="76">
        <f t="shared" si="19"/>
        <v>0.60121986639558533</v>
      </c>
      <c r="U15" s="76">
        <f t="shared" si="20"/>
        <v>11</v>
      </c>
      <c r="V15" s="76">
        <f t="shared" si="21"/>
        <v>5.47</v>
      </c>
      <c r="W15" s="76">
        <f t="shared" si="22"/>
        <v>0.14298576822538483</v>
      </c>
      <c r="X15" s="76">
        <f t="shared" si="23"/>
        <v>9.18</v>
      </c>
      <c r="Y15" s="76">
        <f t="shared" si="24"/>
        <v>0.23996514667441185</v>
      </c>
      <c r="Z15" s="76">
        <f t="shared" si="25"/>
        <v>14.649999999999999</v>
      </c>
      <c r="AA15" s="76">
        <f t="shared" si="26"/>
        <v>0.38295091489979671</v>
      </c>
      <c r="AB15" s="6">
        <f t="shared" si="27"/>
        <v>67</v>
      </c>
      <c r="AC15" s="5">
        <f t="shared" si="28"/>
        <v>1.751379610804531</v>
      </c>
      <c r="AD15" s="6">
        <f t="shared" si="29"/>
        <v>32</v>
      </c>
      <c r="AE15" s="5">
        <f t="shared" si="30"/>
        <v>0.83647981411559691</v>
      </c>
      <c r="AF15" s="21">
        <f t="shared" si="31"/>
        <v>0.47761194029850745</v>
      </c>
      <c r="AG15" s="76">
        <f t="shared" si="32"/>
        <v>12</v>
      </c>
      <c r="AH15" s="76">
        <f t="shared" si="33"/>
        <v>5</v>
      </c>
      <c r="AI15" s="20">
        <f t="shared" si="34"/>
        <v>8.3333333333333329E-2</v>
      </c>
      <c r="AJ15" s="76">
        <f t="shared" si="35"/>
        <v>51.388059701492537</v>
      </c>
      <c r="AK15" s="76">
        <f t="shared" si="36"/>
        <v>107.59375</v>
      </c>
      <c r="AL15" s="76">
        <f t="shared" si="37"/>
        <v>344.3</v>
      </c>
      <c r="AM15" s="76">
        <f t="shared" si="38"/>
        <v>149.69565217391303</v>
      </c>
      <c r="AN15" s="5">
        <f t="shared" si="39"/>
        <v>-1</v>
      </c>
      <c r="AO15" s="5">
        <f t="shared" si="40"/>
        <v>-0.46999999999999975</v>
      </c>
      <c r="AP15" s="75">
        <f t="shared" si="41"/>
        <v>6</v>
      </c>
      <c r="AQ15" s="76">
        <f t="shared" si="42"/>
        <v>0.15683996514667442</v>
      </c>
      <c r="AR15" s="75">
        <f t="shared" si="43"/>
        <v>129</v>
      </c>
      <c r="AS15" s="75">
        <f t="shared" si="44"/>
        <v>35</v>
      </c>
      <c r="AT15" s="75">
        <f t="shared" si="45"/>
        <v>94</v>
      </c>
      <c r="AU15" s="76">
        <f t="shared" si="46"/>
        <v>0.91489979668893417</v>
      </c>
      <c r="AV15" s="79">
        <f t="shared" si="47"/>
        <v>0.27131782945736432</v>
      </c>
      <c r="AW15" s="75">
        <f t="shared" si="48"/>
        <v>127</v>
      </c>
      <c r="AX15" s="75">
        <f t="shared" si="49"/>
        <v>62</v>
      </c>
      <c r="AY15" s="75">
        <f t="shared" si="50"/>
        <v>22</v>
      </c>
      <c r="AZ15" s="76">
        <f t="shared" si="51"/>
        <v>1.6206796398489691</v>
      </c>
      <c r="BA15" s="76">
        <f t="shared" si="52"/>
        <v>0.57507987220447288</v>
      </c>
      <c r="BB15" s="79">
        <f t="shared" si="53"/>
        <v>0.48818897637795278</v>
      </c>
      <c r="BC15" s="273">
        <f t="shared" si="54"/>
        <v>43</v>
      </c>
      <c r="BD15" s="272">
        <f t="shared" si="55"/>
        <v>1.1240197502178333</v>
      </c>
      <c r="BE15" s="273">
        <f t="shared" si="56"/>
        <v>8</v>
      </c>
      <c r="BF15" s="272">
        <f t="shared" si="57"/>
        <v>0.20911995352889923</v>
      </c>
      <c r="BG15" s="273">
        <f t="shared" si="58"/>
        <v>0</v>
      </c>
      <c r="BH15" s="272">
        <f t="shared" si="59"/>
        <v>0</v>
      </c>
      <c r="BI15" s="273">
        <f t="shared" si="60"/>
        <v>8</v>
      </c>
      <c r="BJ15" s="79">
        <f t="shared" si="61"/>
        <v>0.18604651162790697</v>
      </c>
      <c r="BK15" s="76">
        <f t="shared" si="62"/>
        <v>-1.2999999999999989</v>
      </c>
      <c r="BL15" s="75">
        <f t="shared" si="63"/>
        <v>310</v>
      </c>
      <c r="BM15" s="75">
        <f t="shared" si="64"/>
        <v>74</v>
      </c>
      <c r="BN15" s="160">
        <f t="shared" si="65"/>
        <v>0.23870967741935484</v>
      </c>
      <c r="BO15" s="75">
        <f t="shared" si="66"/>
        <v>569</v>
      </c>
      <c r="BP15" s="76">
        <f t="shared" si="67"/>
        <v>14.873656694742957</v>
      </c>
      <c r="BQ15" s="75">
        <f t="shared" si="68"/>
        <v>174</v>
      </c>
      <c r="BR15" s="76">
        <f t="shared" si="69"/>
        <v>4.5483589892535585</v>
      </c>
      <c r="BS15" s="160">
        <f t="shared" si="70"/>
        <v>0.30579964850615116</v>
      </c>
      <c r="BT15" s="75">
        <f t="shared" si="71"/>
        <v>182</v>
      </c>
      <c r="BU15" s="76">
        <f t="shared" si="72"/>
        <v>4.7574789427824573</v>
      </c>
      <c r="BV15" s="75">
        <f t="shared" si="73"/>
        <v>140.5</v>
      </c>
      <c r="BW15" s="76">
        <f t="shared" si="74"/>
        <v>3.6726691838512928</v>
      </c>
      <c r="BX15" s="317">
        <f t="shared" si="75"/>
        <v>34</v>
      </c>
      <c r="BY15" s="318">
        <f t="shared" si="76"/>
        <v>0.88875980249782172</v>
      </c>
      <c r="BZ15" s="317">
        <f t="shared" si="77"/>
        <v>6</v>
      </c>
      <c r="CA15" s="318">
        <f t="shared" si="78"/>
        <v>0.15683996514667442</v>
      </c>
      <c r="CB15" s="364">
        <f t="shared" si="79"/>
        <v>0.17647058823529413</v>
      </c>
      <c r="CC15" s="317">
        <f t="shared" si="80"/>
        <v>7</v>
      </c>
      <c r="CD15" s="317">
        <f t="shared" si="81"/>
        <v>5</v>
      </c>
      <c r="CE15" s="365">
        <f t="shared" si="82"/>
        <v>2</v>
      </c>
      <c r="CF15" s="363">
        <f t="shared" si="83"/>
        <v>0.7142857142857143</v>
      </c>
      <c r="CG15" s="75">
        <f t="shared" si="84"/>
        <v>490.7788888888889</v>
      </c>
      <c r="CH15" s="76">
        <f t="shared" si="85"/>
        <v>12.828957304676155</v>
      </c>
      <c r="CI15" s="75">
        <f t="shared" si="86"/>
        <v>268</v>
      </c>
      <c r="CJ15" s="76">
        <f t="shared" si="87"/>
        <v>7.0055184432181239</v>
      </c>
      <c r="CK15" s="79">
        <f t="shared" si="88"/>
        <v>0.54607075827313045</v>
      </c>
      <c r="CL15" s="75">
        <f t="shared" si="89"/>
        <v>441</v>
      </c>
      <c r="CM15" s="76">
        <f t="shared" si="90"/>
        <v>11.527737438280569</v>
      </c>
      <c r="CN15" s="75">
        <f t="shared" si="91"/>
        <v>279</v>
      </c>
      <c r="CO15" s="76">
        <f t="shared" si="92"/>
        <v>7.2930583793203603</v>
      </c>
      <c r="CP15" s="79">
        <f t="shared" si="93"/>
        <v>0.63265306122448983</v>
      </c>
      <c r="CQ15" s="83">
        <f t="shared" si="94"/>
        <v>2980.778888888889</v>
      </c>
      <c r="CR15" s="83">
        <f t="shared" si="95"/>
        <v>2340</v>
      </c>
      <c r="CS15" s="84">
        <f t="shared" si="96"/>
        <v>0.78502971445569225</v>
      </c>
      <c r="CT15" s="75">
        <f t="shared" si="97"/>
        <v>68</v>
      </c>
      <c r="CU15" s="76">
        <f t="shared" si="98"/>
        <v>1.7775196049956434</v>
      </c>
      <c r="CV15" s="75">
        <f t="shared" si="99"/>
        <v>162</v>
      </c>
      <c r="CW15" s="76">
        <f t="shared" si="100"/>
        <v>4.234679058960209</v>
      </c>
      <c r="CX15" s="75">
        <f t="shared" si="101"/>
        <v>178</v>
      </c>
      <c r="CY15" s="76">
        <f t="shared" si="102"/>
        <v>4.6529189660180075</v>
      </c>
      <c r="CZ15" s="75">
        <f t="shared" si="103"/>
        <v>26.778888888888886</v>
      </c>
      <c r="DA15" s="76">
        <f t="shared" si="104"/>
        <v>0.7</v>
      </c>
      <c r="DB15" s="75">
        <f t="shared" si="105"/>
        <v>2812</v>
      </c>
      <c r="DC15" s="76">
        <f t="shared" si="106"/>
        <v>73.505663665408079</v>
      </c>
      <c r="DD15" s="75">
        <f t="shared" si="107"/>
        <v>245.5</v>
      </c>
      <c r="DE15" s="6">
        <f t="shared" si="108"/>
        <v>0</v>
      </c>
      <c r="DF15" s="5">
        <f t="shared" si="109"/>
        <v>0</v>
      </c>
      <c r="DG15" s="6">
        <f t="shared" si="110"/>
        <v>90</v>
      </c>
      <c r="DH15" s="5">
        <f t="shared" si="111"/>
        <v>2.3525994772001164</v>
      </c>
      <c r="DI15" s="5">
        <f t="shared" si="112"/>
        <v>6.9230769230769234</v>
      </c>
      <c r="DJ15" s="21">
        <f t="shared" si="113"/>
        <v>0.14444444444444443</v>
      </c>
      <c r="DK15" s="5">
        <f t="shared" si="114"/>
        <v>-3.8200000000000003</v>
      </c>
      <c r="DL15" s="5">
        <f t="shared" si="115"/>
        <v>0.10199999999999999</v>
      </c>
      <c r="DM15" s="222">
        <f t="shared" si="116"/>
        <v>437</v>
      </c>
      <c r="DN15" s="223">
        <f t="shared" si="117"/>
        <v>11.42317746151612</v>
      </c>
      <c r="DO15" s="76">
        <f t="shared" si="118"/>
        <v>38.255555555555553</v>
      </c>
      <c r="DP15" s="76">
        <f>IFERROR(EN15/(FG15+ET15+#REF!),700)</f>
        <v>700</v>
      </c>
      <c r="DQ15" s="76">
        <f t="shared" si="119"/>
        <v>53.560848097589314</v>
      </c>
      <c r="DR15" s="76">
        <f t="shared" si="120"/>
        <v>46.869009584664539</v>
      </c>
      <c r="DS15" s="92">
        <f t="shared" si="121"/>
        <v>0.87506100536847242</v>
      </c>
      <c r="DT15" s="188">
        <f t="shared" si="122"/>
        <v>461.6</v>
      </c>
      <c r="DU15" s="207">
        <f t="shared" si="123"/>
        <v>12.066221318617487</v>
      </c>
      <c r="DV15" s="209">
        <f t="shared" si="124"/>
        <v>8.0441475457449911</v>
      </c>
      <c r="DW15" s="208">
        <f t="shared" si="125"/>
        <v>673.29777777777781</v>
      </c>
      <c r="DX15" s="76">
        <f t="shared" si="126"/>
        <v>17.600000000000001</v>
      </c>
      <c r="DY15" s="56">
        <f t="shared" si="127"/>
        <v>546</v>
      </c>
      <c r="DZ15" s="57">
        <f t="shared" si="128"/>
        <v>14.272436828347372</v>
      </c>
      <c r="EA15" s="76">
        <f t="shared" si="129"/>
        <v>12.1</v>
      </c>
      <c r="EB15" s="57">
        <f t="shared" si="130"/>
        <v>274.67488888888886</v>
      </c>
      <c r="EC15" s="62">
        <f t="shared" si="131"/>
        <v>7.18</v>
      </c>
      <c r="ED15" s="301"/>
      <c r="EE15" s="297" t="s">
        <v>13</v>
      </c>
      <c r="EF15" s="297" t="s">
        <v>837</v>
      </c>
      <c r="EG15" s="297">
        <v>34</v>
      </c>
      <c r="EH15" s="297" t="s">
        <v>558</v>
      </c>
      <c r="EI15" s="297" t="s">
        <v>838</v>
      </c>
      <c r="EJ15" s="297" t="s">
        <v>644</v>
      </c>
      <c r="EK15" s="297" t="s">
        <v>413</v>
      </c>
      <c r="EL15" s="297" t="s">
        <v>839</v>
      </c>
      <c r="EM15" s="298">
        <v>46752</v>
      </c>
      <c r="EN15" s="297">
        <v>3443</v>
      </c>
      <c r="EO15" s="297" t="s">
        <v>1134</v>
      </c>
      <c r="EP15" s="297">
        <v>5</v>
      </c>
      <c r="EQ15" s="297">
        <v>10</v>
      </c>
      <c r="ER15" s="297">
        <v>13</v>
      </c>
      <c r="ES15" s="297">
        <v>82</v>
      </c>
      <c r="ET15" s="297">
        <v>21</v>
      </c>
      <c r="EU15" s="297">
        <v>10.8</v>
      </c>
      <c r="EV15" s="297">
        <v>12.1</v>
      </c>
      <c r="EW15" s="297">
        <v>11</v>
      </c>
      <c r="EX15" s="297" t="s">
        <v>1135</v>
      </c>
      <c r="EY15" s="297">
        <v>43</v>
      </c>
      <c r="EZ15" s="297">
        <v>40</v>
      </c>
      <c r="FA15" s="297">
        <v>2049</v>
      </c>
      <c r="FB15" s="297">
        <v>1793</v>
      </c>
      <c r="FC15" s="297">
        <v>90</v>
      </c>
      <c r="FD15" s="297">
        <v>298</v>
      </c>
      <c r="FE15" s="297">
        <v>68</v>
      </c>
      <c r="FF15" s="297">
        <v>67</v>
      </c>
      <c r="FG15" s="297">
        <v>32</v>
      </c>
      <c r="FH15" s="297">
        <v>129</v>
      </c>
      <c r="FI15" s="297">
        <v>35</v>
      </c>
      <c r="FJ15" s="297">
        <v>310</v>
      </c>
      <c r="FK15" s="297">
        <v>74</v>
      </c>
      <c r="FL15" s="297">
        <v>84</v>
      </c>
      <c r="FM15" s="297">
        <v>62</v>
      </c>
      <c r="FN15" s="297">
        <v>135</v>
      </c>
      <c r="FO15" s="297">
        <v>178</v>
      </c>
      <c r="FP15" s="297">
        <v>45</v>
      </c>
      <c r="FQ15" s="297">
        <v>212</v>
      </c>
      <c r="FR15" s="297">
        <v>51</v>
      </c>
      <c r="FS15" s="297">
        <v>1</v>
      </c>
      <c r="FT15" s="297">
        <v>0.7</v>
      </c>
      <c r="FU15" s="297">
        <v>6</v>
      </c>
      <c r="FV15" s="297">
        <v>6</v>
      </c>
      <c r="FW15" s="297">
        <v>14</v>
      </c>
      <c r="FX15" s="297">
        <v>6</v>
      </c>
      <c r="FY15" s="297">
        <v>24</v>
      </c>
      <c r="FZ15" s="297">
        <v>3</v>
      </c>
      <c r="GA15" s="297">
        <v>8</v>
      </c>
      <c r="GB15" s="297">
        <v>0</v>
      </c>
      <c r="GC15" s="297">
        <v>2</v>
      </c>
      <c r="GD15" s="297">
        <v>17.600000000000001</v>
      </c>
      <c r="GE15" s="297">
        <v>7</v>
      </c>
      <c r="GF15" s="297">
        <v>5</v>
      </c>
      <c r="GG15" s="297" t="s">
        <v>965</v>
      </c>
      <c r="GH15" s="302">
        <v>7.18</v>
      </c>
    </row>
    <row r="16" spans="1:190" ht="24.95" customHeight="1" thickBot="1" x14ac:dyDescent="0.3">
      <c r="A16" s="29" t="str">
        <f t="shared" si="132"/>
        <v>15º</v>
      </c>
      <c r="B16" s="69" t="str">
        <f t="shared" si="1"/>
        <v>Yuri Alberto</v>
      </c>
      <c r="C16" s="86" t="str">
        <f t="shared" si="2"/>
        <v>BRA</v>
      </c>
      <c r="D16" s="36" t="str">
        <f t="shared" si="3"/>
        <v>Corinthians</v>
      </c>
      <c r="E16" s="36">
        <f t="shared" si="4"/>
        <v>25</v>
      </c>
      <c r="F16" s="344" t="str">
        <f t="shared" si="5"/>
        <v>319m € p/m</v>
      </c>
      <c r="G16" s="96">
        <f t="shared" si="6"/>
        <v>41.534074074074077</v>
      </c>
      <c r="H16" s="197">
        <f t="shared" si="7"/>
        <v>50.833333333333336</v>
      </c>
      <c r="I16" s="197">
        <f t="shared" si="8"/>
        <v>55</v>
      </c>
      <c r="J16" s="197">
        <f t="shared" si="9"/>
        <v>83.181818181818187</v>
      </c>
      <c r="K16" s="198">
        <f t="shared" si="10"/>
        <v>0.96</v>
      </c>
      <c r="L16" s="6">
        <f t="shared" si="11"/>
        <v>6</v>
      </c>
      <c r="M16" s="24">
        <f t="shared" si="12"/>
        <v>762.5</v>
      </c>
      <c r="N16" s="21">
        <f t="shared" si="13"/>
        <v>0.11803278688524589</v>
      </c>
      <c r="O16" s="58">
        <f t="shared" si="14"/>
        <v>24</v>
      </c>
      <c r="P16" s="58">
        <f t="shared" si="15"/>
        <v>6</v>
      </c>
      <c r="Q16" s="58">
        <f t="shared" si="16"/>
        <v>30</v>
      </c>
      <c r="R16" s="76">
        <f t="shared" si="17"/>
        <v>0.47213114754098356</v>
      </c>
      <c r="S16" s="76">
        <f t="shared" si="18"/>
        <v>0.11803278688524589</v>
      </c>
      <c r="T16" s="76">
        <f t="shared" si="19"/>
        <v>0.5901639344262295</v>
      </c>
      <c r="U16" s="76">
        <f t="shared" si="20"/>
        <v>21.51</v>
      </c>
      <c r="V16" s="76">
        <f t="shared" si="21"/>
        <v>21.51</v>
      </c>
      <c r="W16" s="76">
        <f t="shared" si="22"/>
        <v>0.42314754098360657</v>
      </c>
      <c r="X16" s="76">
        <f t="shared" si="23"/>
        <v>4.96</v>
      </c>
      <c r="Y16" s="76">
        <f t="shared" si="24"/>
        <v>9.7573770491803269E-2</v>
      </c>
      <c r="Z16" s="76">
        <f t="shared" si="25"/>
        <v>26.470000000000002</v>
      </c>
      <c r="AA16" s="76">
        <f t="shared" si="26"/>
        <v>0.5207213114754099</v>
      </c>
      <c r="AB16" s="6">
        <f t="shared" si="27"/>
        <v>137</v>
      </c>
      <c r="AC16" s="5">
        <f t="shared" si="28"/>
        <v>2.6950819672131145</v>
      </c>
      <c r="AD16" s="6">
        <f t="shared" si="29"/>
        <v>72</v>
      </c>
      <c r="AE16" s="5">
        <f t="shared" si="30"/>
        <v>1.4163934426229507</v>
      </c>
      <c r="AF16" s="21">
        <f t="shared" si="31"/>
        <v>0.52554744525547448</v>
      </c>
      <c r="AG16" s="76">
        <f t="shared" si="32"/>
        <v>5.708333333333333</v>
      </c>
      <c r="AH16" s="76">
        <f t="shared" si="33"/>
        <v>3</v>
      </c>
      <c r="AI16" s="20">
        <f t="shared" si="34"/>
        <v>0.17518248175182483</v>
      </c>
      <c r="AJ16" s="76">
        <f t="shared" si="35"/>
        <v>33.394160583941606</v>
      </c>
      <c r="AK16" s="76">
        <f t="shared" si="36"/>
        <v>63.541666666666664</v>
      </c>
      <c r="AL16" s="76">
        <f t="shared" si="37"/>
        <v>190.625</v>
      </c>
      <c r="AM16" s="76">
        <f t="shared" si="38"/>
        <v>152.5</v>
      </c>
      <c r="AN16" s="5">
        <f t="shared" si="39"/>
        <v>2.4899999999999984</v>
      </c>
      <c r="AO16" s="5">
        <f t="shared" si="40"/>
        <v>2.4899999999999984</v>
      </c>
      <c r="AP16" s="75">
        <f t="shared" si="41"/>
        <v>38</v>
      </c>
      <c r="AQ16" s="76">
        <f t="shared" si="42"/>
        <v>0.7475409836065573</v>
      </c>
      <c r="AR16" s="75">
        <f t="shared" si="43"/>
        <v>321</v>
      </c>
      <c r="AS16" s="75">
        <f t="shared" si="44"/>
        <v>81</v>
      </c>
      <c r="AT16" s="75">
        <f t="shared" si="45"/>
        <v>240</v>
      </c>
      <c r="AU16" s="76">
        <f t="shared" si="46"/>
        <v>1.5934426229508196</v>
      </c>
      <c r="AV16" s="79">
        <f t="shared" si="47"/>
        <v>0.25233644859813081</v>
      </c>
      <c r="AW16" s="75">
        <f t="shared" si="48"/>
        <v>46</v>
      </c>
      <c r="AX16" s="75">
        <f t="shared" si="49"/>
        <v>4</v>
      </c>
      <c r="AY16" s="75">
        <f t="shared" si="50"/>
        <v>1</v>
      </c>
      <c r="AZ16" s="76">
        <f t="shared" si="51"/>
        <v>7.8688524590163927E-2</v>
      </c>
      <c r="BA16" s="76">
        <f t="shared" si="52"/>
        <v>1.9672131147540982E-2</v>
      </c>
      <c r="BB16" s="79">
        <f t="shared" si="53"/>
        <v>8.6956521739130432E-2</v>
      </c>
      <c r="BC16" s="273">
        <f t="shared" si="54"/>
        <v>41</v>
      </c>
      <c r="BD16" s="272">
        <f t="shared" si="55"/>
        <v>0.80655737704918029</v>
      </c>
      <c r="BE16" s="273">
        <f t="shared" si="56"/>
        <v>0</v>
      </c>
      <c r="BF16" s="272">
        <f t="shared" si="57"/>
        <v>0</v>
      </c>
      <c r="BG16" s="273">
        <f t="shared" si="58"/>
        <v>0</v>
      </c>
      <c r="BH16" s="272">
        <f t="shared" si="59"/>
        <v>0</v>
      </c>
      <c r="BI16" s="273">
        <f t="shared" si="60"/>
        <v>0</v>
      </c>
      <c r="BJ16" s="79">
        <f t="shared" si="61"/>
        <v>0</v>
      </c>
      <c r="BK16" s="76">
        <f t="shared" si="62"/>
        <v>-3.3000000000000003</v>
      </c>
      <c r="BL16" s="75">
        <f t="shared" si="63"/>
        <v>61</v>
      </c>
      <c r="BM16" s="75">
        <f t="shared" si="64"/>
        <v>14</v>
      </c>
      <c r="BN16" s="160">
        <f t="shared" si="65"/>
        <v>0.22950819672131148</v>
      </c>
      <c r="BO16" s="75">
        <f t="shared" si="66"/>
        <v>428</v>
      </c>
      <c r="BP16" s="76">
        <f t="shared" si="67"/>
        <v>8.4196721311475411</v>
      </c>
      <c r="BQ16" s="75">
        <f t="shared" si="68"/>
        <v>99</v>
      </c>
      <c r="BR16" s="76">
        <f t="shared" si="69"/>
        <v>1.9475409836065574</v>
      </c>
      <c r="BS16" s="160">
        <f t="shared" si="70"/>
        <v>0.23130841121495327</v>
      </c>
      <c r="BT16" s="75">
        <f t="shared" si="71"/>
        <v>36</v>
      </c>
      <c r="BU16" s="76">
        <f t="shared" si="72"/>
        <v>0.70819672131147537</v>
      </c>
      <c r="BV16" s="75">
        <f t="shared" si="73"/>
        <v>18</v>
      </c>
      <c r="BW16" s="76">
        <f t="shared" si="74"/>
        <v>0.35409836065573769</v>
      </c>
      <c r="BX16" s="317">
        <f t="shared" si="75"/>
        <v>0</v>
      </c>
      <c r="BY16" s="318">
        <f t="shared" si="76"/>
        <v>0</v>
      </c>
      <c r="BZ16" s="317">
        <f t="shared" si="77"/>
        <v>0</v>
      </c>
      <c r="CA16" s="318">
        <f t="shared" si="78"/>
        <v>0</v>
      </c>
      <c r="CB16" s="364">
        <f t="shared" si="79"/>
        <v>0</v>
      </c>
      <c r="CC16" s="317">
        <f t="shared" si="80"/>
        <v>0</v>
      </c>
      <c r="CD16" s="317">
        <f t="shared" si="81"/>
        <v>0</v>
      </c>
      <c r="CE16" s="365">
        <f t="shared" si="82"/>
        <v>0</v>
      </c>
      <c r="CF16" s="363">
        <f t="shared" si="83"/>
        <v>1E-8</v>
      </c>
      <c r="CG16" s="75">
        <f t="shared" si="84"/>
        <v>331.75</v>
      </c>
      <c r="CH16" s="76">
        <f t="shared" si="85"/>
        <v>6.526229508196721</v>
      </c>
      <c r="CI16" s="75">
        <f t="shared" si="86"/>
        <v>211</v>
      </c>
      <c r="CJ16" s="76">
        <f t="shared" si="87"/>
        <v>4.1508196721311474</v>
      </c>
      <c r="CK16" s="79">
        <f t="shared" si="88"/>
        <v>0.63602110022607383</v>
      </c>
      <c r="CL16" s="75">
        <f t="shared" si="89"/>
        <v>403</v>
      </c>
      <c r="CM16" s="76">
        <f t="shared" si="90"/>
        <v>7.9278688524590164</v>
      </c>
      <c r="CN16" s="75">
        <f t="shared" si="91"/>
        <v>121</v>
      </c>
      <c r="CO16" s="76">
        <f t="shared" si="92"/>
        <v>2.3803278688524587</v>
      </c>
      <c r="CP16" s="79">
        <f t="shared" si="93"/>
        <v>0.30024813895781638</v>
      </c>
      <c r="CQ16" s="83">
        <f t="shared" si="94"/>
        <v>1979.75</v>
      </c>
      <c r="CR16" s="83">
        <f t="shared" si="95"/>
        <v>1472</v>
      </c>
      <c r="CS16" s="84">
        <f t="shared" si="96"/>
        <v>0.74352822326051271</v>
      </c>
      <c r="CT16" s="75">
        <f t="shared" si="97"/>
        <v>26</v>
      </c>
      <c r="CU16" s="76">
        <f t="shared" si="98"/>
        <v>0.51147540983606554</v>
      </c>
      <c r="CV16" s="75">
        <f t="shared" si="99"/>
        <v>75</v>
      </c>
      <c r="CW16" s="76">
        <f t="shared" si="100"/>
        <v>1.4754098360655736</v>
      </c>
      <c r="CX16" s="75">
        <f t="shared" si="101"/>
        <v>207</v>
      </c>
      <c r="CY16" s="76">
        <f t="shared" si="102"/>
        <v>4.0721311475409836</v>
      </c>
      <c r="CZ16" s="75">
        <f t="shared" si="103"/>
        <v>45.75</v>
      </c>
      <c r="DA16" s="76">
        <f t="shared" si="104"/>
        <v>0.9</v>
      </c>
      <c r="DB16" s="75">
        <f t="shared" si="105"/>
        <v>1779</v>
      </c>
      <c r="DC16" s="76">
        <f t="shared" si="106"/>
        <v>34.996721311475412</v>
      </c>
      <c r="DD16" s="75">
        <f t="shared" si="107"/>
        <v>213</v>
      </c>
      <c r="DE16" s="6">
        <f t="shared" si="108"/>
        <v>0</v>
      </c>
      <c r="DF16" s="5">
        <f t="shared" si="109"/>
        <v>0</v>
      </c>
      <c r="DG16" s="6">
        <f t="shared" si="110"/>
        <v>56</v>
      </c>
      <c r="DH16" s="5">
        <f t="shared" si="111"/>
        <v>1.1016393442622949</v>
      </c>
      <c r="DI16" s="5">
        <f t="shared" si="112"/>
        <v>9.3333333333333339</v>
      </c>
      <c r="DJ16" s="21">
        <f t="shared" si="113"/>
        <v>0.10714285714285714</v>
      </c>
      <c r="DK16" s="5">
        <f t="shared" si="114"/>
        <v>-1.04</v>
      </c>
      <c r="DL16" s="5">
        <f t="shared" si="115"/>
        <v>8.8571428571428565E-2</v>
      </c>
      <c r="DM16" s="222">
        <f t="shared" si="116"/>
        <v>234</v>
      </c>
      <c r="DN16" s="223">
        <f t="shared" si="117"/>
        <v>4.6032786885245898</v>
      </c>
      <c r="DO16" s="76">
        <f t="shared" si="118"/>
        <v>81.696428571428569</v>
      </c>
      <c r="DP16" s="76">
        <f>IFERROR(EN16/(FG16+ET16+#REF!),700)</f>
        <v>700</v>
      </c>
      <c r="DQ16" s="76">
        <f t="shared" si="119"/>
        <v>24.491803278688522</v>
      </c>
      <c r="DR16" s="76">
        <f t="shared" si="120"/>
        <v>22.42622950819672</v>
      </c>
      <c r="DS16" s="92">
        <f t="shared" si="121"/>
        <v>0.91566265060240959</v>
      </c>
      <c r="DT16" s="188">
        <f t="shared" si="122"/>
        <v>541.1</v>
      </c>
      <c r="DU16" s="207">
        <f t="shared" si="123"/>
        <v>10.644590163934426</v>
      </c>
      <c r="DV16" s="209">
        <f t="shared" si="124"/>
        <v>7.0963934426229507</v>
      </c>
      <c r="DW16" s="208">
        <f t="shared" si="125"/>
        <v>340.58333333333337</v>
      </c>
      <c r="DX16" s="76">
        <f t="shared" si="126"/>
        <v>6.7</v>
      </c>
      <c r="DY16" s="56">
        <f t="shared" si="127"/>
        <v>420</v>
      </c>
      <c r="DZ16" s="57">
        <f t="shared" si="128"/>
        <v>8.2622950819672134</v>
      </c>
      <c r="EA16" s="76">
        <f t="shared" si="129"/>
        <v>4.7</v>
      </c>
      <c r="EB16" s="57">
        <f t="shared" si="130"/>
        <v>349.22500000000002</v>
      </c>
      <c r="EC16" s="62">
        <f t="shared" si="131"/>
        <v>6.87</v>
      </c>
      <c r="ED16" s="299"/>
      <c r="EE16" s="295" t="s">
        <v>13</v>
      </c>
      <c r="EF16" s="295" t="s">
        <v>835</v>
      </c>
      <c r="EG16" s="295">
        <v>25</v>
      </c>
      <c r="EH16" s="295" t="s">
        <v>1045</v>
      </c>
      <c r="EI16" s="295" t="s">
        <v>586</v>
      </c>
      <c r="EJ16" s="295" t="s">
        <v>643</v>
      </c>
      <c r="EK16" s="295" t="s">
        <v>982</v>
      </c>
      <c r="EL16" s="295" t="s">
        <v>908</v>
      </c>
      <c r="EM16" s="296">
        <v>47686</v>
      </c>
      <c r="EN16" s="295">
        <v>4575</v>
      </c>
      <c r="EO16" s="295" t="s">
        <v>903</v>
      </c>
      <c r="EP16" s="295">
        <v>6</v>
      </c>
      <c r="EQ16" s="295">
        <v>24</v>
      </c>
      <c r="ER16" s="295">
        <v>6</v>
      </c>
      <c r="ES16" s="295">
        <v>81</v>
      </c>
      <c r="ET16" s="295">
        <v>14</v>
      </c>
      <c r="EU16" s="295">
        <v>1.4</v>
      </c>
      <c r="EV16" s="295">
        <v>4.7</v>
      </c>
      <c r="EW16" s="295" t="s">
        <v>1095</v>
      </c>
      <c r="EX16" s="295" t="s">
        <v>985</v>
      </c>
      <c r="EY16" s="295">
        <v>41</v>
      </c>
      <c r="EZ16" s="295">
        <v>40</v>
      </c>
      <c r="FA16" s="295">
        <v>1245</v>
      </c>
      <c r="FB16" s="295">
        <v>1140</v>
      </c>
      <c r="FC16" s="295">
        <v>56</v>
      </c>
      <c r="FD16" s="295">
        <v>26</v>
      </c>
      <c r="FE16" s="295">
        <v>26</v>
      </c>
      <c r="FF16" s="295">
        <v>137</v>
      </c>
      <c r="FG16" s="295">
        <v>72</v>
      </c>
      <c r="FH16" s="295">
        <v>321</v>
      </c>
      <c r="FI16" s="295">
        <v>81</v>
      </c>
      <c r="FJ16" s="295">
        <v>61</v>
      </c>
      <c r="FK16" s="295">
        <v>14</v>
      </c>
      <c r="FL16" s="295">
        <v>5</v>
      </c>
      <c r="FM16" s="295">
        <v>4</v>
      </c>
      <c r="FN16" s="295">
        <v>17</v>
      </c>
      <c r="FO16" s="295">
        <v>15</v>
      </c>
      <c r="FP16" s="295">
        <v>5</v>
      </c>
      <c r="FQ16" s="295">
        <v>15</v>
      </c>
      <c r="FR16" s="295">
        <v>5</v>
      </c>
      <c r="FS16" s="295">
        <v>3</v>
      </c>
      <c r="FT16" s="295">
        <v>0.9</v>
      </c>
      <c r="FU16" s="295">
        <v>0</v>
      </c>
      <c r="FV16" s="295">
        <v>38</v>
      </c>
      <c r="FW16" s="295">
        <v>4</v>
      </c>
      <c r="FX16" s="295">
        <v>3</v>
      </c>
      <c r="FY16" s="295">
        <v>12</v>
      </c>
      <c r="FZ16" s="295">
        <v>0</v>
      </c>
      <c r="GA16" s="295">
        <v>0</v>
      </c>
      <c r="GB16" s="295">
        <v>0</v>
      </c>
      <c r="GC16" s="295">
        <v>0</v>
      </c>
      <c r="GD16" s="295">
        <v>6.7</v>
      </c>
      <c r="GE16" s="295">
        <v>0</v>
      </c>
      <c r="GF16" s="295">
        <v>0</v>
      </c>
      <c r="GG16" s="295" t="s">
        <v>1096</v>
      </c>
      <c r="GH16" s="300">
        <v>6.87</v>
      </c>
    </row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  <row r="26" ht="24.95" customHeight="1" x14ac:dyDescent="0.25"/>
    <row r="27" ht="24.95" customHeight="1" x14ac:dyDescent="0.25"/>
    <row r="28" ht="24.95" customHeight="1" x14ac:dyDescent="0.25"/>
    <row r="29" ht="24.95" customHeight="1" x14ac:dyDescent="0.25"/>
    <row r="30" ht="24.95" customHeight="1" x14ac:dyDescent="0.25"/>
    <row r="31" ht="24.95" customHeight="1" x14ac:dyDescent="0.25"/>
    <row r="3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  <row r="363" ht="24.95" customHeight="1" x14ac:dyDescent="0.25"/>
    <row r="364" ht="24.95" customHeight="1" x14ac:dyDescent="0.25"/>
    <row r="365" ht="24.95" customHeight="1" x14ac:dyDescent="0.25"/>
    <row r="366" ht="24.95" customHeight="1" x14ac:dyDescent="0.25"/>
    <row r="367" ht="24.95" customHeight="1" x14ac:dyDescent="0.25"/>
    <row r="368" ht="24.95" customHeight="1" x14ac:dyDescent="0.25"/>
    <row r="369" ht="24.95" customHeight="1" x14ac:dyDescent="0.25"/>
    <row r="370" ht="24.95" customHeight="1" x14ac:dyDescent="0.25"/>
    <row r="371" ht="24.95" customHeight="1" x14ac:dyDescent="0.25"/>
    <row r="372" ht="24.95" customHeight="1" x14ac:dyDescent="0.25"/>
    <row r="373" ht="24.95" customHeight="1" x14ac:dyDescent="0.25"/>
    <row r="374" ht="24.95" customHeight="1" x14ac:dyDescent="0.25"/>
    <row r="375" ht="24.95" customHeight="1" x14ac:dyDescent="0.25"/>
    <row r="376" ht="24.95" customHeight="1" x14ac:dyDescent="0.25"/>
    <row r="377" ht="24.95" customHeight="1" x14ac:dyDescent="0.25"/>
    <row r="378" ht="24.95" customHeight="1" x14ac:dyDescent="0.25"/>
    <row r="379" ht="24.95" customHeight="1" x14ac:dyDescent="0.25"/>
    <row r="380" ht="24.95" customHeight="1" x14ac:dyDescent="0.25"/>
    <row r="381" ht="24.95" customHeight="1" x14ac:dyDescent="0.25"/>
    <row r="382" ht="24.95" customHeight="1" x14ac:dyDescent="0.25"/>
    <row r="383" ht="24.95" customHeight="1" x14ac:dyDescent="0.25"/>
    <row r="384" ht="24.95" customHeight="1" x14ac:dyDescent="0.25"/>
    <row r="385" ht="24.95" customHeight="1" x14ac:dyDescent="0.25"/>
    <row r="386" ht="24.95" customHeight="1" x14ac:dyDescent="0.25"/>
    <row r="387" ht="24.95" customHeight="1" x14ac:dyDescent="0.25"/>
    <row r="388" ht="24.95" customHeight="1" x14ac:dyDescent="0.25"/>
    <row r="389" ht="24.95" customHeight="1" x14ac:dyDescent="0.25"/>
    <row r="390" ht="24.95" customHeight="1" x14ac:dyDescent="0.25"/>
    <row r="391" ht="24.95" customHeight="1" x14ac:dyDescent="0.25"/>
    <row r="392" ht="24.95" customHeight="1" x14ac:dyDescent="0.25"/>
    <row r="393" ht="24.95" customHeight="1" x14ac:dyDescent="0.25"/>
    <row r="394" ht="24.95" customHeight="1" x14ac:dyDescent="0.25"/>
    <row r="395" ht="24.95" customHeight="1" x14ac:dyDescent="0.25"/>
    <row r="396" ht="24.95" customHeight="1" x14ac:dyDescent="0.25"/>
    <row r="397" ht="24.95" customHeight="1" x14ac:dyDescent="0.25"/>
    <row r="398" ht="24.95" customHeight="1" x14ac:dyDescent="0.25"/>
    <row r="399" ht="24.95" customHeight="1" x14ac:dyDescent="0.25"/>
    <row r="400" ht="24.95" customHeight="1" x14ac:dyDescent="0.25"/>
    <row r="401" ht="24.95" customHeight="1" x14ac:dyDescent="0.25"/>
    <row r="402" ht="24.95" customHeight="1" x14ac:dyDescent="0.25"/>
    <row r="403" ht="24.95" customHeight="1" x14ac:dyDescent="0.25"/>
    <row r="404" ht="24.95" customHeight="1" x14ac:dyDescent="0.25"/>
    <row r="405" ht="24.95" customHeight="1" x14ac:dyDescent="0.25"/>
    <row r="406" ht="24.95" customHeight="1" x14ac:dyDescent="0.25"/>
    <row r="407" ht="24.95" customHeight="1" x14ac:dyDescent="0.25"/>
    <row r="408" ht="24.95" customHeight="1" x14ac:dyDescent="0.25"/>
    <row r="409" ht="24.95" customHeight="1" x14ac:dyDescent="0.25"/>
    <row r="410" ht="24.95" customHeight="1" x14ac:dyDescent="0.25"/>
    <row r="411" ht="24.95" customHeight="1" x14ac:dyDescent="0.25"/>
    <row r="412" ht="24.95" customHeight="1" x14ac:dyDescent="0.25"/>
    <row r="413" ht="24.95" customHeight="1" x14ac:dyDescent="0.25"/>
    <row r="414" ht="24.95" customHeight="1" x14ac:dyDescent="0.25"/>
    <row r="415" ht="24.95" customHeight="1" x14ac:dyDescent="0.25"/>
    <row r="416" ht="24.95" customHeight="1" x14ac:dyDescent="0.25"/>
    <row r="417" ht="24.95" customHeight="1" x14ac:dyDescent="0.25"/>
    <row r="418" ht="24.95" customHeight="1" x14ac:dyDescent="0.25"/>
    <row r="419" ht="24.95" customHeight="1" x14ac:dyDescent="0.25"/>
    <row r="420" ht="24.95" customHeight="1" x14ac:dyDescent="0.25"/>
    <row r="421" ht="24.95" customHeight="1" x14ac:dyDescent="0.25"/>
    <row r="422" ht="24.95" customHeight="1" x14ac:dyDescent="0.25"/>
    <row r="423" ht="24.95" customHeight="1" x14ac:dyDescent="0.25"/>
    <row r="424" ht="24.95" customHeight="1" x14ac:dyDescent="0.25"/>
    <row r="425" ht="24.95" customHeight="1" x14ac:dyDescent="0.25"/>
    <row r="426" ht="24.95" customHeight="1" x14ac:dyDescent="0.25"/>
    <row r="427" ht="24.95" customHeight="1" x14ac:dyDescent="0.25"/>
    <row r="428" ht="24.95" customHeight="1" x14ac:dyDescent="0.25"/>
    <row r="429" ht="24.95" customHeight="1" x14ac:dyDescent="0.25"/>
    <row r="430" ht="24.95" customHeight="1" x14ac:dyDescent="0.25"/>
    <row r="431" ht="24.95" customHeight="1" x14ac:dyDescent="0.25"/>
    <row r="432" ht="24.95" customHeight="1" x14ac:dyDescent="0.25"/>
    <row r="433" ht="24.95" customHeight="1" x14ac:dyDescent="0.25"/>
    <row r="434" ht="24.95" customHeight="1" x14ac:dyDescent="0.25"/>
    <row r="435" ht="24.95" customHeight="1" x14ac:dyDescent="0.25"/>
    <row r="436" ht="24.95" customHeight="1" x14ac:dyDescent="0.25"/>
    <row r="437" ht="24.95" customHeight="1" x14ac:dyDescent="0.25"/>
    <row r="438" ht="24.95" customHeight="1" x14ac:dyDescent="0.25"/>
    <row r="439" ht="24.95" customHeight="1" x14ac:dyDescent="0.25"/>
    <row r="440" ht="24.95" customHeight="1" x14ac:dyDescent="0.25"/>
    <row r="441" ht="24.95" customHeight="1" x14ac:dyDescent="0.25"/>
    <row r="442" ht="24.95" customHeight="1" x14ac:dyDescent="0.25"/>
    <row r="443" ht="24.95" customHeight="1" x14ac:dyDescent="0.25"/>
    <row r="444" ht="24.95" customHeight="1" x14ac:dyDescent="0.25"/>
    <row r="445" ht="24.95" customHeight="1" x14ac:dyDescent="0.25"/>
    <row r="446" ht="24.95" customHeight="1" x14ac:dyDescent="0.25"/>
    <row r="447" ht="24.95" customHeight="1" x14ac:dyDescent="0.25"/>
    <row r="448" ht="24.95" customHeight="1" x14ac:dyDescent="0.25"/>
    <row r="449" ht="24.95" customHeight="1" x14ac:dyDescent="0.25"/>
    <row r="450" ht="24.95" customHeight="1" x14ac:dyDescent="0.25"/>
    <row r="451" ht="24.95" customHeight="1" x14ac:dyDescent="0.25"/>
    <row r="452" ht="24.95" customHeight="1" x14ac:dyDescent="0.25"/>
    <row r="453" ht="24.95" customHeight="1" x14ac:dyDescent="0.25"/>
    <row r="454" ht="24.95" customHeight="1" x14ac:dyDescent="0.25"/>
    <row r="455" ht="24.95" customHeight="1" x14ac:dyDescent="0.25"/>
    <row r="456" ht="24.95" customHeight="1" x14ac:dyDescent="0.25"/>
    <row r="457" ht="24.95" customHeight="1" x14ac:dyDescent="0.25"/>
    <row r="458" ht="24.95" customHeight="1" x14ac:dyDescent="0.25"/>
    <row r="459" ht="24.95" customHeight="1" x14ac:dyDescent="0.25"/>
    <row r="460" ht="24.95" customHeight="1" x14ac:dyDescent="0.25"/>
    <row r="461" ht="24.95" customHeight="1" x14ac:dyDescent="0.25"/>
    <row r="462" ht="24.95" customHeight="1" x14ac:dyDescent="0.25"/>
    <row r="463" ht="24.95" customHeight="1" x14ac:dyDescent="0.25"/>
    <row r="464" ht="24.95" customHeight="1" x14ac:dyDescent="0.25"/>
    <row r="465" ht="24.95" customHeight="1" x14ac:dyDescent="0.25"/>
    <row r="466" ht="24.95" customHeight="1" x14ac:dyDescent="0.25"/>
    <row r="467" ht="24.95" customHeight="1" x14ac:dyDescent="0.25"/>
    <row r="468" ht="24.95" customHeight="1" x14ac:dyDescent="0.25"/>
    <row r="469" ht="24.95" customHeight="1" x14ac:dyDescent="0.25"/>
    <row r="470" ht="24.95" customHeight="1" x14ac:dyDescent="0.25"/>
    <row r="471" ht="24.95" customHeight="1" x14ac:dyDescent="0.25"/>
    <row r="472" ht="24.95" customHeight="1" x14ac:dyDescent="0.25"/>
    <row r="473" ht="24.95" customHeight="1" x14ac:dyDescent="0.25"/>
    <row r="474" ht="24.95" customHeight="1" x14ac:dyDescent="0.25"/>
    <row r="475" ht="24.95" customHeight="1" x14ac:dyDescent="0.25"/>
    <row r="476" ht="24.95" customHeight="1" x14ac:dyDescent="0.25"/>
    <row r="477" ht="24.95" customHeight="1" x14ac:dyDescent="0.25"/>
    <row r="478" ht="24.95" customHeight="1" x14ac:dyDescent="0.25"/>
    <row r="479" ht="24.95" customHeight="1" x14ac:dyDescent="0.25"/>
    <row r="480" ht="24.95" customHeight="1" x14ac:dyDescent="0.25"/>
    <row r="481" ht="24.95" customHeight="1" x14ac:dyDescent="0.25"/>
    <row r="482" ht="24.95" customHeight="1" x14ac:dyDescent="0.25"/>
    <row r="483" ht="24.95" customHeight="1" x14ac:dyDescent="0.25"/>
    <row r="484" ht="24.95" customHeight="1" x14ac:dyDescent="0.25"/>
    <row r="485" ht="24.95" customHeight="1" x14ac:dyDescent="0.25"/>
    <row r="486" ht="24.95" customHeight="1" x14ac:dyDescent="0.25"/>
    <row r="487" ht="24.95" customHeight="1" x14ac:dyDescent="0.25"/>
    <row r="488" ht="24.95" customHeight="1" x14ac:dyDescent="0.25"/>
    <row r="489" ht="24.95" customHeight="1" x14ac:dyDescent="0.25"/>
    <row r="490" ht="24.95" customHeight="1" x14ac:dyDescent="0.25"/>
    <row r="491" ht="24.95" customHeight="1" x14ac:dyDescent="0.25"/>
    <row r="492" ht="24.95" customHeight="1" x14ac:dyDescent="0.25"/>
    <row r="493" ht="24.95" customHeight="1" x14ac:dyDescent="0.25"/>
    <row r="494" ht="24.95" customHeight="1" x14ac:dyDescent="0.25"/>
    <row r="495" ht="24.95" customHeight="1" x14ac:dyDescent="0.25"/>
    <row r="496" ht="24.95" customHeight="1" x14ac:dyDescent="0.25"/>
    <row r="497" ht="24.95" customHeight="1" x14ac:dyDescent="0.25"/>
    <row r="498" ht="24.95" customHeight="1" x14ac:dyDescent="0.25"/>
    <row r="499" ht="24.95" customHeight="1" x14ac:dyDescent="0.25"/>
    <row r="500" ht="24.95" customHeight="1" x14ac:dyDescent="0.25"/>
    <row r="501" ht="24.95" customHeight="1" x14ac:dyDescent="0.25"/>
    <row r="502" ht="24.95" customHeight="1" x14ac:dyDescent="0.25"/>
    <row r="503" ht="24.95" customHeight="1" x14ac:dyDescent="0.25"/>
    <row r="504" ht="24.95" customHeight="1" x14ac:dyDescent="0.25"/>
    <row r="505" ht="24.95" customHeight="1" x14ac:dyDescent="0.25"/>
    <row r="506" ht="24.95" customHeight="1" x14ac:dyDescent="0.25"/>
    <row r="507" ht="24.95" customHeight="1" x14ac:dyDescent="0.25"/>
    <row r="508" ht="24.95" customHeight="1" x14ac:dyDescent="0.25"/>
    <row r="509" ht="24.95" customHeight="1" x14ac:dyDescent="0.25"/>
    <row r="510" ht="24.95" customHeight="1" x14ac:dyDescent="0.25"/>
    <row r="511" ht="24.95" customHeight="1" x14ac:dyDescent="0.25"/>
    <row r="512" ht="24.95" customHeight="1" x14ac:dyDescent="0.25"/>
    <row r="513" ht="24.95" customHeight="1" x14ac:dyDescent="0.25"/>
    <row r="514" ht="24.95" customHeight="1" x14ac:dyDescent="0.25"/>
    <row r="515" ht="24.95" customHeight="1" x14ac:dyDescent="0.25"/>
    <row r="516" ht="24.95" customHeight="1" x14ac:dyDescent="0.25"/>
    <row r="517" ht="24.95" customHeight="1" x14ac:dyDescent="0.25"/>
    <row r="518" ht="24.95" customHeight="1" x14ac:dyDescent="0.25"/>
    <row r="519" ht="24.95" customHeight="1" x14ac:dyDescent="0.25"/>
    <row r="520" ht="24.95" customHeight="1" x14ac:dyDescent="0.25"/>
    <row r="521" ht="24.95" customHeight="1" x14ac:dyDescent="0.25"/>
    <row r="522" ht="24.95" customHeight="1" x14ac:dyDescent="0.25"/>
    <row r="523" ht="24.95" customHeight="1" x14ac:dyDescent="0.25"/>
    <row r="524" ht="24.95" customHeight="1" x14ac:dyDescent="0.25"/>
    <row r="525" ht="24.95" customHeight="1" x14ac:dyDescent="0.25"/>
    <row r="526" ht="24.95" customHeight="1" x14ac:dyDescent="0.25"/>
    <row r="527" ht="24.95" customHeight="1" x14ac:dyDescent="0.25"/>
    <row r="528" ht="24.95" customHeight="1" x14ac:dyDescent="0.25"/>
    <row r="529" ht="24.95" customHeight="1" x14ac:dyDescent="0.25"/>
    <row r="530" ht="24.95" customHeight="1" x14ac:dyDescent="0.25"/>
    <row r="531" ht="24.95" customHeight="1" x14ac:dyDescent="0.25"/>
    <row r="532" ht="24.95" customHeight="1" x14ac:dyDescent="0.25"/>
    <row r="533" ht="24.95" customHeight="1" x14ac:dyDescent="0.25"/>
    <row r="534" ht="24.95" customHeight="1" x14ac:dyDescent="0.25"/>
    <row r="535" ht="24.95" customHeight="1" x14ac:dyDescent="0.25"/>
    <row r="536" ht="24.95" customHeight="1" x14ac:dyDescent="0.25"/>
    <row r="537" ht="24.95" customHeight="1" x14ac:dyDescent="0.25"/>
    <row r="538" ht="24.95" customHeight="1" x14ac:dyDescent="0.25"/>
    <row r="539" ht="24.95" customHeight="1" x14ac:dyDescent="0.25"/>
    <row r="540" ht="24.95" customHeight="1" x14ac:dyDescent="0.25"/>
    <row r="541" ht="24.95" customHeight="1" x14ac:dyDescent="0.25"/>
    <row r="542" ht="24.95" customHeight="1" x14ac:dyDescent="0.25"/>
    <row r="543" ht="24.95" customHeight="1" x14ac:dyDescent="0.25"/>
    <row r="544" ht="24.95" customHeight="1" x14ac:dyDescent="0.25"/>
    <row r="545" ht="24.95" customHeight="1" x14ac:dyDescent="0.25"/>
    <row r="546" ht="24.95" customHeight="1" x14ac:dyDescent="0.25"/>
    <row r="547" ht="24.95" customHeight="1" x14ac:dyDescent="0.25"/>
    <row r="548" ht="24.95" customHeight="1" x14ac:dyDescent="0.25"/>
    <row r="549" ht="24.95" customHeight="1" x14ac:dyDescent="0.25"/>
    <row r="550" ht="24.95" customHeight="1" x14ac:dyDescent="0.25"/>
    <row r="551" ht="24.95" customHeight="1" x14ac:dyDescent="0.25"/>
    <row r="552" ht="24.95" customHeight="1" x14ac:dyDescent="0.25"/>
    <row r="553" ht="24.95" customHeight="1" x14ac:dyDescent="0.25"/>
    <row r="554" ht="24.95" customHeight="1" x14ac:dyDescent="0.25"/>
    <row r="555" ht="24.95" customHeight="1" x14ac:dyDescent="0.25"/>
    <row r="556" ht="24.95" customHeight="1" x14ac:dyDescent="0.25"/>
    <row r="557" ht="24.95" customHeight="1" x14ac:dyDescent="0.25"/>
    <row r="558" ht="24.95" customHeight="1" x14ac:dyDescent="0.25"/>
    <row r="559" ht="24.95" customHeight="1" x14ac:dyDescent="0.25"/>
    <row r="560" ht="24.95" customHeight="1" x14ac:dyDescent="0.25"/>
    <row r="561" ht="24.95" customHeight="1" x14ac:dyDescent="0.25"/>
    <row r="562" ht="24.95" customHeight="1" x14ac:dyDescent="0.25"/>
    <row r="563" ht="24.95" customHeight="1" x14ac:dyDescent="0.25"/>
    <row r="564" ht="24.95" customHeight="1" x14ac:dyDescent="0.25"/>
    <row r="565" ht="24.95" customHeight="1" x14ac:dyDescent="0.25"/>
    <row r="566" ht="24.95" customHeight="1" x14ac:dyDescent="0.25"/>
    <row r="567" ht="24.95" customHeight="1" x14ac:dyDescent="0.25"/>
    <row r="568" ht="24.95" customHeight="1" x14ac:dyDescent="0.25"/>
    <row r="569" ht="24.95" customHeight="1" x14ac:dyDescent="0.25"/>
    <row r="570" ht="24.95" customHeight="1" x14ac:dyDescent="0.25"/>
    <row r="571" ht="24.95" customHeight="1" x14ac:dyDescent="0.25"/>
    <row r="572" ht="24.95" customHeight="1" x14ac:dyDescent="0.25"/>
    <row r="573" ht="24.95" customHeight="1" x14ac:dyDescent="0.25"/>
    <row r="574" ht="24.95" customHeight="1" x14ac:dyDescent="0.25"/>
    <row r="575" ht="24.95" customHeight="1" x14ac:dyDescent="0.25"/>
    <row r="576" ht="24.95" customHeight="1" x14ac:dyDescent="0.25"/>
    <row r="577" ht="24.95" customHeight="1" x14ac:dyDescent="0.25"/>
    <row r="578" ht="24.95" customHeight="1" x14ac:dyDescent="0.25"/>
    <row r="579" ht="24.95" customHeight="1" x14ac:dyDescent="0.25"/>
    <row r="580" ht="24.95" customHeight="1" x14ac:dyDescent="0.25"/>
    <row r="581" ht="24.95" customHeight="1" x14ac:dyDescent="0.25"/>
    <row r="582" ht="24.95" customHeight="1" x14ac:dyDescent="0.25"/>
    <row r="583" ht="24.95" customHeight="1" x14ac:dyDescent="0.25"/>
    <row r="584" ht="24.95" customHeight="1" x14ac:dyDescent="0.25"/>
    <row r="585" ht="24.95" customHeight="1" x14ac:dyDescent="0.25"/>
    <row r="586" ht="24.95" customHeight="1" x14ac:dyDescent="0.25"/>
    <row r="587" ht="24.95" customHeight="1" x14ac:dyDescent="0.25"/>
    <row r="588" ht="24.95" customHeight="1" x14ac:dyDescent="0.25"/>
    <row r="589" ht="24.95" customHeight="1" x14ac:dyDescent="0.25"/>
    <row r="590" ht="24.95" customHeight="1" x14ac:dyDescent="0.25"/>
    <row r="591" ht="24.95" customHeight="1" x14ac:dyDescent="0.25"/>
    <row r="592" ht="24.95" customHeight="1" x14ac:dyDescent="0.25"/>
    <row r="593" ht="24.95" customHeight="1" x14ac:dyDescent="0.25"/>
    <row r="594" ht="24.95" customHeight="1" x14ac:dyDescent="0.25"/>
    <row r="595" ht="24.95" customHeight="1" x14ac:dyDescent="0.25"/>
    <row r="596" ht="24.95" customHeight="1" x14ac:dyDescent="0.25"/>
    <row r="597" ht="24.95" customHeight="1" x14ac:dyDescent="0.25"/>
    <row r="598" ht="24.95" customHeight="1" x14ac:dyDescent="0.25"/>
    <row r="599" ht="24.95" customHeight="1" x14ac:dyDescent="0.25"/>
    <row r="600" ht="24.95" customHeight="1" x14ac:dyDescent="0.25"/>
    <row r="601" ht="24.95" customHeight="1" x14ac:dyDescent="0.25"/>
    <row r="602" ht="24.95" customHeight="1" x14ac:dyDescent="0.25"/>
    <row r="603" ht="24.95" customHeight="1" x14ac:dyDescent="0.25"/>
    <row r="604" ht="24.95" customHeight="1" x14ac:dyDescent="0.25"/>
    <row r="605" ht="24.95" customHeight="1" x14ac:dyDescent="0.25"/>
    <row r="606" ht="24.95" customHeight="1" x14ac:dyDescent="0.25"/>
    <row r="607" ht="24.95" customHeight="1" x14ac:dyDescent="0.25"/>
    <row r="608" ht="24.95" customHeight="1" x14ac:dyDescent="0.25"/>
    <row r="609" ht="24.95" customHeight="1" x14ac:dyDescent="0.25"/>
    <row r="610" ht="24.95" customHeight="1" x14ac:dyDescent="0.25"/>
    <row r="611" ht="24.95" customHeight="1" x14ac:dyDescent="0.25"/>
    <row r="612" ht="24.95" customHeight="1" x14ac:dyDescent="0.25"/>
    <row r="613" ht="24.95" customHeight="1" x14ac:dyDescent="0.25"/>
    <row r="614" ht="24.95" customHeight="1" x14ac:dyDescent="0.25"/>
    <row r="615" ht="24.95" customHeight="1" x14ac:dyDescent="0.25"/>
    <row r="616" ht="24.95" customHeight="1" x14ac:dyDescent="0.25"/>
    <row r="617" ht="24.95" customHeight="1" x14ac:dyDescent="0.25"/>
    <row r="618" ht="24.95" customHeight="1" x14ac:dyDescent="0.25"/>
    <row r="619" ht="24.95" customHeight="1" x14ac:dyDescent="0.25"/>
    <row r="620" ht="24.95" customHeight="1" x14ac:dyDescent="0.25"/>
    <row r="621" ht="24.95" customHeight="1" x14ac:dyDescent="0.25"/>
    <row r="622" ht="24.95" customHeight="1" x14ac:dyDescent="0.25"/>
    <row r="623" ht="24.95" customHeight="1" x14ac:dyDescent="0.25"/>
    <row r="624" ht="24.95" customHeight="1" x14ac:dyDescent="0.25"/>
    <row r="625" ht="24.95" customHeight="1" x14ac:dyDescent="0.25"/>
    <row r="626" ht="24.95" customHeight="1" x14ac:dyDescent="0.25"/>
    <row r="627" ht="24.95" customHeight="1" x14ac:dyDescent="0.25"/>
    <row r="628" ht="24.95" customHeight="1" x14ac:dyDescent="0.25"/>
    <row r="629" ht="24.95" customHeight="1" x14ac:dyDescent="0.25"/>
    <row r="630" ht="24.95" customHeight="1" x14ac:dyDescent="0.25"/>
    <row r="631" ht="24.95" customHeight="1" x14ac:dyDescent="0.25"/>
    <row r="632" ht="24.95" customHeight="1" x14ac:dyDescent="0.25"/>
    <row r="633" ht="24.95" customHeight="1" x14ac:dyDescent="0.25"/>
    <row r="634" ht="24.95" customHeight="1" x14ac:dyDescent="0.25"/>
    <row r="635" ht="24.95" customHeight="1" x14ac:dyDescent="0.25"/>
    <row r="636" ht="24.95" customHeight="1" x14ac:dyDescent="0.25"/>
    <row r="637" ht="24.95" customHeight="1" x14ac:dyDescent="0.25"/>
    <row r="638" ht="24.95" customHeight="1" x14ac:dyDescent="0.25"/>
    <row r="639" ht="24.95" customHeight="1" x14ac:dyDescent="0.25"/>
    <row r="640" ht="24.95" customHeight="1" x14ac:dyDescent="0.25"/>
    <row r="641" ht="24.95" customHeight="1" x14ac:dyDescent="0.25"/>
    <row r="642" ht="24.95" customHeight="1" x14ac:dyDescent="0.25"/>
    <row r="643" ht="24.95" customHeight="1" x14ac:dyDescent="0.25"/>
    <row r="644" ht="24.95" customHeight="1" x14ac:dyDescent="0.25"/>
    <row r="645" ht="24.95" customHeight="1" x14ac:dyDescent="0.25"/>
    <row r="646" ht="24.95" customHeight="1" x14ac:dyDescent="0.25"/>
    <row r="647" ht="24.95" customHeight="1" x14ac:dyDescent="0.25"/>
    <row r="648" ht="24.95" customHeight="1" x14ac:dyDescent="0.25"/>
    <row r="649" ht="24.95" customHeight="1" x14ac:dyDescent="0.25"/>
    <row r="650" ht="24.95" customHeight="1" x14ac:dyDescent="0.25"/>
    <row r="651" ht="24.95" customHeight="1" x14ac:dyDescent="0.25"/>
    <row r="652" ht="24.95" customHeight="1" x14ac:dyDescent="0.25"/>
    <row r="653" ht="24.95" customHeight="1" x14ac:dyDescent="0.25"/>
    <row r="654" ht="24.95" customHeight="1" x14ac:dyDescent="0.25"/>
    <row r="655" ht="24.95" customHeight="1" x14ac:dyDescent="0.25"/>
    <row r="656" ht="24.95" customHeight="1" x14ac:dyDescent="0.25"/>
    <row r="657" ht="24.95" customHeight="1" x14ac:dyDescent="0.25"/>
    <row r="658" ht="24.95" customHeight="1" x14ac:dyDescent="0.25"/>
    <row r="659" ht="24.95" customHeight="1" x14ac:dyDescent="0.25"/>
    <row r="660" ht="24.95" customHeight="1" x14ac:dyDescent="0.25"/>
    <row r="661" ht="24.95" customHeight="1" x14ac:dyDescent="0.25"/>
    <row r="662" ht="24.95" customHeight="1" x14ac:dyDescent="0.25"/>
    <row r="663" ht="24.95" customHeight="1" x14ac:dyDescent="0.25"/>
    <row r="664" ht="24.95" customHeight="1" x14ac:dyDescent="0.25"/>
    <row r="665" ht="24.95" customHeight="1" x14ac:dyDescent="0.25"/>
    <row r="666" ht="24.95" customHeight="1" x14ac:dyDescent="0.25"/>
    <row r="667" ht="24.95" customHeight="1" x14ac:dyDescent="0.25"/>
    <row r="668" ht="24.95" customHeight="1" x14ac:dyDescent="0.25"/>
    <row r="669" ht="24.95" customHeight="1" x14ac:dyDescent="0.25"/>
    <row r="670" ht="24.95" customHeight="1" x14ac:dyDescent="0.25"/>
    <row r="671" ht="24.95" customHeight="1" x14ac:dyDescent="0.25"/>
    <row r="672" ht="24.95" customHeight="1" x14ac:dyDescent="0.25"/>
    <row r="673" ht="24.95" customHeight="1" x14ac:dyDescent="0.25"/>
    <row r="674" ht="24.95" customHeight="1" x14ac:dyDescent="0.25"/>
    <row r="675" ht="24.95" customHeight="1" x14ac:dyDescent="0.25"/>
    <row r="676" ht="24.95" customHeight="1" x14ac:dyDescent="0.25"/>
    <row r="677" ht="24.95" customHeight="1" x14ac:dyDescent="0.25"/>
    <row r="678" ht="24.95" customHeight="1" x14ac:dyDescent="0.25"/>
    <row r="679" ht="24.95" customHeight="1" x14ac:dyDescent="0.25"/>
    <row r="680" ht="24.95" customHeight="1" x14ac:dyDescent="0.25"/>
    <row r="681" ht="24.95" customHeight="1" x14ac:dyDescent="0.25"/>
    <row r="682" ht="24.95" customHeight="1" x14ac:dyDescent="0.25"/>
    <row r="683" ht="24.95" customHeight="1" x14ac:dyDescent="0.25"/>
    <row r="684" ht="24.95" customHeight="1" x14ac:dyDescent="0.25"/>
    <row r="685" ht="24.95" customHeight="1" x14ac:dyDescent="0.25"/>
    <row r="686" ht="24.95" customHeight="1" x14ac:dyDescent="0.25"/>
    <row r="687" ht="24.95" customHeight="1" x14ac:dyDescent="0.25"/>
    <row r="688" ht="24.95" customHeight="1" x14ac:dyDescent="0.25"/>
    <row r="689" ht="24.95" customHeight="1" x14ac:dyDescent="0.25"/>
    <row r="690" ht="24.95" customHeight="1" x14ac:dyDescent="0.25"/>
    <row r="691" ht="24.95" customHeight="1" x14ac:dyDescent="0.25"/>
    <row r="692" ht="24.95" customHeight="1" x14ac:dyDescent="0.25"/>
    <row r="693" ht="24.95" customHeight="1" x14ac:dyDescent="0.25"/>
    <row r="694" ht="24.95" customHeight="1" x14ac:dyDescent="0.25"/>
    <row r="695" ht="24.95" customHeight="1" x14ac:dyDescent="0.25"/>
    <row r="696" ht="24.95" customHeight="1" x14ac:dyDescent="0.25"/>
    <row r="697" ht="24.95" customHeight="1" x14ac:dyDescent="0.25"/>
    <row r="698" ht="24.95" customHeight="1" x14ac:dyDescent="0.25"/>
    <row r="699" ht="24.95" customHeight="1" x14ac:dyDescent="0.25"/>
    <row r="700" ht="24.95" customHeight="1" x14ac:dyDescent="0.25"/>
    <row r="701" ht="24.95" customHeight="1" x14ac:dyDescent="0.25"/>
    <row r="702" ht="24.95" customHeight="1" x14ac:dyDescent="0.25"/>
    <row r="703" ht="24.95" customHeight="1" x14ac:dyDescent="0.25"/>
    <row r="704" ht="24.95" customHeight="1" x14ac:dyDescent="0.25"/>
    <row r="705" ht="24.95" customHeight="1" x14ac:dyDescent="0.25"/>
    <row r="706" ht="24.95" customHeight="1" x14ac:dyDescent="0.25"/>
    <row r="707" ht="24.95" customHeight="1" x14ac:dyDescent="0.25"/>
    <row r="708" ht="24.95" customHeight="1" x14ac:dyDescent="0.25"/>
    <row r="709" ht="24.95" customHeight="1" x14ac:dyDescent="0.25"/>
    <row r="710" ht="24.95" customHeight="1" x14ac:dyDescent="0.25"/>
    <row r="711" ht="24.95" customHeight="1" x14ac:dyDescent="0.25"/>
    <row r="712" ht="24.95" customHeight="1" x14ac:dyDescent="0.25"/>
    <row r="713" ht="24.95" customHeight="1" x14ac:dyDescent="0.25"/>
    <row r="714" ht="24.95" customHeight="1" x14ac:dyDescent="0.25"/>
    <row r="715" ht="24.95" customHeight="1" x14ac:dyDescent="0.25"/>
    <row r="716" ht="24.95" customHeight="1" x14ac:dyDescent="0.25"/>
    <row r="717" ht="24.95" customHeight="1" x14ac:dyDescent="0.25"/>
    <row r="718" ht="24.95" customHeight="1" x14ac:dyDescent="0.25"/>
    <row r="719" ht="24.95" customHeight="1" x14ac:dyDescent="0.25"/>
    <row r="720" ht="24.95" customHeight="1" x14ac:dyDescent="0.25"/>
    <row r="721" ht="24.95" customHeight="1" x14ac:dyDescent="0.25"/>
    <row r="722" ht="24.95" customHeight="1" x14ac:dyDescent="0.25"/>
    <row r="723" ht="24.95" customHeight="1" x14ac:dyDescent="0.25"/>
    <row r="724" ht="24.95" customHeight="1" x14ac:dyDescent="0.25"/>
    <row r="725" ht="24.95" customHeight="1" x14ac:dyDescent="0.25"/>
    <row r="726" ht="24.95" customHeight="1" x14ac:dyDescent="0.25"/>
    <row r="727" ht="24.95" customHeight="1" x14ac:dyDescent="0.25"/>
    <row r="728" ht="24.95" customHeight="1" x14ac:dyDescent="0.25"/>
    <row r="729" ht="24.95" customHeight="1" x14ac:dyDescent="0.25"/>
    <row r="730" ht="24.95" customHeight="1" x14ac:dyDescent="0.25"/>
    <row r="731" ht="24.95" customHeight="1" x14ac:dyDescent="0.25"/>
    <row r="732" ht="24.95" customHeight="1" x14ac:dyDescent="0.25"/>
    <row r="733" ht="24.95" customHeight="1" x14ac:dyDescent="0.25"/>
    <row r="734" ht="24.95" customHeight="1" x14ac:dyDescent="0.25"/>
    <row r="735" ht="24.95" customHeight="1" x14ac:dyDescent="0.25"/>
    <row r="736" ht="24.95" customHeight="1" x14ac:dyDescent="0.25"/>
    <row r="737" ht="24.95" customHeight="1" x14ac:dyDescent="0.25"/>
    <row r="738" ht="24.95" customHeight="1" x14ac:dyDescent="0.25"/>
    <row r="739" ht="24.95" customHeight="1" x14ac:dyDescent="0.25"/>
    <row r="740" ht="24.95" customHeight="1" x14ac:dyDescent="0.25"/>
    <row r="741" ht="24.95" customHeight="1" x14ac:dyDescent="0.25"/>
    <row r="742" ht="24.95" customHeight="1" x14ac:dyDescent="0.25"/>
    <row r="743" ht="24.95" customHeight="1" x14ac:dyDescent="0.25"/>
    <row r="744" ht="24.95" customHeight="1" x14ac:dyDescent="0.25"/>
    <row r="745" ht="24.95" customHeight="1" x14ac:dyDescent="0.25"/>
    <row r="746" ht="24.95" customHeight="1" x14ac:dyDescent="0.25"/>
    <row r="747" ht="24.95" customHeight="1" x14ac:dyDescent="0.25"/>
    <row r="748" ht="24.95" customHeight="1" x14ac:dyDescent="0.25"/>
    <row r="749" ht="24.95" customHeight="1" x14ac:dyDescent="0.25"/>
    <row r="750" ht="24.95" customHeight="1" x14ac:dyDescent="0.25"/>
    <row r="751" ht="24.95" customHeight="1" x14ac:dyDescent="0.25"/>
    <row r="752" ht="24.95" customHeight="1" x14ac:dyDescent="0.25"/>
    <row r="753" ht="24.95" customHeight="1" x14ac:dyDescent="0.25"/>
    <row r="754" ht="24.95" customHeight="1" x14ac:dyDescent="0.25"/>
    <row r="755" ht="24.95" customHeight="1" x14ac:dyDescent="0.25"/>
    <row r="756" ht="24.95" customHeight="1" x14ac:dyDescent="0.25"/>
    <row r="757" ht="24.95" customHeight="1" x14ac:dyDescent="0.25"/>
    <row r="758" ht="24.95" customHeight="1" x14ac:dyDescent="0.25"/>
    <row r="759" ht="24.95" customHeight="1" x14ac:dyDescent="0.25"/>
    <row r="760" ht="24.95" customHeight="1" x14ac:dyDescent="0.25"/>
    <row r="761" ht="24.95" customHeight="1" x14ac:dyDescent="0.25"/>
    <row r="762" ht="24.95" customHeight="1" x14ac:dyDescent="0.25"/>
    <row r="763" ht="24.95" customHeight="1" x14ac:dyDescent="0.25"/>
    <row r="764" ht="24.95" customHeight="1" x14ac:dyDescent="0.25"/>
    <row r="765" ht="24.95" customHeight="1" x14ac:dyDescent="0.25"/>
    <row r="766" ht="24.95" customHeight="1" x14ac:dyDescent="0.25"/>
    <row r="767" ht="24.95" customHeight="1" x14ac:dyDescent="0.25"/>
    <row r="768" ht="24.95" customHeight="1" x14ac:dyDescent="0.25"/>
    <row r="769" ht="24.95" customHeight="1" x14ac:dyDescent="0.25"/>
    <row r="770" ht="24.95" customHeight="1" x14ac:dyDescent="0.25"/>
    <row r="771" ht="24.95" customHeight="1" x14ac:dyDescent="0.25"/>
    <row r="772" ht="24.95" customHeight="1" x14ac:dyDescent="0.25"/>
    <row r="773" ht="24.95" customHeight="1" x14ac:dyDescent="0.25"/>
    <row r="774" ht="24.95" customHeight="1" x14ac:dyDescent="0.25"/>
    <row r="775" ht="24.95" customHeight="1" x14ac:dyDescent="0.25"/>
    <row r="776" ht="24.95" customHeight="1" x14ac:dyDescent="0.25"/>
    <row r="777" ht="24.95" customHeight="1" x14ac:dyDescent="0.25"/>
    <row r="778" ht="24.95" customHeight="1" x14ac:dyDescent="0.25"/>
    <row r="779" ht="24.95" customHeight="1" x14ac:dyDescent="0.25"/>
    <row r="780" ht="24.95" customHeight="1" x14ac:dyDescent="0.25"/>
    <row r="781" ht="24.95" customHeight="1" x14ac:dyDescent="0.25"/>
    <row r="782" ht="24.95" customHeight="1" x14ac:dyDescent="0.25"/>
    <row r="783" ht="24.95" customHeight="1" x14ac:dyDescent="0.25"/>
    <row r="784" ht="24.95" customHeight="1" x14ac:dyDescent="0.25"/>
    <row r="785" ht="24.95" customHeight="1" x14ac:dyDescent="0.25"/>
    <row r="786" ht="24.95" customHeight="1" x14ac:dyDescent="0.25"/>
    <row r="787" ht="24.95" customHeight="1" x14ac:dyDescent="0.25"/>
    <row r="788" ht="24.95" customHeight="1" x14ac:dyDescent="0.25"/>
    <row r="789" ht="24.95" customHeight="1" x14ac:dyDescent="0.25"/>
    <row r="790" ht="24.95" customHeight="1" x14ac:dyDescent="0.25"/>
    <row r="791" ht="24.95" customHeight="1" x14ac:dyDescent="0.25"/>
    <row r="792" ht="24.95" customHeight="1" x14ac:dyDescent="0.25"/>
    <row r="793" ht="24.95" customHeight="1" x14ac:dyDescent="0.25"/>
    <row r="794" ht="24.95" customHeight="1" x14ac:dyDescent="0.25"/>
    <row r="795" ht="24.95" customHeight="1" x14ac:dyDescent="0.25"/>
    <row r="796" ht="24.95" customHeight="1" x14ac:dyDescent="0.25"/>
    <row r="797" ht="24.95" customHeight="1" x14ac:dyDescent="0.25"/>
    <row r="798" ht="24.95" customHeight="1" x14ac:dyDescent="0.25"/>
    <row r="799" ht="24.95" customHeight="1" x14ac:dyDescent="0.25"/>
    <row r="800" ht="24.95" customHeight="1" x14ac:dyDescent="0.25"/>
    <row r="801" ht="24.95" customHeight="1" x14ac:dyDescent="0.25"/>
    <row r="802" ht="24.95" customHeight="1" x14ac:dyDescent="0.25"/>
    <row r="803" ht="24.95" customHeight="1" x14ac:dyDescent="0.25"/>
    <row r="804" ht="24.95" customHeight="1" x14ac:dyDescent="0.25"/>
    <row r="805" ht="24.95" customHeight="1" x14ac:dyDescent="0.25"/>
    <row r="806" ht="24.95" customHeight="1" x14ac:dyDescent="0.25"/>
    <row r="807" ht="24.95" customHeight="1" x14ac:dyDescent="0.25"/>
    <row r="808" ht="24.95" customHeight="1" x14ac:dyDescent="0.25"/>
    <row r="809" ht="24.95" customHeight="1" x14ac:dyDescent="0.25"/>
    <row r="810" ht="24.95" customHeight="1" x14ac:dyDescent="0.25"/>
    <row r="811" ht="24.95" customHeight="1" x14ac:dyDescent="0.25"/>
    <row r="812" ht="24.95" customHeight="1" x14ac:dyDescent="0.25"/>
    <row r="813" ht="24.95" customHeight="1" x14ac:dyDescent="0.25"/>
    <row r="814" ht="24.95" customHeight="1" x14ac:dyDescent="0.25"/>
    <row r="815" ht="24.95" customHeight="1" x14ac:dyDescent="0.25"/>
    <row r="816" ht="24.95" customHeight="1" x14ac:dyDescent="0.25"/>
    <row r="817" ht="24.95" customHeight="1" x14ac:dyDescent="0.25"/>
    <row r="818" ht="24.95" customHeight="1" x14ac:dyDescent="0.25"/>
    <row r="819" ht="24.95" customHeight="1" x14ac:dyDescent="0.25"/>
    <row r="820" ht="24.95" customHeight="1" x14ac:dyDescent="0.25"/>
    <row r="821" ht="24.95" customHeight="1" x14ac:dyDescent="0.25"/>
    <row r="822" ht="24.95" customHeight="1" x14ac:dyDescent="0.25"/>
    <row r="823" ht="24.95" customHeight="1" x14ac:dyDescent="0.25"/>
    <row r="824" ht="24.95" customHeight="1" x14ac:dyDescent="0.25"/>
    <row r="825" ht="24.95" customHeight="1" x14ac:dyDescent="0.25"/>
    <row r="826" ht="24.95" customHeight="1" x14ac:dyDescent="0.25"/>
    <row r="827" ht="24.95" customHeight="1" x14ac:dyDescent="0.25"/>
    <row r="828" ht="24.95" customHeight="1" x14ac:dyDescent="0.25"/>
    <row r="829" ht="24.95" customHeight="1" x14ac:dyDescent="0.25"/>
    <row r="830" ht="24.95" customHeight="1" x14ac:dyDescent="0.25"/>
    <row r="831" ht="24.95" customHeight="1" x14ac:dyDescent="0.25"/>
    <row r="832" ht="24.95" customHeight="1" x14ac:dyDescent="0.25"/>
    <row r="833" ht="24.95" customHeight="1" x14ac:dyDescent="0.25"/>
    <row r="834" ht="24.95" customHeight="1" x14ac:dyDescent="0.25"/>
    <row r="835" ht="24.95" customHeight="1" x14ac:dyDescent="0.25"/>
    <row r="836" ht="24.95" customHeight="1" x14ac:dyDescent="0.25"/>
    <row r="837" ht="24.95" customHeight="1" x14ac:dyDescent="0.25"/>
    <row r="838" ht="24.95" customHeight="1" x14ac:dyDescent="0.25"/>
    <row r="839" ht="24.95" customHeight="1" x14ac:dyDescent="0.25"/>
    <row r="840" ht="24.95" customHeight="1" x14ac:dyDescent="0.25"/>
    <row r="841" ht="24.95" customHeight="1" x14ac:dyDescent="0.25"/>
    <row r="842" ht="24.95" customHeight="1" x14ac:dyDescent="0.25"/>
    <row r="843" ht="24.95" customHeight="1" x14ac:dyDescent="0.25"/>
    <row r="844" ht="24.95" customHeight="1" x14ac:dyDescent="0.25"/>
    <row r="845" ht="24.95" customHeight="1" x14ac:dyDescent="0.25"/>
    <row r="846" ht="24.95" customHeight="1" x14ac:dyDescent="0.25"/>
    <row r="847" ht="24.95" customHeight="1" x14ac:dyDescent="0.25"/>
    <row r="848" ht="24.95" customHeight="1" x14ac:dyDescent="0.25"/>
    <row r="849" ht="24.95" customHeight="1" x14ac:dyDescent="0.25"/>
    <row r="850" ht="24.95" customHeight="1" x14ac:dyDescent="0.25"/>
    <row r="851" ht="24.95" customHeight="1" x14ac:dyDescent="0.25"/>
    <row r="852" ht="24.95" customHeight="1" x14ac:dyDescent="0.25"/>
    <row r="853" ht="24.95" customHeight="1" x14ac:dyDescent="0.25"/>
    <row r="854" ht="24.95" customHeight="1" x14ac:dyDescent="0.25"/>
    <row r="855" ht="24.95" customHeight="1" x14ac:dyDescent="0.25"/>
    <row r="856" ht="24.95" customHeight="1" x14ac:dyDescent="0.25"/>
    <row r="857" ht="24.95" customHeight="1" x14ac:dyDescent="0.25"/>
    <row r="858" ht="24.95" customHeight="1" x14ac:dyDescent="0.25"/>
    <row r="859" ht="24.95" customHeight="1" x14ac:dyDescent="0.25"/>
    <row r="860" ht="24.95" customHeight="1" x14ac:dyDescent="0.25"/>
    <row r="861" ht="24.95" customHeight="1" x14ac:dyDescent="0.25"/>
    <row r="862" ht="24.95" customHeight="1" x14ac:dyDescent="0.25"/>
    <row r="863" ht="24.95" customHeight="1" x14ac:dyDescent="0.25"/>
    <row r="864" ht="24.95" customHeight="1" x14ac:dyDescent="0.25"/>
    <row r="865" ht="24.95" customHeight="1" x14ac:dyDescent="0.25"/>
    <row r="866" ht="24.95" customHeight="1" x14ac:dyDescent="0.25"/>
    <row r="867" ht="24.95" customHeight="1" x14ac:dyDescent="0.25"/>
    <row r="868" ht="24.95" customHeight="1" x14ac:dyDescent="0.25"/>
    <row r="869" ht="24.95" customHeight="1" x14ac:dyDescent="0.25"/>
    <row r="870" ht="24.95" customHeight="1" x14ac:dyDescent="0.25"/>
    <row r="871" ht="24.95" customHeight="1" x14ac:dyDescent="0.25"/>
    <row r="872" ht="24.95" customHeight="1" x14ac:dyDescent="0.25"/>
    <row r="873" ht="24.95" customHeight="1" x14ac:dyDescent="0.25"/>
    <row r="874" ht="24.95" customHeight="1" x14ac:dyDescent="0.25"/>
    <row r="875" ht="24.95" customHeight="1" x14ac:dyDescent="0.25"/>
    <row r="876" ht="24.95" customHeight="1" x14ac:dyDescent="0.25"/>
    <row r="877" ht="24.95" customHeight="1" x14ac:dyDescent="0.25"/>
    <row r="878" ht="24.95" customHeight="1" x14ac:dyDescent="0.25"/>
    <row r="879" ht="24.95" customHeight="1" x14ac:dyDescent="0.25"/>
    <row r="880" ht="24.95" customHeight="1" x14ac:dyDescent="0.25"/>
    <row r="881" ht="24.95" customHeight="1" x14ac:dyDescent="0.25"/>
    <row r="882" ht="24.95" customHeight="1" x14ac:dyDescent="0.25"/>
    <row r="883" ht="24.95" customHeight="1" x14ac:dyDescent="0.25"/>
    <row r="884" ht="24.95" customHeight="1" x14ac:dyDescent="0.25"/>
    <row r="885" ht="24.95" customHeight="1" x14ac:dyDescent="0.25"/>
    <row r="886" ht="24.95" customHeight="1" x14ac:dyDescent="0.25"/>
    <row r="887" ht="24.95" customHeight="1" x14ac:dyDescent="0.25"/>
    <row r="888" ht="24.95" customHeight="1" x14ac:dyDescent="0.25"/>
    <row r="889" ht="24.95" customHeight="1" x14ac:dyDescent="0.25"/>
    <row r="890" ht="24.95" customHeight="1" x14ac:dyDescent="0.25"/>
    <row r="891" ht="24.95" customHeight="1" x14ac:dyDescent="0.25"/>
    <row r="892" ht="24.95" customHeight="1" x14ac:dyDescent="0.25"/>
    <row r="893" ht="24.95" customHeight="1" x14ac:dyDescent="0.25"/>
    <row r="894" ht="24.95" customHeight="1" x14ac:dyDescent="0.25"/>
    <row r="895" ht="24.95" customHeight="1" x14ac:dyDescent="0.25"/>
    <row r="896" ht="24.95" customHeight="1" x14ac:dyDescent="0.25"/>
    <row r="897" ht="24.95" customHeight="1" x14ac:dyDescent="0.25"/>
    <row r="898" ht="24.95" customHeight="1" x14ac:dyDescent="0.25"/>
    <row r="899" ht="24.95" customHeight="1" x14ac:dyDescent="0.25"/>
    <row r="900" ht="24.95" customHeight="1" x14ac:dyDescent="0.25"/>
    <row r="901" ht="24.95" customHeight="1" x14ac:dyDescent="0.25"/>
    <row r="902" ht="24.95" customHeight="1" x14ac:dyDescent="0.25"/>
    <row r="903" ht="24.95" customHeight="1" x14ac:dyDescent="0.25"/>
    <row r="904" ht="24.95" customHeight="1" x14ac:dyDescent="0.25"/>
    <row r="905" ht="24.95" customHeight="1" x14ac:dyDescent="0.25"/>
    <row r="906" ht="24.95" customHeight="1" x14ac:dyDescent="0.25"/>
    <row r="907" ht="24.95" customHeight="1" x14ac:dyDescent="0.25"/>
    <row r="908" ht="24.95" customHeight="1" x14ac:dyDescent="0.25"/>
    <row r="909" ht="24.95" customHeight="1" x14ac:dyDescent="0.25"/>
    <row r="910" ht="24.95" customHeight="1" x14ac:dyDescent="0.25"/>
    <row r="911" ht="24.95" customHeight="1" x14ac:dyDescent="0.25"/>
    <row r="912" ht="24.95" customHeight="1" x14ac:dyDescent="0.25"/>
    <row r="913" ht="24.95" customHeight="1" x14ac:dyDescent="0.25"/>
    <row r="914" ht="24.95" customHeight="1" x14ac:dyDescent="0.25"/>
    <row r="915" ht="24.95" customHeight="1" x14ac:dyDescent="0.25"/>
    <row r="916" ht="24.95" customHeight="1" x14ac:dyDescent="0.25"/>
    <row r="917" ht="24.95" customHeight="1" x14ac:dyDescent="0.25"/>
    <row r="918" ht="24.95" customHeight="1" x14ac:dyDescent="0.25"/>
    <row r="919" ht="24.95" customHeight="1" x14ac:dyDescent="0.25"/>
    <row r="920" ht="24.95" customHeight="1" x14ac:dyDescent="0.25"/>
    <row r="921" ht="24.95" customHeight="1" x14ac:dyDescent="0.25"/>
    <row r="922" ht="24.95" customHeight="1" x14ac:dyDescent="0.25"/>
    <row r="923" ht="24.95" customHeight="1" x14ac:dyDescent="0.25"/>
    <row r="924" ht="24.95" customHeight="1" x14ac:dyDescent="0.25"/>
    <row r="925" ht="24.95" customHeight="1" x14ac:dyDescent="0.25"/>
    <row r="926" ht="24.95" customHeight="1" x14ac:dyDescent="0.25"/>
    <row r="927" ht="24.95" customHeight="1" x14ac:dyDescent="0.25"/>
    <row r="928" ht="24.95" customHeight="1" x14ac:dyDescent="0.25"/>
    <row r="929" ht="24.95" customHeight="1" x14ac:dyDescent="0.25"/>
    <row r="930" ht="24.95" customHeight="1" x14ac:dyDescent="0.25"/>
    <row r="931" ht="24.95" customHeight="1" x14ac:dyDescent="0.25"/>
    <row r="932" ht="24.95" customHeight="1" x14ac:dyDescent="0.25"/>
    <row r="933" ht="24.95" customHeight="1" x14ac:dyDescent="0.25"/>
    <row r="934" ht="24.95" customHeight="1" x14ac:dyDescent="0.25"/>
    <row r="935" ht="24.95" customHeight="1" x14ac:dyDescent="0.25"/>
    <row r="936" ht="24.95" customHeight="1" x14ac:dyDescent="0.25"/>
    <row r="937" ht="24.95" customHeight="1" x14ac:dyDescent="0.25"/>
    <row r="938" ht="24.95" customHeight="1" x14ac:dyDescent="0.25"/>
    <row r="939" ht="24.95" customHeight="1" x14ac:dyDescent="0.25"/>
    <row r="940" ht="24.95" customHeight="1" x14ac:dyDescent="0.25"/>
    <row r="941" ht="24.95" customHeight="1" x14ac:dyDescent="0.25"/>
    <row r="942" ht="24.95" customHeight="1" x14ac:dyDescent="0.25"/>
    <row r="943" ht="24.95" customHeight="1" x14ac:dyDescent="0.25"/>
    <row r="944" ht="24.95" customHeight="1" x14ac:dyDescent="0.25"/>
    <row r="945" ht="24.95" customHeight="1" x14ac:dyDescent="0.25"/>
    <row r="946" ht="24.95" customHeight="1" x14ac:dyDescent="0.25"/>
    <row r="947" ht="24.95" customHeight="1" x14ac:dyDescent="0.25"/>
    <row r="948" ht="24.95" customHeight="1" x14ac:dyDescent="0.25"/>
    <row r="949" ht="24.95" customHeight="1" x14ac:dyDescent="0.25"/>
    <row r="950" ht="24.95" customHeight="1" x14ac:dyDescent="0.25"/>
    <row r="951" ht="24.95" customHeight="1" x14ac:dyDescent="0.25"/>
    <row r="952" ht="24.95" customHeight="1" x14ac:dyDescent="0.25"/>
    <row r="953" ht="24.95" customHeight="1" x14ac:dyDescent="0.25"/>
    <row r="954" ht="24.95" customHeight="1" x14ac:dyDescent="0.25"/>
    <row r="955" ht="24.95" customHeight="1" x14ac:dyDescent="0.25"/>
    <row r="956" ht="24.95" customHeight="1" x14ac:dyDescent="0.25"/>
    <row r="957" ht="24.95" customHeight="1" x14ac:dyDescent="0.25"/>
    <row r="958" ht="24.95" customHeight="1" x14ac:dyDescent="0.25"/>
    <row r="959" ht="24.95" customHeight="1" x14ac:dyDescent="0.25"/>
    <row r="960" ht="24.95" customHeight="1" x14ac:dyDescent="0.25"/>
    <row r="961" ht="24.95" customHeight="1" x14ac:dyDescent="0.25"/>
    <row r="962" ht="24.95" customHeight="1" x14ac:dyDescent="0.25"/>
    <row r="963" ht="24.95" customHeight="1" x14ac:dyDescent="0.25"/>
    <row r="964" ht="24.95" customHeight="1" x14ac:dyDescent="0.25"/>
    <row r="965" ht="24.95" customHeight="1" x14ac:dyDescent="0.25"/>
    <row r="966" ht="24.95" customHeight="1" x14ac:dyDescent="0.25"/>
    <row r="967" ht="24.95" customHeight="1" x14ac:dyDescent="0.25"/>
    <row r="968" ht="24.95" customHeight="1" x14ac:dyDescent="0.25"/>
    <row r="969" ht="24.95" customHeight="1" x14ac:dyDescent="0.25"/>
    <row r="970" ht="24.95" customHeight="1" x14ac:dyDescent="0.25"/>
    <row r="971" ht="24.95" customHeight="1" x14ac:dyDescent="0.25"/>
    <row r="972" ht="24.95" customHeight="1" x14ac:dyDescent="0.25"/>
    <row r="973" ht="24.95" customHeight="1" x14ac:dyDescent="0.25"/>
    <row r="974" ht="24.95" customHeight="1" x14ac:dyDescent="0.25"/>
    <row r="975" ht="24.95" customHeight="1" x14ac:dyDescent="0.25"/>
    <row r="976" ht="24.95" customHeight="1" x14ac:dyDescent="0.25"/>
    <row r="977" ht="24.95" customHeight="1" x14ac:dyDescent="0.25"/>
    <row r="978" ht="24.95" customHeight="1" x14ac:dyDescent="0.25"/>
    <row r="979" ht="24.95" customHeight="1" x14ac:dyDescent="0.25"/>
    <row r="980" ht="24.95" customHeight="1" x14ac:dyDescent="0.25"/>
    <row r="981" ht="24.95" customHeight="1" x14ac:dyDescent="0.25"/>
    <row r="982" ht="24.95" customHeight="1" x14ac:dyDescent="0.25"/>
    <row r="983" ht="24.95" customHeight="1" x14ac:dyDescent="0.25"/>
    <row r="984" ht="24.95" customHeight="1" x14ac:dyDescent="0.25"/>
    <row r="985" ht="24.95" customHeight="1" x14ac:dyDescent="0.25"/>
    <row r="986" ht="24.95" customHeight="1" x14ac:dyDescent="0.25"/>
    <row r="987" ht="24.95" customHeight="1" x14ac:dyDescent="0.25"/>
    <row r="988" ht="24.95" customHeight="1" x14ac:dyDescent="0.25"/>
    <row r="989" ht="24.95" customHeight="1" x14ac:dyDescent="0.25"/>
    <row r="990" ht="24.95" customHeight="1" x14ac:dyDescent="0.25"/>
    <row r="991" ht="24.95" customHeight="1" x14ac:dyDescent="0.25"/>
    <row r="992" ht="24.95" customHeight="1" x14ac:dyDescent="0.25"/>
    <row r="993" ht="24.95" customHeight="1" x14ac:dyDescent="0.25"/>
    <row r="994" ht="24.95" customHeight="1" x14ac:dyDescent="0.25"/>
    <row r="995" ht="24.95" customHeight="1" x14ac:dyDescent="0.25"/>
    <row r="996" ht="24.95" customHeight="1" x14ac:dyDescent="0.25"/>
    <row r="997" ht="24.95" customHeight="1" x14ac:dyDescent="0.25"/>
    <row r="998" ht="24.95" customHeight="1" x14ac:dyDescent="0.25"/>
    <row r="999" ht="24.95" customHeight="1" x14ac:dyDescent="0.25"/>
    <row r="1000" ht="24.95" customHeight="1" x14ac:dyDescent="0.25"/>
    <row r="1001" ht="24.95" customHeight="1" x14ac:dyDescent="0.25"/>
  </sheetData>
  <autoFilter ref="B1:GH1" xr:uid="{00000000-0009-0000-0000-000007000000}">
    <sortState xmlns:xlrd2="http://schemas.microsoft.com/office/spreadsheetml/2017/richdata2" ref="B2:GH16">
      <sortCondition ref="B1"/>
    </sortState>
  </autoFilter>
  <phoneticPr fontId="53" type="noConversion"/>
  <conditionalFormatting sqref="CG1:CG1048576">
    <cfRule type="iconSet" priority="31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1:CH1048576">
    <cfRule type="colorScale" priority="6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I1:CI1048576">
    <cfRule type="iconSet" priority="30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1:CJ1048576">
    <cfRule type="colorScale" priority="6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1:CK1048576">
    <cfRule type="colorScale" priority="6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1">
    <cfRule type="colorScale" priority="6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1">
    <cfRule type="colorScale" priority="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">
    <cfRule type="colorScale" priority="6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1:CR1048576">
    <cfRule type="iconSet" priority="307">
      <iconSet iconSet="3Arrows">
        <cfvo type="percent" val="0"/>
        <cfvo type="percent" val="33"/>
        <cfvo type="percent" val="67"/>
      </iconSet>
    </cfRule>
    <cfRule type="colorScale" priority="6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1:CQ1048576">
    <cfRule type="colorScale" priority="6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Q1:CQ1048576">
    <cfRule type="iconSet" priority="308">
      <iconSet iconSet="3Arrows">
        <cfvo type="percent" val="0"/>
        <cfvo type="percent" val="33"/>
        <cfvo type="percent" val="67"/>
      </iconSet>
    </cfRule>
    <cfRule type="colorScale" priority="6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:CP1048576">
    <cfRule type="colorScale" priority="6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1:CO1048576">
    <cfRule type="colorScale" priority="5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1:CN1048576">
    <cfRule type="iconSet" priority="314">
      <iconSet iconSet="3Arrows">
        <cfvo type="percent" val="0"/>
        <cfvo type="percent" val="33"/>
        <cfvo type="percent" val="67"/>
      </iconSet>
    </cfRule>
    <cfRule type="colorScale" priority="6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1:BN1048576">
    <cfRule type="iconSet" priority="83">
      <iconSet iconSet="3ArrowsGray">
        <cfvo type="percent" val="0"/>
        <cfvo type="percent" val="33"/>
        <cfvo type="percent" val="67"/>
      </iconSet>
    </cfRule>
    <cfRule type="colorScale" priority="395">
      <colorScale>
        <cfvo type="min"/>
        <cfvo type="percentile" val="50"/>
        <cfvo type="max"/>
        <color theme="4" tint="0.79998168889431442"/>
        <color theme="4" tint="0.39997558519241921"/>
        <color rgb="FF0085B4"/>
      </colorScale>
    </cfRule>
  </conditionalFormatting>
  <conditionalFormatting sqref="BQ1:BR1048576">
    <cfRule type="colorScale" priority="6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1:BP1048576">
    <cfRule type="colorScale" priority="6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1:BW1048576">
    <cfRule type="colorScale" priority="4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2:AV1048576">
    <cfRule type="colorScale" priority="6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">
    <cfRule type="colorScale" priority="6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:AV1048576">
    <cfRule type="iconSet" priority="28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6">
    <cfRule type="colorScale" priority="617">
      <colorScale>
        <cfvo type="num" val="0"/>
        <cfvo type="num" val="31"/>
        <cfvo type="num" val="32"/>
        <color theme="7" tint="0.79998168889431442"/>
        <color rgb="FFFFEB84"/>
        <color rgb="FFFF0000"/>
      </colorScale>
    </cfRule>
  </conditionalFormatting>
  <conditionalFormatting sqref="F1">
    <cfRule type="colorScale" priority="6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1:DA1048576">
    <cfRule type="colorScale" priority="5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Z1:CZ1048576">
    <cfRule type="iconSet" priority="27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A1:DA1048576">
    <cfRule type="colorScale" priority="5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A1">
    <cfRule type="colorScale" priority="5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A1">
    <cfRule type="colorScale" priority="5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D1">
    <cfRule type="colorScale" priority="5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D1">
    <cfRule type="colorScale" priority="539">
      <colorScale>
        <cfvo type="min"/>
        <cfvo type="max"/>
        <color rgb="FFFFEF9C"/>
        <color rgb="FF63BE7B"/>
      </colorScale>
    </cfRule>
    <cfRule type="colorScale" priority="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:AI1048576">
    <cfRule type="colorScale" priority="275">
      <colorScale>
        <cfvo type="percent" val="39.999000000000002"/>
        <cfvo type="percentile" val="49.999899999999997"/>
        <cfvo type="percent" val="50"/>
        <color rgb="FFF8696B"/>
        <color rgb="FFFFEB84"/>
        <color rgb="FF63BE7B"/>
      </colorScale>
    </cfRule>
    <cfRule type="iconSet" priority="305">
      <iconSet iconSet="5Arrows">
        <cfvo type="percent" val="0"/>
        <cfvo type="percent" val="39.99"/>
        <cfvo type="percent" val="40"/>
        <cfvo type="percent" val="45"/>
        <cfvo type="percent" val="50"/>
      </iconSet>
    </cfRule>
  </conditionalFormatting>
  <conditionalFormatting sqref="CS1:CS1048576">
    <cfRule type="colorScale" priority="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1048576">
    <cfRule type="dataBar" priority="2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{E535262B-D53E-42C8-9D2C-16F197CDE5FD}</x14:id>
        </ext>
      </extLst>
    </cfRule>
    <cfRule type="colorScale" priority="451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X1:X1048576">
    <cfRule type="dataBar" priority="2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{F4307ECE-DDFB-4EED-8CCD-5828CE10257A}</x14:id>
        </ext>
      </extLst>
    </cfRule>
    <cfRule type="colorScale" priority="450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Y1:Y1048576">
    <cfRule type="dataBar" priority="2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{EC63933C-443B-4657-A399-F99D38004296}</x14:id>
        </ext>
      </extLst>
    </cfRule>
    <cfRule type="colorScale" priority="449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Z1:Z1048576">
    <cfRule type="dataBar" priority="3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{0BA079DB-7021-4E66-B11E-668B4097DCC9}</x14:id>
        </ext>
      </extLst>
    </cfRule>
    <cfRule type="colorScale" priority="448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A1:AA1048576">
    <cfRule type="dataBar" priority="3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{139F3135-4876-475D-B8CB-4675C9108B0A}</x14:id>
        </ext>
      </extLst>
    </cfRule>
    <cfRule type="colorScale" priority="447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BV1:BV1048576">
    <cfRule type="iconSet" priority="36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:AU1">
    <cfRule type="colorScale" priority="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:AU1">
    <cfRule type="colorScale" priority="4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:AT1048576">
    <cfRule type="colorScale" priority="412">
      <colorScale>
        <cfvo type="min"/>
        <cfvo type="max"/>
        <color rgb="FFFCFCFF"/>
        <color rgb="FFF8696B"/>
      </colorScale>
    </cfRule>
    <cfRule type="colorScale" priority="4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U1048576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:AY1048576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1:AY1048576">
    <cfRule type="iconSet" priority="287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410">
      <colorScale>
        <cfvo type="min"/>
        <cfvo type="max"/>
        <color rgb="FFFCFCFF"/>
        <color rgb="FFF8696B"/>
      </colorScale>
    </cfRule>
  </conditionalFormatting>
  <conditionalFormatting sqref="AW1:AW1048576">
    <cfRule type="iconSet" priority="317">
      <iconSet iconSet="3Arrows">
        <cfvo type="percent" val="0"/>
        <cfvo type="percent" val="33"/>
        <cfvo type="percent" val="67"/>
      </iconSet>
    </cfRule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:AX1048576">
    <cfRule type="iconSet" priority="318">
      <iconSet iconSet="3Arrows">
        <cfvo type="percent" val="0"/>
        <cfvo type="percent" val="33"/>
        <cfvo type="percent" val="67"/>
      </iconSet>
    </cfRule>
    <cfRule type="colorScale" priority="4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:BA1048576">
    <cfRule type="iconSet" priority="285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403">
      <colorScale>
        <cfvo type="min"/>
        <cfvo type="max"/>
        <color rgb="FFFCFCFF"/>
        <color rgb="FFF8696B"/>
      </colorScale>
    </cfRule>
  </conditionalFormatting>
  <conditionalFormatting sqref="AZ1:AZ1048576">
    <cfRule type="iconSet" priority="28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1:BO1048576">
    <cfRule type="iconSet" priority="30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iconSet" priority="322">
      <iconSet iconSet="3Arrows">
        <cfvo type="percent" val="0"/>
        <cfvo type="percent" val="33"/>
        <cfvo type="percent" val="67"/>
      </iconSet>
    </cfRule>
    <cfRule type="colorScale" priority="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1:BP1048576">
    <cfRule type="colorScale" priority="3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1:BQ1048576">
    <cfRule type="iconSet" priority="30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iconSet" priority="321">
      <iconSet iconSet="3Arrows">
        <cfvo type="percent" val="0"/>
        <cfvo type="percent" val="33"/>
        <cfvo type="percent" val="67"/>
      </iconSet>
    </cfRule>
    <cfRule type="colorScale" priority="3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1:BR1048576">
    <cfRule type="iconSet" priority="29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">
    <cfRule type="colorScale" priority="3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1">
    <cfRule type="colorScale" priority="3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:BS1048576">
    <cfRule type="colorScale" priority="374">
      <colorScale>
        <cfvo type="min"/>
        <cfvo type="percentile" val="50"/>
        <cfvo type="max"/>
        <color theme="4" tint="0.79998168889431442"/>
        <color theme="4" tint="0.39997558519241921"/>
        <color rgb="FF0085B4"/>
      </colorScale>
    </cfRule>
  </conditionalFormatting>
  <conditionalFormatting sqref="BT1:BT1048576">
    <cfRule type="iconSet" priority="36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:BU1048576">
    <cfRule type="colorScale" priority="3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1:DE1048576">
    <cfRule type="iconSet" priority="332">
      <iconSet iconSet="3Arrows">
        <cfvo type="percent" val="0"/>
        <cfvo type="percent" val="33"/>
        <cfvo type="percent" val="67"/>
      </iconSet>
    </cfRule>
    <cfRule type="colorScale" priority="3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D1:DD1048576">
    <cfRule type="colorScale" priority="3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P2:DP1048576"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O1">
    <cfRule type="iconSet" priority="346">
      <iconSet iconSet="4Arrows" reverse="1">
        <cfvo type="percent" val="0"/>
        <cfvo type="percent" val="25"/>
        <cfvo type="percent" val="50"/>
        <cfvo type="percent" val="75"/>
      </iconSet>
    </cfRule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1"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P1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1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  <cfRule type="iconSet" priority="343">
      <iconSet iconSet="3Arrows" reverse="1">
        <cfvo type="percent" val="0"/>
        <cfvo type="percent" val="33"/>
        <cfvo type="percent" val="67"/>
      </iconSet>
    </cfRule>
  </conditionalFormatting>
  <conditionalFormatting sqref="DP1">
    <cfRule type="colorScale" priority="3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P1">
    <cfRule type="colorScale" priority="3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P1:DP1048576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1:CT1048576">
    <cfRule type="iconSet" priority="289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U1:CU1048576">
    <cfRule type="iconSet" priority="288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R1:AR1048576">
    <cfRule type="iconSet" priority="27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:AS1048576">
    <cfRule type="iconSet" priority="27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263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266">
      <iconSet iconSet="3ArrowsGray">
        <cfvo type="percent" val="0"/>
        <cfvo type="percent" val="33"/>
        <cfvo type="percent" val="67"/>
      </iconSet>
    </cfRule>
  </conditionalFormatting>
  <conditionalFormatting sqref="M1:M1048576">
    <cfRule type="colorScale" priority="262">
      <colorScale>
        <cfvo type="min"/>
        <cfvo type="percentile" val="50"/>
        <cfvo type="max"/>
        <color theme="5" tint="-0.249977111117893"/>
        <color theme="5" tint="0.39997558519241921"/>
        <color theme="5" tint="0.79998168889431442"/>
      </colorScale>
    </cfRule>
    <cfRule type="iconSet" priority="265">
      <iconSet iconSet="3ArrowsGray" reverse="1">
        <cfvo type="percent" val="0"/>
        <cfvo type="percent" val="33"/>
        <cfvo type="percent" val="67"/>
      </iconSet>
    </cfRule>
  </conditionalFormatting>
  <conditionalFormatting sqref="N1:N1048576">
    <cfRule type="colorScale" priority="260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264">
      <iconSet iconSet="3ArrowsGray">
        <cfvo type="percent" val="0"/>
        <cfvo type="percent" val="33"/>
        <cfvo type="percent" val="67"/>
      </iconSet>
    </cfRule>
  </conditionalFormatting>
  <conditionalFormatting sqref="EB1:EB1048576">
    <cfRule type="iconSet" priority="25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A1:EA1048576">
    <cfRule type="iconSet" priority="183">
      <iconSet iconSet="3Arrows" reverse="1">
        <cfvo type="percent" val="0"/>
        <cfvo type="percent" val="33"/>
        <cfvo type="percent" val="67"/>
      </iconSet>
    </cfRule>
    <cfRule type="colorScale" priority="226">
      <colorScale>
        <cfvo type="min"/>
        <cfvo type="max"/>
        <color rgb="FFFCFCFF"/>
        <color rgb="FFF8696B"/>
      </colorScale>
    </cfRule>
  </conditionalFormatting>
  <conditionalFormatting sqref="DT1:DT1048576">
    <cfRule type="dataBar" priority="2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{306DA4D5-2BC7-43F0-895F-AB55DD738C9F}</x14:id>
        </ext>
      </extLst>
    </cfRule>
    <cfRule type="colorScale" priority="245">
      <colorScale>
        <cfvo type="min"/>
        <cfvo type="percentile" val="50"/>
        <cfvo type="max"/>
        <color rgb="FFF8696B"/>
        <color theme="4" tint="0.59999389629810485"/>
        <color rgb="FF00B0F0"/>
      </colorScale>
    </cfRule>
  </conditionalFormatting>
  <conditionalFormatting sqref="DY1:DY1048576">
    <cfRule type="iconSet" priority="234">
      <iconSet iconSet="3Arrows" reverse="1">
        <cfvo type="percent" val="0"/>
        <cfvo type="percent" val="33"/>
        <cfvo type="percent" val="67"/>
      </iconSet>
    </cfRule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1:DZ1048576">
    <cfRule type="iconSet" priority="233">
      <iconSet iconSet="3Arrows" reverse="1">
        <cfvo type="percent" val="0"/>
        <cfvo type="percent" val="33"/>
        <cfvo type="percent" val="67"/>
      </iconSet>
    </cfRule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1:DB1048576">
    <cfRule type="colorScale" priority="22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C1:DC1048576">
    <cfRule type="colorScale" priority="22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V1:CV1048576">
    <cfRule type="iconSet" priority="220">
      <iconSet iconSet="3Arrows">
        <cfvo type="percent" val="0"/>
        <cfvo type="percent" val="33"/>
        <cfvo type="percent" val="67"/>
      </iconSet>
    </cfRule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W1:CW1048576">
    <cfRule type="iconSet" priority="216">
      <iconSet iconSet="3Arrows">
        <cfvo type="percent" val="0"/>
        <cfvo type="percent" val="33"/>
        <cfvo type="percent" val="67"/>
      </iconSet>
    </cfRule>
    <cfRule type="colorScale" priority="2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X1:CX1048576">
    <cfRule type="iconSet" priority="212">
      <iconSet iconSet="3Arrows">
        <cfvo type="percent" val="0"/>
        <cfvo type="percent" val="33"/>
        <cfvo type="percent" val="67"/>
      </iconSet>
    </cfRule>
    <cfRule type="colorScale" priority="2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Y1:CY1048576">
    <cfRule type="iconSet" priority="213">
      <iconSet iconSet="3Arrows">
        <cfvo type="percent" val="0"/>
        <cfvo type="percent" val="33"/>
        <cfvo type="percent" val="67"/>
      </iconSet>
    </cfRule>
    <cfRule type="colorScale" priority="2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204">
      <colorScale>
        <cfvo type="min"/>
        <cfvo type="max"/>
        <color rgb="FFFFEF9C"/>
        <color rgb="FF63BE7B"/>
      </colorScale>
    </cfRule>
  </conditionalFormatting>
  <conditionalFormatting sqref="I1:I1048576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dataBar" priority="1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{2B53CF0C-FF8D-4FB2-AA45-1DFB9C9EE3C4}</x14:id>
        </ext>
      </extLst>
    </cfRule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:AP1048576">
    <cfRule type="iconSet" priority="79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94">
      <colorScale>
        <cfvo type="min"/>
        <cfvo type="percentile" val="50"/>
        <cfvo type="max"/>
        <color rgb="FFFFAFAF"/>
        <color rgb="FFF8696B"/>
        <color rgb="FFFF0000"/>
      </colorScale>
    </cfRule>
  </conditionalFormatting>
  <conditionalFormatting sqref="AQ1:AQ1048576">
    <cfRule type="iconSet" priority="80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93">
      <colorScale>
        <cfvo type="min"/>
        <cfvo type="percentile" val="50"/>
        <cfvo type="max"/>
        <color rgb="FFFFAFAF"/>
        <color rgb="FFF8696B"/>
        <color rgb="FFFF0000"/>
      </colorScale>
    </cfRule>
  </conditionalFormatting>
  <conditionalFormatting sqref="DQ1:DQ1048576">
    <cfRule type="colorScale" priority="187">
      <colorScale>
        <cfvo type="min"/>
        <cfvo type="max"/>
        <color rgb="FFFFEF9C"/>
        <color rgb="FF63BE7B"/>
      </colorScale>
    </cfRule>
  </conditionalFormatting>
  <conditionalFormatting sqref="DR1:DR1048576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S1:DS1048576">
    <cfRule type="iconSet" priority="184">
      <iconSet iconSet="3Arrows">
        <cfvo type="percent" val="0"/>
        <cfvo type="percent" val="33"/>
        <cfvo type="percent" val="67"/>
      </iconSet>
    </cfRule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U1:DU1048576">
    <cfRule type="dataBar" priority="167">
      <dataBar>
        <cfvo type="min"/>
        <cfvo type="max"/>
        <color theme="4" tint="-0.249977111117893"/>
      </dataBar>
      <extLst>
        <ext xmlns:x14="http://schemas.microsoft.com/office/spreadsheetml/2009/9/main" uri="{B025F937-C7B1-47D3-B67F-A62EFF666E3E}">
          <x14:id>{54C7EF68-0AE8-41C9-896E-D9EE0D5F8E4A}</x14:id>
        </ext>
      </extLst>
    </cfRule>
    <cfRule type="colorScale" priority="168">
      <colorScale>
        <cfvo type="min"/>
        <cfvo type="percentile" val="50"/>
        <cfvo type="max"/>
        <color rgb="FFF8696B"/>
        <color theme="4" tint="0.59999389629810485"/>
        <color rgb="FF00B0F0"/>
      </colorScale>
    </cfRule>
  </conditionalFormatting>
  <conditionalFormatting sqref="DV1">
    <cfRule type="dataBar" priority="165">
      <dataBar>
        <cfvo type="min"/>
        <cfvo type="max"/>
        <color theme="4" tint="-0.249977111117893"/>
      </dataBar>
      <extLst>
        <ext xmlns:x14="http://schemas.microsoft.com/office/spreadsheetml/2009/9/main" uri="{B025F937-C7B1-47D3-B67F-A62EFF666E3E}">
          <x14:id>{7534BBED-DCC0-4DE9-8ABA-B8AA32E7A685}</x14:id>
        </ext>
      </extLst>
    </cfRule>
    <cfRule type="iconSet" priority="166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W1:DW1048576">
    <cfRule type="iconSet" priority="15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X1:DX1048576">
    <cfRule type="iconSet" priority="15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{2D350DD9-2F9F-44A1-BBBD-7680AA84A7E2}</x14:id>
        </ext>
      </extLst>
    </cfRule>
    <cfRule type="iconSet" priority="130">
      <iconSet iconSet="3ArrowsGray">
        <cfvo type="percent" val="0"/>
        <cfvo type="percent" val="33"/>
        <cfvo type="percent" val="67"/>
      </iconSet>
    </cfRule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{202C4C10-8114-4B20-9F5A-ACA27CC701FC}</x14:id>
        </ext>
      </extLst>
    </cfRule>
    <cfRule type="iconSet" priority="129">
      <iconSet iconSet="3ArrowsGray">
        <cfvo type="percent" val="0"/>
        <cfvo type="percent" val="33"/>
        <cfvo type="percent" val="67"/>
      </iconSet>
    </cfRule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{13F6D464-159B-43BD-8153-4AE107642D22}</x14:id>
        </ext>
      </extLst>
    </cfRule>
    <cfRule type="iconSet" priority="13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39">
      <colorScale>
        <cfvo type="min"/>
        <cfvo type="max"/>
        <color rgb="FFFFEF9C"/>
        <color rgb="FF63BE7B"/>
      </colorScale>
    </cfRule>
  </conditionalFormatting>
  <conditionalFormatting sqref="R1:R1048576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{C7B3FE09-BE37-45F9-9D75-66FC24ADAD0A}</x14:id>
        </ext>
      </extLst>
    </cfRule>
    <cfRule type="iconSet" priority="128">
      <iconSet iconSet="3ArrowsGray">
        <cfvo type="percent" val="0"/>
        <cfvo type="percent" val="33"/>
        <cfvo type="percent" val="67"/>
      </iconSet>
    </cfRule>
    <cfRule type="colorScale" priority="138">
      <colorScale>
        <cfvo type="min"/>
        <cfvo type="max"/>
        <color rgb="FFFFEF9C"/>
        <color rgb="FF63BE7B"/>
      </colorScale>
    </cfRule>
  </conditionalFormatting>
  <conditionalFormatting sqref="S1:S1048576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{CB11ED99-0583-4502-B023-9104B76DD1A5}</x14:id>
        </ext>
      </extLst>
    </cfRule>
    <cfRule type="iconSet" priority="127">
      <iconSet iconSet="3ArrowsGray">
        <cfvo type="percent" val="0"/>
        <cfvo type="percent" val="33"/>
        <cfvo type="percent" val="67"/>
      </iconSet>
    </cfRule>
    <cfRule type="colorScale" priority="134">
      <colorScale>
        <cfvo type="min"/>
        <cfvo type="max"/>
        <color rgb="FFFFEF9C"/>
        <color rgb="FF63BE7B"/>
      </colorScale>
    </cfRule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:T1048576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{74BE4E89-FC0F-462A-9D04-6C26434AC10A}</x14:id>
        </ext>
      </extLst>
    </cfRule>
    <cfRule type="iconSet" priority="13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C1:EC1048576">
    <cfRule type="iconSet" priority="119">
      <iconSet iconSet="3Arrows">
        <cfvo type="percent" val="0"/>
        <cfvo type="num" val="6.7"/>
        <cfvo type="num" val="7"/>
      </iconSet>
    </cfRule>
    <cfRule type="colorScale" priority="120">
      <colorScale>
        <cfvo type="num" val="6.5"/>
        <cfvo type="num" val="6.7"/>
        <cfvo type="num" val="7"/>
        <color rgb="FFF8696B"/>
        <color rgb="FFFFEB84"/>
        <color rgb="FF63BE7B"/>
      </colorScale>
    </cfRule>
  </conditionalFormatting>
  <conditionalFormatting sqref="DF1:DF1048576">
    <cfRule type="iconSet" priority="10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G1:DG1048576">
    <cfRule type="iconSet" priority="9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H1:DH1048576">
    <cfRule type="iconSet" priority="9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I1:DI1048576">
    <cfRule type="iconSet" priority="91">
      <iconSet iconSet="3Arrows" reverse="1">
        <cfvo type="percent" val="0"/>
        <cfvo type="percent" val="33"/>
        <cfvo type="percent" val="67"/>
      </iconSet>
    </cfRule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1:DJ1048576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K1:DK1048576">
    <cfRule type="colorScale" priority="96">
      <colorScale>
        <cfvo type="num" val="-1"/>
        <cfvo type="num" val="0"/>
        <cfvo type="max"/>
        <color rgb="FF63BE7B"/>
        <color rgb="FFFFEB84"/>
        <color rgb="FFF8696B"/>
      </colorScale>
    </cfRule>
  </conditionalFormatting>
  <conditionalFormatting sqref="BB1:BB104857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1:BL1048576">
    <cfRule type="iconSet" priority="86">
      <iconSet iconSet="3Arrows">
        <cfvo type="percent" val="0"/>
        <cfvo type="percent" val="33"/>
        <cfvo type="percent" val="67"/>
      </iconSet>
    </cfRule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:BM1048576">
    <cfRule type="iconSet" priority="84">
      <iconSet iconSet="3Arrows">
        <cfvo type="percent" val="0"/>
        <cfvo type="percent" val="33"/>
        <cfvo type="percent" val="67"/>
      </iconSet>
    </cfRule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1:CL1048576">
    <cfRule type="colorScale" priority="82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CM1:CM1048576">
    <cfRule type="colorScale" priority="81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E1:E1048576">
    <cfRule type="colorScale" priority="78">
      <colorScale>
        <cfvo type="num" val="15"/>
        <cfvo type="num" val="25"/>
        <cfvo type="num" val="32"/>
        <color rgb="FF63BE7B"/>
        <color rgb="FFFFEB84"/>
        <color rgb="FFF8696B"/>
      </colorScale>
    </cfRule>
  </conditionalFormatting>
  <conditionalFormatting sqref="DL1:DL1048576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{4F61216A-9890-4A3F-AD3A-3D7959352007}</x14:id>
        </ext>
      </extLst>
    </cfRule>
    <cfRule type="colorScale" priority="77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DM1:DM1048576">
    <cfRule type="colorScale" priority="73">
      <colorScale>
        <cfvo type="min"/>
        <cfvo type="percentile" val="50"/>
        <cfvo type="max"/>
        <color rgb="FFF8696B"/>
        <color rgb="FF9BC2E6"/>
        <color rgb="FF2F75B5"/>
      </colorScale>
    </cfRule>
  </conditionalFormatting>
  <conditionalFormatting sqref="DN1:DN1048576">
    <cfRule type="colorScale" priority="71">
      <colorScale>
        <cfvo type="min"/>
        <cfvo type="percentile" val="50"/>
        <cfvo type="max"/>
        <color rgb="FFF8696B"/>
        <color rgb="FF9BC2E6"/>
        <color rgb="FF2F75B5"/>
      </colorScale>
    </cfRule>
  </conditionalFormatting>
  <conditionalFormatting sqref="DO1:DO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1:BK1048576">
    <cfRule type="colorScale" priority="69">
      <colorScale>
        <cfvo type="num" val="-9.9999999999999995E-8"/>
        <cfvo type="num" val="0"/>
        <cfvo type="max"/>
        <color rgb="FFF8696B"/>
        <color rgb="FFFFEB84"/>
        <color rgb="FF63BE7B"/>
      </colorScale>
    </cfRule>
  </conditionalFormatting>
  <conditionalFormatting sqref="BC1:BC1048576">
    <cfRule type="iconSet" priority="62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64">
      <colorScale>
        <cfvo type="min"/>
        <cfvo type="max"/>
        <color rgb="FFFCFCFF"/>
        <color rgb="FFF8696B"/>
      </colorScale>
    </cfRule>
  </conditionalFormatting>
  <conditionalFormatting sqref="BD1:BD1048576">
    <cfRule type="iconSet" priority="61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63">
      <colorScale>
        <cfvo type="min"/>
        <cfvo type="max"/>
        <color rgb="FFFCFCFF"/>
        <color rgb="FFF8696B"/>
      </colorScale>
    </cfRule>
  </conditionalFormatting>
  <conditionalFormatting sqref="BE1:BE1048576">
    <cfRule type="colorScale" priority="56">
      <colorScale>
        <cfvo type="min"/>
        <cfvo type="max"/>
        <color rgb="FFFCFCFF"/>
        <color rgb="FFF8696B"/>
      </colorScale>
    </cfRule>
  </conditionalFormatting>
  <conditionalFormatting sqref="BF1:BF1048576">
    <cfRule type="iconSet" priority="50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55">
      <colorScale>
        <cfvo type="min"/>
        <cfvo type="max"/>
        <color rgb="FFFCFCFF"/>
        <color rgb="FFF8696B"/>
      </colorScale>
    </cfRule>
  </conditionalFormatting>
  <conditionalFormatting sqref="BG1:BG1048576">
    <cfRule type="colorScale" priority="54">
      <colorScale>
        <cfvo type="min"/>
        <cfvo type="max"/>
        <color rgb="FFFCFCFF"/>
        <color rgb="FFF8696B"/>
      </colorScale>
    </cfRule>
  </conditionalFormatting>
  <conditionalFormatting sqref="BH1:BH1048576">
    <cfRule type="iconSet" priority="49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53">
      <colorScale>
        <cfvo type="min"/>
        <cfvo type="max"/>
        <color rgb="FFFCFCFF"/>
        <color rgb="FFF8696B"/>
      </colorScale>
    </cfRule>
  </conditionalFormatting>
  <conditionalFormatting sqref="BJ1:BJ1048576">
    <cfRule type="iconSet" priority="51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52">
      <colorScale>
        <cfvo type="min"/>
        <cfvo type="max"/>
        <color rgb="FFFCFCFF"/>
        <color rgb="FFF8696B"/>
      </colorScale>
    </cfRule>
  </conditionalFormatting>
  <conditionalFormatting sqref="BI1:BI1048576">
    <cfRule type="colorScale" priority="48">
      <colorScale>
        <cfvo type="min"/>
        <cfvo type="max"/>
        <color rgb="FFFCFCFF"/>
        <color rgb="FFF8696B"/>
      </colorScale>
    </cfRule>
  </conditionalFormatting>
  <conditionalFormatting sqref="AB1:AB1048576">
    <cfRule type="iconSet" priority="4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iconSet" priority="4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iconSet" priority="3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1048576">
    <cfRule type="iconSet" priority="3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:AF1048576">
    <cfRule type="iconSet" priority="3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:AG1048576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:AJ1048576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:AK1048576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1048576">
    <cfRule type="iconSet" priority="25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1048576">
    <cfRule type="iconSet" priority="24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iconSet" priority="1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9">
      <colorScale>
        <cfvo type="num" val="-9.9999999999999995E-7"/>
        <cfvo type="num" val="0"/>
        <cfvo type="max"/>
        <color rgb="FFF8696B"/>
        <color theme="7" tint="0.59999389629810485"/>
        <color rgb="FF00B0F0"/>
      </colorScale>
    </cfRule>
  </conditionalFormatting>
  <conditionalFormatting sqref="AO1:AO1048576">
    <cfRule type="iconSet" priority="1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8">
      <colorScale>
        <cfvo type="num" val="-9.9999999999999995E-7"/>
        <cfvo type="num" val="0"/>
        <cfvo type="max"/>
        <color rgb="FFF8696B"/>
        <color theme="7" tint="0.59999389629810485"/>
        <color rgb="FF00B0F0"/>
      </colorScale>
    </cfRule>
  </conditionalFormatting>
  <conditionalFormatting sqref="U1:U1048576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{C22CB69F-8AFA-469D-867B-EBB7505D7AE7}</x14:id>
        </ext>
      </extLst>
    </cfRule>
    <cfRule type="colorScale" priority="15">
      <colorScale>
        <cfvo type="min"/>
        <cfvo type="percentile" val="50"/>
        <cfvo type="max"/>
        <color rgb="FFF8696B"/>
        <color theme="6" tint="0.79998168889431442"/>
        <color rgb="FF00B0F0"/>
      </colorScale>
    </cfRule>
  </conditionalFormatting>
  <conditionalFormatting sqref="V1:V104857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{816D13F8-AAB9-4A33-B99E-DDD60221E945}</x14:id>
        </ext>
      </extLst>
    </cfRule>
    <cfRule type="colorScale" priority="14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B1:CB1048576">
    <cfRule type="dataBar" priority="13">
      <dataBar>
        <cfvo type="min"/>
        <cfvo type="max"/>
        <color rgb="FF007A37"/>
      </dataBar>
      <extLst>
        <ext xmlns:x14="http://schemas.microsoft.com/office/spreadsheetml/2009/9/main" uri="{B025F937-C7B1-47D3-B67F-A62EFF666E3E}">
          <x14:id>{FF1729FC-947B-46DA-B287-7C50BDD74C87}</x14:id>
        </ext>
      </extLst>
    </cfRule>
  </conditionalFormatting>
  <conditionalFormatting sqref="BX1:BX1048576">
    <cfRule type="dataBar" priority="12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{43F72FDF-6FDF-495B-8D8B-55D6F0008837}</x14:id>
        </ext>
      </extLst>
    </cfRule>
  </conditionalFormatting>
  <conditionalFormatting sqref="BY1:BY1048576">
    <cfRule type="dataBar" priority="11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{F71E2755-10B1-447B-BB5D-E45FC9F02155}</x14:id>
        </ext>
      </extLst>
    </cfRule>
  </conditionalFormatting>
  <conditionalFormatting sqref="BZ1:BZ1048576">
    <cfRule type="dataBar" priority="10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{FA68727A-294D-464F-830A-5B3B62746130}</x14:id>
        </ext>
      </extLst>
    </cfRule>
  </conditionalFormatting>
  <conditionalFormatting sqref="CA1:CA1048576">
    <cfRule type="dataBar" priority="9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{7D5D4EAA-D7BF-4F8D-ABCF-D193C6E98634}</x14:id>
        </ext>
      </extLst>
    </cfRule>
  </conditionalFormatting>
  <conditionalFormatting sqref="CF1:CF1048576">
    <cfRule type="dataBar" priority="8">
      <dataBar>
        <cfvo type="min"/>
        <cfvo type="max"/>
        <color rgb="FF007A37"/>
      </dataBar>
      <extLst>
        <ext xmlns:x14="http://schemas.microsoft.com/office/spreadsheetml/2009/9/main" uri="{B025F937-C7B1-47D3-B67F-A62EFF666E3E}">
          <x14:id>{738BD825-FB36-434C-86CA-0E89EE02E3C6}</x14:id>
        </ext>
      </extLst>
    </cfRule>
  </conditionalFormatting>
  <conditionalFormatting sqref="CE1:CE1048576">
    <cfRule type="dataBar" priority="7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{9C7E29E8-54C5-44D9-BC5C-FD9EB8BE75B4}</x14:id>
        </ext>
      </extLst>
    </cfRule>
  </conditionalFormatting>
  <conditionalFormatting sqref="CC1:CC1048576">
    <cfRule type="dataBar" priority="6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{4BF6CCD0-4735-4DD5-BDB2-6310B12B08DE}</x14:id>
        </ext>
      </extLst>
    </cfRule>
  </conditionalFormatting>
  <conditionalFormatting sqref="CD1:CD1048576">
    <cfRule type="dataBar" priority="5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{7BB6B725-CD90-471A-A87E-12337C8B224E}</x14:id>
        </ext>
      </extLst>
    </cfRule>
  </conditionalFormatting>
  <conditionalFormatting sqref="DO17:DP1048576 AV2:AV1048576">
    <cfRule type="colorScale" priority="2446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O17:DP1048576">
    <cfRule type="colorScale" priority="24461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46114">
      <colorScale>
        <cfvo type="min"/>
        <cfvo type="max"/>
        <color rgb="FFFFEF9C"/>
        <color rgb="FF63BE7B"/>
      </colorScale>
    </cfRule>
  </conditionalFormatting>
  <conditionalFormatting sqref="DE17:DE1048576">
    <cfRule type="colorScale" priority="2446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17:DP1048576">
    <cfRule type="colorScale" priority="2446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S17:CU1048576 CS1:CU1 CS2:CS16">
    <cfRule type="colorScale" priority="2446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D17:DD1048576">
    <cfRule type="colorScale" priority="2446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7:CT1048576 CT1">
    <cfRule type="colorScale" priority="2446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U17:CU1048576 CU1">
    <cfRule type="colorScale" priority="2446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17:BT1048576 BT1">
    <cfRule type="colorScale" priority="2446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7:BU1048576 BU1">
    <cfRule type="colorScale" priority="2446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2:BA1048576 AZ1:AZ16">
    <cfRule type="colorScale" priority="2446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I2:CI16">
    <cfRule type="colorScale" priority="2446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6">
    <cfRule type="colorScale" priority="2446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2:DD16">
    <cfRule type="colorScale" priority="2446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D2:DD16">
    <cfRule type="colorScale" priority="2446146">
      <colorScale>
        <cfvo type="min"/>
        <cfvo type="max"/>
        <color rgb="FFFFEF9C"/>
        <color rgb="FF63BE7B"/>
      </colorScale>
    </cfRule>
    <cfRule type="colorScale" priority="2446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2:CT16">
    <cfRule type="colorScale" priority="2446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U2:CU16">
    <cfRule type="colorScale" priority="2446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:BA16">
    <cfRule type="colorScale" priority="2446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:BA16">
    <cfRule type="colorScale" priority="2446151">
      <colorScale>
        <cfvo type="min"/>
        <cfvo type="max"/>
        <color rgb="FFFCFCFF"/>
        <color rgb="FFF8696B"/>
      </colorScale>
    </cfRule>
  </conditionalFormatting>
  <conditionalFormatting sqref="BT2:BT16">
    <cfRule type="colorScale" priority="2446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2:BU16">
    <cfRule type="colorScale" priority="2446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2:DE16">
    <cfRule type="colorScale" priority="2446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1:DE16">
    <cfRule type="colorScale" priority="2446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6">
    <cfRule type="iconSet" priority="2446156">
      <iconSet iconSet="3Arrows">
        <cfvo type="percent" val="0"/>
        <cfvo type="num" val="60"/>
        <cfvo type="num" val="80"/>
      </iconSet>
    </cfRule>
    <cfRule type="colorScale" priority="2446157">
      <colorScale>
        <cfvo type="min"/>
        <cfvo type="num" val="75"/>
        <cfvo type="num" val="90"/>
        <color rgb="FFF8696B"/>
        <color rgb="FFFFEB84"/>
        <color rgb="FF63BE7B"/>
      </colorScale>
    </cfRule>
  </conditionalFormatting>
  <conditionalFormatting sqref="DV2:DV16">
    <cfRule type="dataBar" priority="2446158">
      <dataBar>
        <cfvo type="min"/>
        <cfvo type="max"/>
        <color theme="4" tint="-0.249977111117893"/>
      </dataBar>
      <extLst>
        <ext xmlns:x14="http://schemas.microsoft.com/office/spreadsheetml/2009/9/main" uri="{B025F937-C7B1-47D3-B67F-A62EFF666E3E}">
          <x14:id>{5EA88572-F783-4EDE-AB10-5F423FD4FA57}</x14:id>
        </ext>
      </extLst>
    </cfRule>
    <cfRule type="iconSet" priority="2446159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35262B-D53E-42C8-9D2C-16F197CDE5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W1:W1048576</xm:sqref>
        </x14:conditionalFormatting>
        <x14:conditionalFormatting xmlns:xm="http://schemas.microsoft.com/office/excel/2006/main">
          <x14:cfRule type="dataBar" id="{F4307ECE-DDFB-4EED-8CCD-5828CE1025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X1:X1048576</xm:sqref>
        </x14:conditionalFormatting>
        <x14:conditionalFormatting xmlns:xm="http://schemas.microsoft.com/office/excel/2006/main">
          <x14:cfRule type="dataBar" id="{EC63933C-443B-4657-A399-F99D380042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Y1:Y1048576</xm:sqref>
        </x14:conditionalFormatting>
        <x14:conditionalFormatting xmlns:xm="http://schemas.microsoft.com/office/excel/2006/main">
          <x14:cfRule type="dataBar" id="{0BA079DB-7021-4E66-B11E-668B4097DC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  <x14:conditionalFormatting xmlns:xm="http://schemas.microsoft.com/office/excel/2006/main">
          <x14:cfRule type="dataBar" id="{139F3135-4876-475D-B8CB-4675C9108B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AA1:AA1048576</xm:sqref>
        </x14:conditionalFormatting>
        <x14:conditionalFormatting xmlns:xm="http://schemas.microsoft.com/office/excel/2006/main">
          <x14:cfRule type="dataBar" id="{306DA4D5-2BC7-43F0-895F-AB55DD738C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DT1:DT1048576</xm:sqref>
        </x14:conditionalFormatting>
        <x14:conditionalFormatting xmlns:xm="http://schemas.microsoft.com/office/excel/2006/main">
          <x14:cfRule type="dataBar" id="{2B53CF0C-FF8D-4FB2-AA45-1DFB9C9EE3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K1:K1048576</xm:sqref>
        </x14:conditionalFormatting>
        <x14:conditionalFormatting xmlns:xm="http://schemas.microsoft.com/office/excel/2006/main">
          <x14:cfRule type="dataBar" id="{54C7EF68-0AE8-41C9-896E-D9EE0D5F8E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DU1:DU1048576</xm:sqref>
        </x14:conditionalFormatting>
        <x14:conditionalFormatting xmlns:xm="http://schemas.microsoft.com/office/excel/2006/main">
          <x14:cfRule type="dataBar" id="{7534BBED-DCC0-4DE9-8ABA-B8AA32E7A68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DV1</xm:sqref>
        </x14:conditionalFormatting>
        <x14:conditionalFormatting xmlns:xm="http://schemas.microsoft.com/office/excel/2006/main">
          <x14:cfRule type="dataBar" id="{2D350DD9-2F9F-44A1-BBBD-7680AA84A7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02C4C10-8114-4B20-9F5A-ACA27CC701F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3F6D464-159B-43BD-8153-4AE107642D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C7B3FE09-BE37-45F9-9D75-66FC24ADAD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  <x14:conditionalFormatting xmlns:xm="http://schemas.microsoft.com/office/excel/2006/main">
          <x14:cfRule type="dataBar" id="{CB11ED99-0583-4502-B023-9104B76DD1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74BE4E89-FC0F-462A-9D04-6C26434AC1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4F61216A-9890-4A3F-AD3A-3D79593520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DL1:DL1048576</xm:sqref>
        </x14:conditionalFormatting>
        <x14:conditionalFormatting xmlns:xm="http://schemas.microsoft.com/office/excel/2006/main">
          <x14:cfRule type="dataBar" id="{C22CB69F-8AFA-469D-867B-EBB7505D7A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U1:U1048576</xm:sqref>
        </x14:conditionalFormatting>
        <x14:conditionalFormatting xmlns:xm="http://schemas.microsoft.com/office/excel/2006/main">
          <x14:cfRule type="dataBar" id="{816D13F8-AAB9-4A33-B99E-DDD60221E9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V1:V1048576</xm:sqref>
        </x14:conditionalFormatting>
        <x14:conditionalFormatting xmlns:xm="http://schemas.microsoft.com/office/excel/2006/main">
          <x14:cfRule type="dataBar" id="{FF1729FC-947B-46DA-B287-7C50BDD74C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CB1:CB1048576</xm:sqref>
        </x14:conditionalFormatting>
        <x14:conditionalFormatting xmlns:xm="http://schemas.microsoft.com/office/excel/2006/main">
          <x14:cfRule type="dataBar" id="{43F72FDF-6FDF-495B-8D8B-55D6F00088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BX1:BX1048576</xm:sqref>
        </x14:conditionalFormatting>
        <x14:conditionalFormatting xmlns:xm="http://schemas.microsoft.com/office/excel/2006/main">
          <x14:cfRule type="dataBar" id="{F71E2755-10B1-447B-BB5D-E45FC9F0215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BY1:BY1048576</xm:sqref>
        </x14:conditionalFormatting>
        <x14:conditionalFormatting xmlns:xm="http://schemas.microsoft.com/office/excel/2006/main">
          <x14:cfRule type="dataBar" id="{FA68727A-294D-464F-830A-5B3B627461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BZ1:BZ1048576</xm:sqref>
        </x14:conditionalFormatting>
        <x14:conditionalFormatting xmlns:xm="http://schemas.microsoft.com/office/excel/2006/main">
          <x14:cfRule type="dataBar" id="{7D5D4EAA-D7BF-4F8D-ABCF-D193C6E986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CA1:CA1048576</xm:sqref>
        </x14:conditionalFormatting>
        <x14:conditionalFormatting xmlns:xm="http://schemas.microsoft.com/office/excel/2006/main">
          <x14:cfRule type="dataBar" id="{738BD825-FB36-434C-86CA-0E89EE02E3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CF1:CF1048576</xm:sqref>
        </x14:conditionalFormatting>
        <x14:conditionalFormatting xmlns:xm="http://schemas.microsoft.com/office/excel/2006/main">
          <x14:cfRule type="dataBar" id="{9C7E29E8-54C5-44D9-BC5C-FD9EB8BE75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CE1:CE1048576</xm:sqref>
        </x14:conditionalFormatting>
        <x14:conditionalFormatting xmlns:xm="http://schemas.microsoft.com/office/excel/2006/main">
          <x14:cfRule type="dataBar" id="{4BF6CCD0-4735-4DD5-BDB2-6310B12B08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CC1:CC1048576</xm:sqref>
        </x14:conditionalFormatting>
        <x14:conditionalFormatting xmlns:xm="http://schemas.microsoft.com/office/excel/2006/main">
          <x14:cfRule type="dataBar" id="{7BB6B725-CD90-471A-A87E-12337C8B22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CD1:CD1048576</xm:sqref>
        </x14:conditionalFormatting>
        <x14:conditionalFormatting xmlns:xm="http://schemas.microsoft.com/office/excel/2006/main">
          <x14:cfRule type="dataBar" id="{5EA88572-F783-4EDE-AB10-5F423FD4FA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DV2:DV16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🧤Goleiros</vt:lpstr>
      <vt:lpstr>🧱Zagueiros</vt:lpstr>
      <vt:lpstr>🛡️Laterais</vt:lpstr>
      <vt:lpstr>🛡️Volantes</vt:lpstr>
      <vt:lpstr>⚙️Box-To-Box</vt:lpstr>
      <vt:lpstr>⚙️Armadores</vt:lpstr>
      <vt:lpstr>🎯Avançados</vt:lpstr>
      <vt:lpstr>📊Time Estatísticas</vt:lpstr>
      <vt:lpstr>💪Placar de Esforço</vt:lpstr>
      <vt:lpstr>🌎Overall Análise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Allan Ferracioli</cp:lastModifiedBy>
  <cp:lastPrinted>2023-08-07T09:15:15Z</cp:lastPrinted>
  <dcterms:created xsi:type="dcterms:W3CDTF">2015-06-05T18:19:34Z</dcterms:created>
  <dcterms:modified xsi:type="dcterms:W3CDTF">2026-03-20T11:30:02Z</dcterms:modified>
</cp:coreProperties>
</file>